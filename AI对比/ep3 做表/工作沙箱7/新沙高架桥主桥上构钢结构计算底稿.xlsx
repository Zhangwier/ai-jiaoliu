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合计数量" sheetId="1" state="visible" r:id="rId3"/>
    <sheet name="主梁数量" sheetId="2" state="visible" r:id="rId4"/>
    <sheet name="横隔板" sheetId="3" state="visible" r:id="rId5"/>
    <sheet name="主桁拼接" sheetId="4" state="visible" r:id="rId6"/>
    <sheet name="桥面系" sheetId="5" state="visible" r:id="rId7"/>
    <sheet name="梁底挡块" sheetId="6" state="visible" r:id="rId8"/>
    <sheet name="附属预埋件" sheetId="7" state="visible" r:id="rId9"/>
  </sheets>
  <definedNames>
    <definedName function="false" hidden="false" localSheetId="3" name="_xlnm.Print_Titles" vbProcedure="false">主桁拼接!$2:$3</definedName>
    <definedName function="false" hidden="false" localSheetId="1" name="_xlnm.Print_Titles" vbProcedure="false">主梁数量!$2:$3</definedName>
    <definedName function="false" hidden="false" localSheetId="4" name="_xlnm.Print_Titles" vbProcedure="false">桥面系!$2:$3</definedName>
    <definedName function="false" hidden="false" localSheetId="2" name="_xlnm.Print_Titles" vbProcedure="false">横隔板!$2:$3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<sst xmlns="http://schemas.openxmlformats.org/spreadsheetml/2006/main" count="9922" uniqueCount="425">
  <si>
    <t xml:space="preserve">新沙高架桥主桥上构钢结构数量复核汇总表（K6+418.3）</t>
  </si>
  <si>
    <t xml:space="preserve">部位</t>
  </si>
  <si>
    <t xml:space="preserve">板厚</t>
  </si>
  <si>
    <t xml:space="preserve">单位</t>
  </si>
  <si>
    <t xml:space="preserve">图纸数量(kg)</t>
  </si>
  <si>
    <t xml:space="preserve">复核数量(kg)</t>
  </si>
  <si>
    <t xml:space="preserve">差异</t>
  </si>
  <si>
    <t xml:space="preserve">备注</t>
  </si>
  <si>
    <t xml:space="preserve">Q355D</t>
  </si>
  <si>
    <t xml:space="preserve">Q420D</t>
  </si>
  <si>
    <t xml:space="preserve">合计</t>
  </si>
  <si>
    <t xml:space="preserve">主桁</t>
  </si>
  <si>
    <t xml:space="preserve">kg</t>
  </si>
  <si>
    <t xml:space="preserve">主桁拼接</t>
  </si>
  <si>
    <t xml:space="preserve">上层桥面系</t>
  </si>
  <si>
    <t xml:space="preserve">下层桥面系</t>
  </si>
  <si>
    <t xml:space="preserve">钢结构合计</t>
  </si>
  <si>
    <t xml:space="preserve">含主桁、主桁拼接、上/下层桥面系；不含焊缝、高强螺栓、涂装、检查车</t>
  </si>
  <si>
    <t xml:space="preserve">焊缝重(1.5%)</t>
  </si>
  <si>
    <t xml:space="preserve">图纸焊缝：主桁 16927.6+38341.2，拼接 30002.9，下层桥面系 54464.7</t>
  </si>
  <si>
    <t xml:space="preserve">总合计</t>
  </si>
  <si>
    <t xml:space="preserve">注：</t>
  </si>
  <si>
    <t xml:space="preserve">1、本底稿依据《K6+418.3 新沙高架桥 主桥上构工程数量表》（图号 SZYS/04/02/02/01/01）及各节段设计图（图号 09～52）逐板复算。</t>
  </si>
  <si>
    <t xml:space="preserve">2、主桁含中桁 22 个节段、边桁 22 个节段；横隔板单列（N15、N25、N6x、N7x、N8x 系列），同属主桁部位，汇总时与主梁合并对图纸“主桁”列。</t>
  </si>
  <si>
    <t xml:space="preserve">3、单件重按 Q7850kg/m³ 计算：箱形板件 长×宽×厚×7850；面积法板件（t=××mm,A=××m²）按 厚×面积×7850。</t>
  </si>
  <si>
    <t xml:space="preserve">4、边桁数量按图纸单侧统计，未乘 2；差异栏为正表示复核大于图纸，负表示复核小于图纸。</t>
  </si>
  <si>
    <t xml:space="preserve">5、焊缝重、10.9S 高强螺栓（M30×200、M24）、剪力钉、涂装、检查车、支座等未计入板件重量，另列。</t>
  </si>
  <si>
    <t xml:space="preserve">主梁数量  板件计算表（新沙高架桥 K6+418.3 主桥上构）</t>
  </si>
  <si>
    <t xml:space="preserve">节段</t>
  </si>
  <si>
    <t xml:space="preserve">板件名称</t>
  </si>
  <si>
    <t xml:space="preserve">编号</t>
  </si>
  <si>
    <t xml:space="preserve">材质</t>
  </si>
  <si>
    <t xml:space="preserve">长(mm)</t>
  </si>
  <si>
    <t xml:space="preserve">宽(mm)</t>
  </si>
  <si>
    <t xml:space="preserve">厚(mm)</t>
  </si>
  <si>
    <t xml:space="preserve">单件重(kg)</t>
  </si>
  <si>
    <t xml:space="preserve">数量</t>
  </si>
  <si>
    <t xml:space="preserve">合计重量(kg)</t>
  </si>
  <si>
    <t xml:space="preserve">mm</t>
  </si>
  <si>
    <t xml:space="preserve">件</t>
  </si>
  <si>
    <t xml:space="preserve">中桁01</t>
  </si>
  <si>
    <t xml:space="preserve">中桁01节段</t>
  </si>
  <si>
    <t xml:space="preserve">中桁03</t>
  </si>
  <si>
    <t xml:space="preserve">中桁03节段</t>
  </si>
  <si>
    <t xml:space="preserve">N11a</t>
  </si>
  <si>
    <t xml:space="preserve">N11b</t>
  </si>
  <si>
    <t xml:space="preserve">N12a</t>
  </si>
  <si>
    <t xml:space="preserve">N12b</t>
  </si>
  <si>
    <t xml:space="preserve">N13</t>
  </si>
  <si>
    <t xml:space="preserve">N14</t>
  </si>
  <si>
    <t xml:space="preserve">N16a</t>
  </si>
  <si>
    <t xml:space="preserve">N21a</t>
  </si>
  <si>
    <t xml:space="preserve">N22a</t>
  </si>
  <si>
    <t xml:space="preserve">N22b</t>
  </si>
  <si>
    <t xml:space="preserve">N24</t>
  </si>
  <si>
    <t xml:space="preserve">N26a</t>
  </si>
  <si>
    <t xml:space="preserve">N26b</t>
  </si>
  <si>
    <t xml:space="preserve">N26c</t>
  </si>
  <si>
    <t xml:space="preserve">N31</t>
  </si>
  <si>
    <t xml:space="preserve">N32</t>
  </si>
  <si>
    <t xml:space="preserve">N33</t>
  </si>
  <si>
    <t xml:space="preserve">N41</t>
  </si>
  <si>
    <t xml:space="preserve">中桁04</t>
  </si>
  <si>
    <t xml:space="preserve">中桁04节段</t>
  </si>
  <si>
    <t xml:space="preserve">中桁05</t>
  </si>
  <si>
    <t xml:space="preserve">中桁05节段</t>
  </si>
  <si>
    <t xml:space="preserve">N16b</t>
  </si>
  <si>
    <t xml:space="preserve">N23</t>
  </si>
  <si>
    <t xml:space="preserve">中桁06</t>
  </si>
  <si>
    <t xml:space="preserve">中桁06节段</t>
  </si>
  <si>
    <t xml:space="preserve">N21b</t>
  </si>
  <si>
    <t xml:space="preserve">N33b</t>
  </si>
  <si>
    <t xml:space="preserve">中桁07</t>
  </si>
  <si>
    <t xml:space="preserve">中桁07节段</t>
  </si>
  <si>
    <t xml:space="preserve">N33a</t>
  </si>
  <si>
    <t xml:space="preserve">中桁08</t>
  </si>
  <si>
    <t xml:space="preserve">中桁08节段</t>
  </si>
  <si>
    <t xml:space="preserve">中桁09</t>
  </si>
  <si>
    <t xml:space="preserve">中桁09节段</t>
  </si>
  <si>
    <t xml:space="preserve">中桁10</t>
  </si>
  <si>
    <t xml:space="preserve">中桁10节段</t>
  </si>
  <si>
    <t xml:space="preserve">N31a</t>
  </si>
  <si>
    <t xml:space="preserve">N34</t>
  </si>
  <si>
    <t xml:space="preserve">中桁11</t>
  </si>
  <si>
    <t xml:space="preserve">中桁11节段</t>
  </si>
  <si>
    <t xml:space="preserve">N42</t>
  </si>
  <si>
    <t xml:space="preserve">N43</t>
  </si>
  <si>
    <t xml:space="preserve">N51a</t>
  </si>
  <si>
    <t xml:space="preserve">N52</t>
  </si>
  <si>
    <t xml:space="preserve">N53</t>
  </si>
  <si>
    <t xml:space="preserve">N53a</t>
  </si>
  <si>
    <t xml:space="preserve">N53b</t>
  </si>
  <si>
    <t xml:space="preserve">N54</t>
  </si>
  <si>
    <t xml:space="preserve">N55</t>
  </si>
  <si>
    <t xml:space="preserve">N56</t>
  </si>
  <si>
    <t xml:space="preserve">中桁12</t>
  </si>
  <si>
    <t xml:space="preserve">中桁12节段</t>
  </si>
  <si>
    <t xml:space="preserve">N51</t>
  </si>
  <si>
    <t xml:space="preserve">中桁13</t>
  </si>
  <si>
    <t xml:space="preserve">中桁13节段</t>
  </si>
  <si>
    <t xml:space="preserve">中桁14</t>
  </si>
  <si>
    <t xml:space="preserve">中桁14节段</t>
  </si>
  <si>
    <t xml:space="preserve">N41a</t>
  </si>
  <si>
    <t xml:space="preserve">N43a</t>
  </si>
  <si>
    <t xml:space="preserve">N43b</t>
  </si>
  <si>
    <t xml:space="preserve">中桁15</t>
  </si>
  <si>
    <t xml:space="preserve">中桁15节段</t>
  </si>
  <si>
    <t xml:space="preserve">N44</t>
  </si>
  <si>
    <t xml:space="preserve">中桁16</t>
  </si>
  <si>
    <t xml:space="preserve">中桁16节段</t>
  </si>
  <si>
    <t xml:space="preserve">中桁17</t>
  </si>
  <si>
    <t xml:space="preserve">中桁17节段</t>
  </si>
  <si>
    <t xml:space="preserve">中桁18</t>
  </si>
  <si>
    <t xml:space="preserve">中桁18节段</t>
  </si>
  <si>
    <t xml:space="preserve">中桁19</t>
  </si>
  <si>
    <t xml:space="preserve">中桁19节段</t>
  </si>
  <si>
    <t xml:space="preserve">中桁20</t>
  </si>
  <si>
    <t xml:space="preserve">中桁20节段</t>
  </si>
  <si>
    <t xml:space="preserve">中桁21</t>
  </si>
  <si>
    <t xml:space="preserve">中桁21节段</t>
  </si>
  <si>
    <t xml:space="preserve">中桁22</t>
  </si>
  <si>
    <t xml:space="preserve">中桁22节段</t>
  </si>
  <si>
    <t xml:space="preserve">中桁23</t>
  </si>
  <si>
    <t xml:space="preserve">中桁23节段</t>
  </si>
  <si>
    <t xml:space="preserve">N11</t>
  </si>
  <si>
    <t xml:space="preserve">N12</t>
  </si>
  <si>
    <t xml:space="preserve">N14a</t>
  </si>
  <si>
    <t xml:space="preserve">N16c</t>
  </si>
  <si>
    <t xml:space="preserve">N16d</t>
  </si>
  <si>
    <t xml:space="preserve">N16e</t>
  </si>
  <si>
    <t xml:space="preserve">N21</t>
  </si>
  <si>
    <t xml:space="preserve">N22</t>
  </si>
  <si>
    <t xml:space="preserve">N24a</t>
  </si>
  <si>
    <t xml:space="preserve">N26d</t>
  </si>
  <si>
    <t xml:space="preserve">N26e</t>
  </si>
  <si>
    <t xml:space="preserve">边桁01</t>
  </si>
  <si>
    <t xml:space="preserve">边桁01节段</t>
  </si>
  <si>
    <t xml:space="preserve">边桁02</t>
  </si>
  <si>
    <t xml:space="preserve">边桁02节段</t>
  </si>
  <si>
    <t xml:space="preserve">边桁03</t>
  </si>
  <si>
    <t xml:space="preserve">边桁03节段</t>
  </si>
  <si>
    <t xml:space="preserve">边桁04</t>
  </si>
  <si>
    <t xml:space="preserve">边桁04节段</t>
  </si>
  <si>
    <t xml:space="preserve">边桁05</t>
  </si>
  <si>
    <t xml:space="preserve">边桁05节段</t>
  </si>
  <si>
    <t xml:space="preserve">边桁06</t>
  </si>
  <si>
    <t xml:space="preserve">边桁06节段</t>
  </si>
  <si>
    <t xml:space="preserve">边桁07</t>
  </si>
  <si>
    <t xml:space="preserve">边桁07节段</t>
  </si>
  <si>
    <t xml:space="preserve">边桁08</t>
  </si>
  <si>
    <t xml:space="preserve">边桁08节段</t>
  </si>
  <si>
    <t xml:space="preserve">边桁09</t>
  </si>
  <si>
    <t xml:space="preserve">边桁09节段</t>
  </si>
  <si>
    <t xml:space="preserve">边桁10</t>
  </si>
  <si>
    <t xml:space="preserve">边桁10节段</t>
  </si>
  <si>
    <t xml:space="preserve">边桁11</t>
  </si>
  <si>
    <t xml:space="preserve">边桁11节段</t>
  </si>
  <si>
    <t xml:space="preserve">边桁12</t>
  </si>
  <si>
    <t xml:space="preserve">边桁12节段</t>
  </si>
  <si>
    <t xml:space="preserve">边桁13</t>
  </si>
  <si>
    <t xml:space="preserve">边桁13节段</t>
  </si>
  <si>
    <t xml:space="preserve">边桁14</t>
  </si>
  <si>
    <t xml:space="preserve">边桁14节段</t>
  </si>
  <si>
    <t xml:space="preserve">边桁15</t>
  </si>
  <si>
    <t xml:space="preserve">边桁15节段</t>
  </si>
  <si>
    <t xml:space="preserve">边桁16</t>
  </si>
  <si>
    <t xml:space="preserve">边桁16节段</t>
  </si>
  <si>
    <t xml:space="preserve">边桁17</t>
  </si>
  <si>
    <t xml:space="preserve">边桁17节段</t>
  </si>
  <si>
    <t xml:space="preserve">边桁18</t>
  </si>
  <si>
    <t xml:space="preserve">边桁18节段</t>
  </si>
  <si>
    <t xml:space="preserve">边桁19</t>
  </si>
  <si>
    <t xml:space="preserve">边桁19节段</t>
  </si>
  <si>
    <t xml:space="preserve">边桁20</t>
  </si>
  <si>
    <t xml:space="preserve">边桁20节段</t>
  </si>
  <si>
    <t xml:space="preserve">边桁21</t>
  </si>
  <si>
    <t xml:space="preserve">边桁21节段</t>
  </si>
  <si>
    <t xml:space="preserve">边桁22</t>
  </si>
  <si>
    <t xml:space="preserve">边桁22节段</t>
  </si>
  <si>
    <t xml:space="preserve">按板厚汇总（kg）</t>
  </si>
  <si>
    <t xml:space="preserve">Q355B</t>
  </si>
  <si>
    <t xml:space="preserve">横隔板  板件计算表（新沙高架桥 K6+418.3 主桥上构）</t>
  </si>
  <si>
    <t xml:space="preserve">N15</t>
  </si>
  <si>
    <t xml:space="preserve">N15a</t>
  </si>
  <si>
    <t xml:space="preserve">N15'</t>
  </si>
  <si>
    <t xml:space="preserve">N15b</t>
  </si>
  <si>
    <t xml:space="preserve">N25</t>
  </si>
  <si>
    <t xml:space="preserve">N25a</t>
  </si>
  <si>
    <t xml:space="preserve">N61</t>
  </si>
  <si>
    <t xml:space="preserve">N61a</t>
  </si>
  <si>
    <t xml:space="preserve">N62</t>
  </si>
  <si>
    <t xml:space="preserve">N62a</t>
  </si>
  <si>
    <t xml:space="preserve">N63</t>
  </si>
  <si>
    <t xml:space="preserve">N25'</t>
  </si>
  <si>
    <t xml:space="preserve">N63a</t>
  </si>
  <si>
    <t xml:space="preserve">N81</t>
  </si>
  <si>
    <t xml:space="preserve">N82</t>
  </si>
  <si>
    <t xml:space="preserve">N83</t>
  </si>
  <si>
    <t xml:space="preserve">N85</t>
  </si>
  <si>
    <t xml:space="preserve">N15c</t>
  </si>
  <si>
    <t xml:space="preserve">N84</t>
  </si>
  <si>
    <t xml:space="preserve">主桁拼接  板件计算表（新沙高架桥 K6+418.3 主桥上构）</t>
  </si>
  <si>
    <t xml:space="preserve">拼接-中桁03</t>
  </si>
  <si>
    <t xml:space="preserve">下弦杆拼接</t>
  </si>
  <si>
    <t xml:space="preserve">K1</t>
  </si>
  <si>
    <t xml:space="preserve">K2</t>
  </si>
  <si>
    <t xml:space="preserve">K3</t>
  </si>
  <si>
    <t xml:space="preserve">K4</t>
  </si>
  <si>
    <t xml:space="preserve">K5</t>
  </si>
  <si>
    <t xml:space="preserve">K6</t>
  </si>
  <si>
    <t xml:space="preserve">腹杆拼接</t>
  </si>
  <si>
    <t xml:space="preserve">L1</t>
  </si>
  <si>
    <t xml:space="preserve">L2</t>
  </si>
  <si>
    <t xml:space="preserve">L3</t>
  </si>
  <si>
    <t xml:space="preserve">L4</t>
  </si>
  <si>
    <t xml:space="preserve">L5</t>
  </si>
  <si>
    <t xml:space="preserve">L6</t>
  </si>
  <si>
    <t xml:space="preserve">L7</t>
  </si>
  <si>
    <t xml:space="preserve">L8</t>
  </si>
  <si>
    <t xml:space="preserve">上弦杆拼接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</si>
  <si>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</si>
  <si>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</si>
  <si>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</si>
  <si>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</si>
  <si>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</si>
  <si>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</si>
  <si>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P7</t>
  </si>
  <si>
    <t xml:space="preserve">P8</t>
  </si>
  <si>
    <t xml:space="preserve">拼接-中桁04</t>
  </si>
  <si>
    <t xml:space="preserve">拼接-中桁05</t>
  </si>
  <si>
    <t xml:space="preserve">拼接-中桁06</t>
  </si>
  <si>
    <t xml:space="preserve">拼接-中桁07</t>
  </si>
  <si>
    <t xml:space="preserve">拼接-中桁08</t>
  </si>
  <si>
    <t xml:space="preserve">拼接-中桁09</t>
  </si>
  <si>
    <t xml:space="preserve">L9</t>
  </si>
  <si>
    <t xml:space="preserve">拼接-中桁10</t>
  </si>
  <si>
    <t xml:space="preserve">K7</t>
  </si>
  <si>
    <t xml:space="preserve">P9</t>
  </si>
  <si>
    <t xml:space="preserve">拼接-中桁11</t>
  </si>
  <si>
    <t xml:space="preserve">拼接-边桁02</t>
  </si>
  <si>
    <t xml:space="preserve">拼接-边桁03</t>
  </si>
  <si>
    <t xml:space="preserve">拼接-边桁04</t>
  </si>
  <si>
    <t xml:space="preserve">拼接-边桁05</t>
  </si>
  <si>
    <t xml:space="preserve">拼接-边桁06</t>
  </si>
  <si>
    <t xml:space="preserve">拼接-边桁07</t>
  </si>
  <si>
    <t xml:space="preserve">拼接-边桁08</t>
  </si>
  <si>
    <t xml:space="preserve">拼接-边桁09</t>
  </si>
  <si>
    <t xml:space="preserve">拼接-边桁10</t>
  </si>
  <si>
    <t xml:space="preserve">拼接-边桁13</t>
  </si>
  <si>
    <t xml:space="preserve">拼接-边桁14</t>
  </si>
  <si>
    <t xml:space="preserve">拼接-边桁15</t>
  </si>
  <si>
    <t xml:space="preserve">拼接-边桁16</t>
  </si>
  <si>
    <t xml:space="preserve">拼接-边桁17</t>
  </si>
  <si>
    <t xml:space="preserve">拼接-边桁18</t>
  </si>
  <si>
    <t xml:space="preserve">拼接-边桁19</t>
  </si>
  <si>
    <t xml:space="preserve">拼接-边桁20</t>
  </si>
  <si>
    <t xml:space="preserve">拼接-边桁21</t>
  </si>
  <si>
    <t xml:space="preserve">拼接-边桁22</t>
  </si>
  <si>
    <t xml:space="preserve">桥面系  板件计算表（新沙高架桥 K6+418.3 主桥上构）</t>
  </si>
  <si>
    <t xml:space="preserve">横梁顶板</t>
  </si>
  <si>
    <t xml:space="preserve">T1</t>
  </si>
  <si>
    <t xml:space="preserve">□17503×600×20</t>
  </si>
  <si>
    <t xml:space="preserve">横梁腹板</t>
  </si>
  <si>
    <t xml:space="preserve">T2</t>
  </si>
  <si>
    <t xml:space="preserve">□17500×1955×14</t>
  </si>
  <si>
    <t xml:space="preserve">横梁底板</t>
  </si>
  <si>
    <t xml:space="preserve">T3</t>
  </si>
  <si>
    <t xml:space="preserve">□17500×700×24</t>
  </si>
  <si>
    <t xml:space="preserve">横梁加劲板</t>
  </si>
  <si>
    <t xml:space="preserve">T4</t>
  </si>
  <si>
    <t xml:space="preserve">□1510×150×12</t>
  </si>
  <si>
    <t xml:space="preserve">T4a</t>
  </si>
  <si>
    <t xml:space="preserve">□1632×293×12</t>
  </si>
  <si>
    <t xml:space="preserve">小纵梁顶板</t>
  </si>
  <si>
    <t xml:space="preserve">T5</t>
  </si>
  <si>
    <t xml:space="preserve">□2380×600×12</t>
  </si>
  <si>
    <t xml:space="preserve">T5a</t>
  </si>
  <si>
    <t xml:space="preserve">□2180×600×12</t>
  </si>
  <si>
    <t xml:space="preserve">T5b</t>
  </si>
  <si>
    <t xml:space="preserve">□1880×600×12</t>
  </si>
  <si>
    <t xml:space="preserve">T5c</t>
  </si>
  <si>
    <t xml:space="preserve">□1472×600×12</t>
  </si>
  <si>
    <t xml:space="preserve">小纵梁腹板</t>
  </si>
  <si>
    <t xml:space="preserve">T6</t>
  </si>
  <si>
    <t xml:space="preserve">□2380×500×12</t>
  </si>
  <si>
    <t xml:space="preserve">T6a</t>
  </si>
  <si>
    <t xml:space="preserve">□2180×500×12</t>
  </si>
  <si>
    <t xml:space="preserve">T6b</t>
  </si>
  <si>
    <t xml:space="preserve">□1880×500×12</t>
  </si>
  <si>
    <t xml:space="preserve">T6c</t>
  </si>
  <si>
    <t xml:space="preserve">□1472×500×12</t>
  </si>
  <si>
    <t xml:space="preserve">小纵梁底板</t>
  </si>
  <si>
    <t xml:space="preserve">T7</t>
  </si>
  <si>
    <t xml:space="preserve">□2380×300×12</t>
  </si>
  <si>
    <t xml:space="preserve">T7a</t>
  </si>
  <si>
    <t xml:space="preserve">□2180×300×12</t>
  </si>
  <si>
    <t xml:space="preserve">T7b</t>
  </si>
  <si>
    <t xml:space="preserve">□1880×300×12</t>
  </si>
  <si>
    <t xml:space="preserve">T7c</t>
  </si>
  <si>
    <t xml:space="preserve">□1472×300×12</t>
  </si>
  <si>
    <t xml:space="preserve">端横梁顶板</t>
  </si>
  <si>
    <t xml:space="preserve">T21</t>
  </si>
  <si>
    <t xml:space="preserve">□17503×1758×20</t>
  </si>
  <si>
    <t xml:space="preserve">端横梁腹板</t>
  </si>
  <si>
    <t xml:space="preserve">T22</t>
  </si>
  <si>
    <t xml:space="preserve">□17500×1955×20</t>
  </si>
  <si>
    <t xml:space="preserve">T22'</t>
  </si>
  <si>
    <t xml:space="preserve">端横梁底板</t>
  </si>
  <si>
    <t xml:space="preserve">T23</t>
  </si>
  <si>
    <t xml:space="preserve">△17500×1500×24</t>
  </si>
  <si>
    <t xml:space="preserve">端横梁加劲板</t>
  </si>
  <si>
    <t xml:space="preserve">T24</t>
  </si>
  <si>
    <t xml:space="preserve">□1510×220×16</t>
  </si>
  <si>
    <t xml:space="preserve">端横梁隔板</t>
  </si>
  <si>
    <t xml:space="preserve">T25</t>
  </si>
  <si>
    <t xml:space="preserve">□1396×1782×12</t>
  </si>
  <si>
    <t xml:space="preserve">端横梁隔板加劲</t>
  </si>
  <si>
    <t xml:space="preserve">T26</t>
  </si>
  <si>
    <t xml:space="preserve">□2018×160×12</t>
  </si>
  <si>
    <t xml:space="preserve">小纵梁腹板接头</t>
  </si>
  <si>
    <t xml:space="preserve">T27</t>
  </si>
  <si>
    <t xml:space="preserve">□784×292×12</t>
  </si>
  <si>
    <t xml:space="preserve">线缆孔加劲</t>
  </si>
  <si>
    <t xml:space="preserve">T30</t>
  </si>
  <si>
    <t xml:space="preserve">□1374×300×14</t>
  </si>
  <si>
    <t xml:space="preserve">小纵梁拼接板</t>
  </si>
  <si>
    <t xml:space="preserve">T50</t>
  </si>
  <si>
    <t xml:space="preserve">□400×330×12</t>
  </si>
  <si>
    <t xml:space="preserve">横梁拼接板</t>
  </si>
  <si>
    <t xml:space="preserve">T60</t>
  </si>
  <si>
    <t xml:space="preserve">□1840×340×10</t>
  </si>
  <si>
    <t xml:space="preserve">T61</t>
  </si>
  <si>
    <t xml:space="preserve">□1440×340×10</t>
  </si>
  <si>
    <t xml:space="preserve">T62</t>
  </si>
  <si>
    <t xml:space="preserve">□1840×340×14</t>
  </si>
  <si>
    <t xml:space="preserve">T63</t>
  </si>
  <si>
    <t xml:space="preserve">□1440×340×14</t>
  </si>
  <si>
    <t xml:space="preserve">桥面板</t>
  </si>
  <si>
    <t xml:space="preserve">D1</t>
  </si>
  <si>
    <t xml:space="preserve">17503×3431×14</t>
  </si>
  <si>
    <t xml:space="preserve">D2</t>
  </si>
  <si>
    <t xml:space="preserve">□17500×1800×14</t>
  </si>
  <si>
    <t xml:space="preserve">D2a</t>
  </si>
  <si>
    <t xml:space="preserve">□13800×1761×20</t>
  </si>
  <si>
    <t xml:space="preserve">D2a'</t>
  </si>
  <si>
    <t xml:space="preserve">D2b</t>
  </si>
  <si>
    <t xml:space="preserve">□1740×1485×28</t>
  </si>
  <si>
    <t xml:space="preserve">D2c</t>
  </si>
  <si>
    <t xml:space="preserve">□1940×1800×28</t>
  </si>
  <si>
    <t xml:space="preserve">D2d</t>
  </si>
  <si>
    <t xml:space="preserve">□1740×1485×60</t>
  </si>
  <si>
    <t xml:space="preserve">D2e</t>
  </si>
  <si>
    <t xml:space="preserve">□1940×1800×44</t>
  </si>
  <si>
    <t xml:space="preserve">D3</t>
  </si>
  <si>
    <t xml:space="preserve">□17500×600×24</t>
  </si>
  <si>
    <t xml:space="preserve">D3a</t>
  </si>
  <si>
    <t xml:space="preserve">□17500×2160×24</t>
  </si>
  <si>
    <t xml:space="preserve">D3a'</t>
  </si>
  <si>
    <t xml:space="preserve">□17350×2160×24</t>
  </si>
  <si>
    <t xml:space="preserve">横梁加劲</t>
  </si>
  <si>
    <t xml:space="preserve">D4</t>
  </si>
  <si>
    <t xml:space="preserve">□1240×150×12</t>
  </si>
  <si>
    <t xml:space="preserve">D4a</t>
  </si>
  <si>
    <t xml:space="preserve">□1640×1780×12</t>
  </si>
  <si>
    <t xml:space="preserve">D4b</t>
  </si>
  <si>
    <t xml:space="preserve">□1640×880×12</t>
  </si>
  <si>
    <t xml:space="preserve">U肋封端隔板</t>
  </si>
  <si>
    <t xml:space="preserve">D5</t>
  </si>
  <si>
    <t xml:space="preserve">□284×272×4</t>
  </si>
  <si>
    <t xml:space="preserve">板肋</t>
  </si>
  <si>
    <t xml:space="preserve">DL</t>
  </si>
  <si>
    <t xml:space="preserve">□3420×170×14</t>
  </si>
  <si>
    <t xml:space="preserve">U肋</t>
  </si>
  <si>
    <t xml:space="preserve">DU</t>
  </si>
  <si>
    <t xml:space="preserve">□3420×710×8</t>
  </si>
  <si>
    <t xml:space="preserve">端横梁板肋</t>
  </si>
  <si>
    <t xml:space="preserve">D7</t>
  </si>
  <si>
    <t xml:space="preserve">□16191×200×16</t>
  </si>
  <si>
    <t xml:space="preserve">D7a</t>
  </si>
  <si>
    <t xml:space="preserve">□17500×200×16</t>
  </si>
  <si>
    <t xml:space="preserve">箱型横梁隔板加劲</t>
  </si>
  <si>
    <t xml:space="preserve">D8</t>
  </si>
  <si>
    <t xml:space="preserve">端横梁腹板加劲</t>
  </si>
  <si>
    <t xml:space="preserve">D9</t>
  </si>
  <si>
    <t xml:space="preserve">□450×392×14</t>
  </si>
  <si>
    <t xml:space="preserve">临时支撑加劲</t>
  </si>
  <si>
    <t xml:space="preserve">D10</t>
  </si>
  <si>
    <t xml:space="preserve">□800×166×28</t>
  </si>
  <si>
    <t xml:space="preserve">D10'</t>
  </si>
  <si>
    <t xml:space="preserve">□800×160×28</t>
  </si>
  <si>
    <t xml:space="preserve">D10"</t>
  </si>
  <si>
    <t xml:space="preserve">□800×158×28</t>
  </si>
  <si>
    <t xml:space="preserve">临时支撑垫板</t>
  </si>
  <si>
    <t xml:space="preserve">D20</t>
  </si>
  <si>
    <t xml:space="preserve">□600×360×50</t>
  </si>
  <si>
    <t xml:space="preserve">D30</t>
  </si>
  <si>
    <t xml:space="preserve">□900×360×50</t>
  </si>
  <si>
    <t xml:space="preserve">D60</t>
  </si>
  <si>
    <t xml:space="preserve">□1680×340×10</t>
  </si>
  <si>
    <t xml:space="preserve">D61</t>
  </si>
  <si>
    <t xml:space="preserve">□1280×340×10</t>
  </si>
  <si>
    <t xml:space="preserve">U肋连接内衬板</t>
  </si>
  <si>
    <t xml:space="preserve">D70</t>
  </si>
  <si>
    <t xml:space="preserve">□697×60×6</t>
  </si>
  <si>
    <t xml:space="preserve">梁底挡块数量表</t>
  </si>
  <si>
    <t xml:space="preserve">梁板编号</t>
  </si>
  <si>
    <t xml:space="preserve">位置</t>
  </si>
  <si>
    <t xml:space="preserve">全桥数量</t>
  </si>
  <si>
    <t xml:space="preserve">本桥主桥上构为钢桁梁，主桁节点采用整体节点板连接，不设混凝土梁底挡块，本表无内容。</t>
  </si>
  <si>
    <t xml:space="preserve">附属工程预埋件数量表</t>
  </si>
  <si>
    <t xml:space="preserve">排水</t>
  </si>
  <si>
    <t xml:space="preserve">泄水管及管卡</t>
  </si>
  <si>
    <t xml:space="preserve">Q355C</t>
  </si>
  <si>
    <t xml:space="preserve">护栏</t>
  </si>
  <si>
    <t xml:space="preserve">防撞护栏预埋钢板</t>
  </si>
  <si>
    <t xml:space="preserve">护栏底座预埋</t>
  </si>
  <si>
    <t xml:space="preserve">人行道栏杆预埋</t>
  </si>
  <si>
    <t xml:space="preserve">检查车</t>
  </si>
  <si>
    <t xml:space="preserve">下弦检查车轨道预埋</t>
  </si>
  <si>
    <t xml:space="preserve">主桁下弦</t>
  </si>
  <si>
    <t xml:space="preserve">伸缩缝</t>
  </si>
  <si>
    <t xml:space="preserve">伸缩缝预埋钢筋</t>
  </si>
  <si>
    <t xml:space="preserve">上/下层桥面系</t>
  </si>
  <si>
    <t xml:space="preserve">HRB400</t>
  </si>
  <si>
    <t xml:space="preserve">注：附属工程钢构件按《主桥上构工程数量表（二）》附属工程列录入，仅为预埋/附属钢件，不含混凝土、支座本体及涂装。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</si>
</sst>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_ "/>
    <numFmt numFmtId="166" formatCode="0.00_ "/>
    <numFmt numFmtId="167" formatCode="0.0_ 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宋体"/>
      <family val="0"/>
      <charset val="1"/>
    </font>
    <font>
      <b val="true"/>
      <sz val="9"/>
      <name val="宋体"/>
      <family val="0"/>
      <charset val="1"/>
    </font>
    <font>
      <sz val="9"/>
      <name val="宋体"/>
      <family val="0"/>
      <charset val="1"/>
    </font>
    <font>
      <b val="true"/>
      <sz val="12"/>
      <name val="宋体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3" min="3" style="0" width="6"/>
    <col collapsed="false" customWidth="true" hidden="false" outlineLevel="0" max="7" min="4" style="0" width="14"/>
    <col collapsed="false" customWidth="true" hidden="false" outlineLevel="0" max="8" min="8" style="0" width="11"/>
    <col collapsed="false" customWidth="true" hidden="false" outlineLevel="0" max="9" min="9" style="0" width="46"/>
  </cols>
  <sheetData>
    <row r="1" customFormat="false" ht="17.3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/>
      <c r="F2" s="2"/>
      <c r="G2" s="2" t="s">
        <v>5</v>
      </c>
      <c r="H2" s="2" t="s">
        <v>6</v>
      </c>
      <c r="I2" s="2" t="s">
        <v>7</v>
      </c>
    </row>
    <row r="3" customFormat="false" ht="15" hidden="false" customHeight="false" outlineLevel="0" collapsed="false">
      <c r="A3" s="2"/>
      <c r="B3" s="2"/>
      <c r="C3" s="2"/>
      <c r="D3" s="2" t="s">
        <v>8</v>
      </c>
      <c r="E3" s="2" t="s">
        <v>9</v>
      </c>
      <c r="F3" s="2" t="s">
        <v>10</v>
      </c>
      <c r="G3" s="2"/>
      <c r="H3" s="2"/>
      <c r="I3" s="2"/>
    </row>
    <row r="4" customFormat="false" ht="15" hidden="false" customHeight="true" outlineLevel="0" collapsed="false">
      <c r="A4" s="3" t="s">
        <v>11</v>
      </c>
      <c r="B4" s="3" t="n">
        <v>14</v>
      </c>
      <c r="C4" s="3" t="s">
        <v>12</v>
      </c>
      <c r="D4" s="4" t="n">
        <v>56947.4</v>
      </c>
      <c r="E4" s="4" t="n">
        <v>2518.5</v>
      </c>
      <c r="F4" s="4" t="n">
        <f aca="false">N(D4)+N(E4)</f>
        <v>59465.9</v>
      </c>
      <c r="G4" s="4" t="n">
        <f aca="false">SUM(SUMIFS(主梁数量!$J$4:$J$1299,主梁数量!$D$4:$D$1299,D$3,主梁数量!$G$4:$G$1299,$B4),SUMIFS(主梁数量!$J$4:$J$1299,主梁数量!$D$4:$D$1299,E$3,主梁数量!$G$4:$G$1299,$B4),SUMIFS(横隔板!$J$4:$J$489,横隔板!$D$4:$D$489,D$3,横隔板!$G$4:$G$489,$B4),SUMIFS(横隔板!$J$4:$J$489,横隔板!$D$4:$D$489,E$3,横隔板!$G$4:$G$489,$B4))</f>
        <v>75247.2632926</v>
      </c>
      <c r="H4" s="4" t="n">
        <f aca="false">G4-F4</f>
        <v>15781.3632926</v>
      </c>
      <c r="I4" s="3"/>
    </row>
    <row r="5" customFormat="false" ht="15" hidden="false" customHeight="false" outlineLevel="0" collapsed="false">
      <c r="A5" s="3"/>
      <c r="B5" s="3" t="n">
        <v>16</v>
      </c>
      <c r="C5" s="3" t="s">
        <v>12</v>
      </c>
      <c r="D5" s="4" t="n">
        <v>115785.1</v>
      </c>
      <c r="E5" s="4" t="n">
        <v>27946.9</v>
      </c>
      <c r="F5" s="4" t="n">
        <f aca="false">N(D5)+N(E5)</f>
        <v>143732</v>
      </c>
      <c r="G5" s="4" t="n">
        <f aca="false">SUM(SUMIFS(主梁数量!$J$4:$J$1299,主梁数量!$D$4:$D$1299,D$3,主梁数量!$G$4:$G$1299,$B5),SUMIFS(主梁数量!$J$4:$J$1299,主梁数量!$D$4:$D$1299,E$3,主梁数量!$G$4:$G$1299,$B5),SUMIFS(横隔板!$J$4:$J$489,横隔板!$D$4:$D$489,D$3,横隔板!$G$4:$G$489,$B5),SUMIFS(横隔板!$J$4:$J$489,横隔板!$D$4:$D$489,E$3,横隔板!$G$4:$G$489,$B5))</f>
        <v>139615.14508</v>
      </c>
      <c r="H5" s="4" t="n">
        <f aca="false">G5-F5</f>
        <v>-4116.85492000001</v>
      </c>
      <c r="I5" s="3"/>
    </row>
    <row r="6" customFormat="false" ht="15" hidden="false" customHeight="false" outlineLevel="0" collapsed="false">
      <c r="A6" s="3"/>
      <c r="B6" s="3" t="n">
        <v>20</v>
      </c>
      <c r="C6" s="3" t="s">
        <v>12</v>
      </c>
      <c r="D6" s="4" t="n">
        <v>423735</v>
      </c>
      <c r="E6" s="4"/>
      <c r="F6" s="4" t="n">
        <f aca="false">N(D6)+N(E6)</f>
        <v>423735</v>
      </c>
      <c r="G6" s="4" t="n">
        <f aca="false">SUM(SUMIFS(主梁数量!$J$4:$J$1299,主梁数量!$D$4:$D$1299,D$3,主梁数量!$G$4:$G$1299,$B6),SUMIFS(主梁数量!$J$4:$J$1299,主梁数量!$D$4:$D$1299,E$3,主梁数量!$G$4:$G$1299,$B6),SUMIFS(横隔板!$J$4:$J$489,横隔板!$D$4:$D$489,D$3,横隔板!$G$4:$G$489,$B6),SUMIFS(横隔板!$J$4:$J$489,横隔板!$D$4:$D$489,E$3,横隔板!$G$4:$G$489,$B6))</f>
        <v>468434.676834</v>
      </c>
      <c r="H6" s="4" t="n">
        <f aca="false">G6-F6</f>
        <v>44699.676834</v>
      </c>
      <c r="I6" s="3"/>
    </row>
    <row r="7" customFormat="false" ht="15" hidden="false" customHeight="false" outlineLevel="0" collapsed="false">
      <c r="A7" s="3"/>
      <c r="B7" s="3" t="n">
        <v>24</v>
      </c>
      <c r="C7" s="3" t="s">
        <v>12</v>
      </c>
      <c r="D7" s="4" t="n">
        <v>301501</v>
      </c>
      <c r="E7" s="4"/>
      <c r="F7" s="4" t="n">
        <f aca="false">N(D7)+N(E7)</f>
        <v>301501</v>
      </c>
      <c r="G7" s="4" t="n">
        <f aca="false">SUM(SUMIFS(主梁数量!$J$4:$J$1299,主梁数量!$D$4:$D$1299,D$3,主梁数量!$G$4:$G$1299,$B7),SUMIFS(主梁数量!$J$4:$J$1299,主梁数量!$D$4:$D$1299,E$3,主梁数量!$G$4:$G$1299,$B7),SUMIFS(横隔板!$J$4:$J$489,横隔板!$D$4:$D$489,D$3,横隔板!$G$4:$G$489,$B7),SUMIFS(横隔板!$J$4:$J$489,横隔板!$D$4:$D$489,E$3,横隔板!$G$4:$G$489,$B7))</f>
        <v>379066.248528</v>
      </c>
      <c r="H7" s="4" t="n">
        <f aca="false">G7-F7</f>
        <v>77565.248528</v>
      </c>
      <c r="I7" s="3"/>
    </row>
    <row r="8" customFormat="false" ht="15" hidden="false" customHeight="false" outlineLevel="0" collapsed="false">
      <c r="A8" s="3"/>
      <c r="B8" s="3" t="n">
        <v>28</v>
      </c>
      <c r="C8" s="3" t="s">
        <v>12</v>
      </c>
      <c r="D8" s="4" t="n">
        <v>60106.8</v>
      </c>
      <c r="E8" s="4"/>
      <c r="F8" s="4" t="n">
        <f aca="false">N(D8)+N(E8)</f>
        <v>60106.8</v>
      </c>
      <c r="G8" s="4" t="n">
        <f aca="false">SUM(SUMIFS(主梁数量!$J$4:$J$1299,主梁数量!$D$4:$D$1299,D$3,主梁数量!$G$4:$G$1299,$B8),SUMIFS(主梁数量!$J$4:$J$1299,主梁数量!$D$4:$D$1299,E$3,主梁数量!$G$4:$G$1299,$B8),SUMIFS(横隔板!$J$4:$J$489,横隔板!$D$4:$D$489,D$3,横隔板!$G$4:$G$489,$B8),SUMIFS(横隔板!$J$4:$J$489,横隔板!$D$4:$D$489,E$3,横隔板!$G$4:$G$489,$B8))</f>
        <v>55654.76672</v>
      </c>
      <c r="H8" s="4" t="n">
        <f aca="false">G8-F8</f>
        <v>-4452.03328</v>
      </c>
      <c r="I8" s="3"/>
    </row>
    <row r="9" customFormat="false" ht="15" hidden="false" customHeight="false" outlineLevel="0" collapsed="false">
      <c r="A9" s="3"/>
      <c r="B9" s="3" t="n">
        <v>32</v>
      </c>
      <c r="C9" s="3" t="s">
        <v>12</v>
      </c>
      <c r="D9" s="4" t="n">
        <v>398720.8</v>
      </c>
      <c r="E9" s="4" t="n">
        <v>275007.2</v>
      </c>
      <c r="F9" s="4" t="n">
        <f aca="false">N(D9)+N(E9)</f>
        <v>673728</v>
      </c>
      <c r="G9" s="4" t="n">
        <f aca="false">SUM(SUMIFS(主梁数量!$J$4:$J$1299,主梁数量!$D$4:$D$1299,D$3,主梁数量!$G$4:$G$1299,$B9),SUMIFS(主梁数量!$J$4:$J$1299,主梁数量!$D$4:$D$1299,E$3,主梁数量!$G$4:$G$1299,$B9),SUMIFS(横隔板!$J$4:$J$489,横隔板!$D$4:$D$489,D$3,横隔板!$G$4:$G$489,$B9),SUMIFS(横隔板!$J$4:$J$489,横隔板!$D$4:$D$489,E$3,横隔板!$G$4:$G$489,$B9))</f>
        <v>736367.6337792</v>
      </c>
      <c r="H9" s="4" t="n">
        <f aca="false">G9-F9</f>
        <v>62639.6337792</v>
      </c>
      <c r="I9" s="3"/>
    </row>
    <row r="10" customFormat="false" ht="15" hidden="false" customHeight="false" outlineLevel="0" collapsed="false">
      <c r="A10" s="3"/>
      <c r="B10" s="3" t="n">
        <v>36</v>
      </c>
      <c r="C10" s="3" t="s">
        <v>12</v>
      </c>
      <c r="D10" s="4" t="n">
        <v>521193.4</v>
      </c>
      <c r="E10" s="4" t="n">
        <v>3283.8</v>
      </c>
      <c r="F10" s="4" t="n">
        <f aca="false">N(D10)+N(E10)</f>
        <v>524477.2</v>
      </c>
      <c r="G10" s="4" t="n">
        <f aca="false">SUM(SUMIFS(主梁数量!$J$4:$J$1299,主梁数量!$D$4:$D$1299,D$3,主梁数量!$G$4:$G$1299,$B10),SUMIFS(主梁数量!$J$4:$J$1299,主梁数量!$D$4:$D$1299,E$3,主梁数量!$G$4:$G$1299,$B10),SUMIFS(横隔板!$J$4:$J$489,横隔板!$D$4:$D$489,D$3,横隔板!$G$4:$G$489,$B10),SUMIFS(横隔板!$J$4:$J$489,横隔板!$D$4:$D$489,E$3,横隔板!$G$4:$G$489,$B10))</f>
        <v>539462.37456</v>
      </c>
      <c r="H10" s="4" t="n">
        <f aca="false">G10-F10</f>
        <v>14985.17456</v>
      </c>
      <c r="I10" s="3"/>
    </row>
    <row r="11" customFormat="false" ht="15" hidden="false" customHeight="false" outlineLevel="0" collapsed="false">
      <c r="A11" s="3"/>
      <c r="B11" s="3" t="n">
        <v>40</v>
      </c>
      <c r="C11" s="3" t="s">
        <v>12</v>
      </c>
      <c r="D11" s="4" t="n">
        <v>497184.5</v>
      </c>
      <c r="E11" s="4" t="n">
        <v>307680.3</v>
      </c>
      <c r="F11" s="4" t="n">
        <f aca="false">N(D11)+N(E11)</f>
        <v>804864.8</v>
      </c>
      <c r="G11" s="4" t="n">
        <f aca="false">SUM(SUMIFS(主梁数量!$J$4:$J$1299,主梁数量!$D$4:$D$1299,D$3,主梁数量!$G$4:$G$1299,$B11),SUMIFS(主梁数量!$J$4:$J$1299,主梁数量!$D$4:$D$1299,E$3,主梁数量!$G$4:$G$1299,$B11),SUMIFS(横隔板!$J$4:$J$489,横隔板!$D$4:$D$489,D$3,横隔板!$G$4:$G$489,$B11),SUMIFS(横隔板!$J$4:$J$489,横隔板!$D$4:$D$489,E$3,横隔板!$G$4:$G$489,$B11))</f>
        <v>871922.2336</v>
      </c>
      <c r="H11" s="4" t="n">
        <f aca="false">G11-F11</f>
        <v>67057.4336</v>
      </c>
      <c r="I11" s="3"/>
    </row>
    <row r="12" customFormat="false" ht="15" hidden="false" customHeight="false" outlineLevel="0" collapsed="false">
      <c r="A12" s="3"/>
      <c r="B12" s="3" t="n">
        <v>44</v>
      </c>
      <c r="C12" s="3" t="s">
        <v>12</v>
      </c>
      <c r="D12" s="4" t="n">
        <v>140063</v>
      </c>
      <c r="E12" s="4" t="n">
        <v>245856.9</v>
      </c>
      <c r="F12" s="4" t="n">
        <f aca="false">N(D12)+N(E12)</f>
        <v>385919.9</v>
      </c>
      <c r="G12" s="4" t="n">
        <f aca="false">SUM(SUMIFS(主梁数量!$J$4:$J$1299,主梁数量!$D$4:$D$1299,D$3,主梁数量!$G$4:$G$1299,$B12),SUMIFS(主梁数量!$J$4:$J$1299,主梁数量!$D$4:$D$1299,E$3,主梁数量!$G$4:$G$1299,$B12),SUMIFS(横隔板!$J$4:$J$489,横隔板!$D$4:$D$489,D$3,横隔板!$G$4:$G$489,$B12),SUMIFS(横隔板!$J$4:$J$489,横隔板!$D$4:$D$489,E$3,横隔板!$G$4:$G$489,$B12))</f>
        <v>448954.1004432</v>
      </c>
      <c r="H12" s="4" t="n">
        <f aca="false">G12-F12</f>
        <v>63034.2004432</v>
      </c>
      <c r="I12" s="3"/>
    </row>
    <row r="13" customFormat="false" ht="15" hidden="false" customHeight="false" outlineLevel="0" collapsed="false">
      <c r="A13" s="3"/>
      <c r="B13" s="3" t="n">
        <v>48</v>
      </c>
      <c r="C13" s="3" t="s">
        <v>12</v>
      </c>
      <c r="D13" s="4" t="n">
        <v>33973.3</v>
      </c>
      <c r="E13" s="4" t="n">
        <v>248026.7</v>
      </c>
      <c r="F13" s="4" t="n">
        <f aca="false">N(D13)+N(E13)</f>
        <v>282000</v>
      </c>
      <c r="G13" s="4" t="n">
        <f aca="false">SUM(SUMIFS(主梁数量!$J$4:$J$1299,主梁数量!$D$4:$D$1299,D$3,主梁数量!$G$4:$G$1299,$B13),SUMIFS(主梁数量!$J$4:$J$1299,主梁数量!$D$4:$D$1299,E$3,主梁数量!$G$4:$G$1299,$B13),SUMIFS(横隔板!$J$4:$J$489,横隔板!$D$4:$D$489,D$3,横隔板!$G$4:$G$489,$B13),SUMIFS(横隔板!$J$4:$J$489,横隔板!$D$4:$D$489,E$3,横隔板!$G$4:$G$489,$B13))</f>
        <v>305480.773056</v>
      </c>
      <c r="H13" s="4" t="n">
        <f aca="false">G13-F13</f>
        <v>23480.773056</v>
      </c>
      <c r="I13" s="3"/>
    </row>
    <row r="14" customFormat="false" ht="15" hidden="false" customHeight="false" outlineLevel="0" collapsed="false">
      <c r="A14" s="3"/>
      <c r="B14" s="3" t="n">
        <v>60</v>
      </c>
      <c r="C14" s="3" t="s">
        <v>12</v>
      </c>
      <c r="D14" s="4"/>
      <c r="E14" s="4" t="n">
        <v>2458.8</v>
      </c>
      <c r="F14" s="4" t="n">
        <f aca="false">N(D14)+N(E14)</f>
        <v>2458.8</v>
      </c>
      <c r="G14" s="4" t="n">
        <f aca="false">SUM(SUMIFS(主梁数量!$J$4:$J$1299,主梁数量!$D$4:$D$1299,D$3,主梁数量!$G$4:$G$1299,$B14),SUMIFS(主梁数量!$J$4:$J$1299,主梁数量!$D$4:$D$1299,E$3,主梁数量!$G$4:$G$1299,$B14),SUMIFS(横隔板!$J$4:$J$489,横隔板!$D$4:$D$489,D$3,横隔板!$G$4:$G$489,$B14),SUMIFS(横隔板!$J$4:$J$489,横隔板!$D$4:$D$489,E$3,横隔板!$G$4:$G$489,$B14))</f>
        <v>2466.8154</v>
      </c>
      <c r="H14" s="4" t="n">
        <f aca="false">G14-F14</f>
        <v>8.01539999999932</v>
      </c>
      <c r="I14" s="3"/>
    </row>
    <row r="15" customFormat="false" ht="15" hidden="false" customHeight="false" outlineLevel="0" collapsed="false">
      <c r="A15" s="3"/>
      <c r="B15" s="3" t="n">
        <v>80</v>
      </c>
      <c r="C15" s="3" t="s">
        <v>12</v>
      </c>
      <c r="D15" s="4" t="n">
        <v>3052.1</v>
      </c>
      <c r="E15" s="4" t="n">
        <v>6989.7</v>
      </c>
      <c r="F15" s="4" t="n">
        <f aca="false">N(D15)+N(E15)</f>
        <v>10041.8</v>
      </c>
      <c r="G15" s="4" t="n">
        <f aca="false">SUM(SUMIFS(主梁数量!$J$4:$J$1299,主梁数量!$D$4:$D$1299,D$3,主梁数量!$G$4:$G$1299,$B15),SUMIFS(主梁数量!$J$4:$J$1299,主梁数量!$D$4:$D$1299,E$3,主梁数量!$G$4:$G$1299,$B15),SUMIFS(横隔板!$J$4:$J$489,横隔板!$D$4:$D$489,D$3,横隔板!$G$4:$G$489,$B15),SUMIFS(横隔板!$J$4:$J$489,横隔板!$D$4:$D$489,E$3,横隔板!$G$4:$G$489,$B15))</f>
        <v>9319.52</v>
      </c>
      <c r="H15" s="4" t="n">
        <f aca="false">G15-F15</f>
        <v>-722.280000000001</v>
      </c>
      <c r="I15" s="3"/>
    </row>
    <row r="16" customFormat="false" ht="15" hidden="false" customHeight="false" outlineLevel="0" collapsed="false">
      <c r="A16" s="3"/>
      <c r="B16" s="3" t="n">
        <v>100</v>
      </c>
      <c r="C16" s="3" t="s">
        <v>12</v>
      </c>
      <c r="D16" s="4" t="n">
        <v>3815.1</v>
      </c>
      <c r="E16" s="4" t="n">
        <v>8737.1</v>
      </c>
      <c r="F16" s="4" t="n">
        <f aca="false">N(D16)+N(E16)</f>
        <v>12552.2</v>
      </c>
      <c r="G16" s="4" t="n">
        <f aca="false">SUM(SUMIFS(主梁数量!$J$4:$J$1299,主梁数量!$D$4:$D$1299,D$3,主梁数量!$G$4:$G$1299,$B16),SUMIFS(主梁数量!$J$4:$J$1299,主梁数量!$D$4:$D$1299,E$3,主梁数量!$G$4:$G$1299,$B16),SUMIFS(横隔板!$J$4:$J$489,横隔板!$D$4:$D$489,D$3,横隔板!$G$4:$G$489,$B16),SUMIFS(横隔板!$J$4:$J$489,横隔板!$D$4:$D$489,E$3,横隔板!$G$4:$G$489,$B16))</f>
        <v>11649.4</v>
      </c>
      <c r="H16" s="4" t="n">
        <f aca="false">G16-F16</f>
        <v>-902.800000000001</v>
      </c>
      <c r="I16" s="3"/>
    </row>
    <row r="17" customFormat="false" ht="15" hidden="false" customHeight="true" outlineLevel="0" collapsed="false">
      <c r="A17" s="3" t="s">
        <v>13</v>
      </c>
      <c r="B17" s="3" t="n">
        <v>8</v>
      </c>
      <c r="C17" s="3" t="s">
        <v>12</v>
      </c>
      <c r="D17" s="4" t="n">
        <v>1352.2</v>
      </c>
      <c r="E17" s="4"/>
      <c r="F17" s="4" t="n">
        <f aca="false">N(D17)+N(E17)</f>
        <v>1352.2</v>
      </c>
      <c r="G17" s="4" t="n">
        <f aca="false">SUM(SUMIFS(主桁拼接!$J$4:$J$574,主桁拼接!$D$4:$D$574,D$3,主桁拼接!$G$4:$G$574,$B17),SUMIFS(主桁拼接!$J$4:$J$574,主桁拼接!$D$4:$D$574,E$3,主桁拼接!$G$4:$G$574,$B17))</f>
        <v>1096.488</v>
      </c>
      <c r="H17" s="4" t="n">
        <f aca="false">G17-F17</f>
        <v>-255.712</v>
      </c>
      <c r="I17" s="3"/>
    </row>
    <row r="18" customFormat="false" ht="15" hidden="false" customHeight="false" outlineLevel="0" collapsed="false">
      <c r="A18" s="3"/>
      <c r="B18" s="3" t="n">
        <v>12</v>
      </c>
      <c r="C18" s="3" t="s">
        <v>12</v>
      </c>
      <c r="D18" s="4" t="n">
        <v>2006.1</v>
      </c>
      <c r="E18" s="4"/>
      <c r="F18" s="4" t="n">
        <f aca="false">N(D18)+N(E18)</f>
        <v>2006.1</v>
      </c>
      <c r="G18" s="4" t="n">
        <f aca="false">SUM(SUMIFS(主桁拼接!$J$4:$J$574,主桁拼接!$D$4:$D$574,D$3,主桁拼接!$G$4:$G$574,$B18),SUMIFS(主桁拼接!$J$4:$J$574,主桁拼接!$D$4:$D$574,E$3,主桁拼接!$G$4:$G$574,$B18))</f>
        <v>974.028</v>
      </c>
      <c r="H18" s="4" t="n">
        <f aca="false">G18-F18</f>
        <v>-1032.072</v>
      </c>
      <c r="I18" s="3"/>
    </row>
    <row r="19" customFormat="false" ht="15" hidden="false" customHeight="false" outlineLevel="0" collapsed="false">
      <c r="A19" s="3"/>
      <c r="B19" s="3" t="n">
        <v>14</v>
      </c>
      <c r="C19" s="3" t="s">
        <v>12</v>
      </c>
      <c r="D19" s="4" t="n">
        <v>554.4</v>
      </c>
      <c r="E19" s="4"/>
      <c r="F19" s="4" t="n">
        <f aca="false">N(D19)+N(E19)</f>
        <v>554.4</v>
      </c>
      <c r="G19" s="4" t="n">
        <f aca="false">SUM(SUMIFS(主桁拼接!$J$4:$J$574,主桁拼接!$D$4:$D$574,D$3,主桁拼接!$G$4:$G$574,$B19),SUMIFS(主桁拼接!$J$4:$J$574,主桁拼接!$D$4:$D$574,E$3,主桁拼接!$G$4:$G$574,$B19))</f>
        <v>0</v>
      </c>
      <c r="H19" s="4" t="n">
        <f aca="false">G19-F19</f>
        <v>-554.4</v>
      </c>
      <c r="I19" s="3"/>
    </row>
    <row r="20" customFormat="false" ht="15" hidden="false" customHeight="false" outlineLevel="0" collapsed="false">
      <c r="A20" s="3"/>
      <c r="B20" s="3" t="n">
        <v>16</v>
      </c>
      <c r="C20" s="3" t="s">
        <v>12</v>
      </c>
      <c r="D20" s="4" t="n">
        <v>9958.7</v>
      </c>
      <c r="E20" s="4"/>
      <c r="F20" s="4" t="n">
        <f aca="false">N(D20)+N(E20)</f>
        <v>9958.7</v>
      </c>
      <c r="G20" s="4" t="n">
        <f aca="false">SUM(SUMIFS(主桁拼接!$J$4:$J$574,主桁拼接!$D$4:$D$574,D$3,主桁拼接!$G$4:$G$574,$B20),SUMIFS(主桁拼接!$J$4:$J$574,主桁拼接!$D$4:$D$574,E$3,主桁拼接!$G$4:$G$574,$B20))</f>
        <v>9817.1472</v>
      </c>
      <c r="H20" s="4" t="n">
        <f aca="false">G20-F20</f>
        <v>-141.552800000001</v>
      </c>
      <c r="I20" s="3"/>
    </row>
    <row r="21" customFormat="false" ht="15" hidden="false" customHeight="false" outlineLevel="0" collapsed="false">
      <c r="A21" s="3"/>
      <c r="B21" s="3" t="n">
        <v>20</v>
      </c>
      <c r="C21" s="3" t="s">
        <v>12</v>
      </c>
      <c r="D21" s="4" t="n">
        <v>22910.7</v>
      </c>
      <c r="E21" s="4"/>
      <c r="F21" s="4" t="n">
        <f aca="false">N(D21)+N(E21)</f>
        <v>22910.7</v>
      </c>
      <c r="G21" s="4" t="n">
        <f aca="false">SUM(SUMIFS(主桁拼接!$J$4:$J$574,主桁拼接!$D$4:$D$574,D$3,主桁拼接!$G$4:$G$574,$B21),SUMIFS(主桁拼接!$J$4:$J$574,主桁拼接!$D$4:$D$574,E$3,主桁拼接!$G$4:$G$574,$B21))</f>
        <v>21618.9</v>
      </c>
      <c r="H21" s="4" t="n">
        <f aca="false">G21-F21</f>
        <v>-1291.8</v>
      </c>
      <c r="I21" s="3"/>
    </row>
    <row r="22" customFormat="false" ht="15" hidden="false" customHeight="false" outlineLevel="0" collapsed="false">
      <c r="A22" s="3"/>
      <c r="B22" s="3" t="n">
        <v>24</v>
      </c>
      <c r="C22" s="3" t="s">
        <v>12</v>
      </c>
      <c r="D22" s="4" t="n">
        <v>43378.8</v>
      </c>
      <c r="E22" s="4" t="n">
        <v>11198.7</v>
      </c>
      <c r="F22" s="4" t="n">
        <f aca="false">N(D22)+N(E22)</f>
        <v>54577.5</v>
      </c>
      <c r="G22" s="4" t="n">
        <f aca="false">SUM(SUMIFS(主桁拼接!$J$4:$J$574,主桁拼接!$D$4:$D$574,D$3,主桁拼接!$G$4:$G$574,$B22),SUMIFS(主桁拼接!$J$4:$J$574,主桁拼接!$D$4:$D$574,E$3,主桁拼接!$G$4:$G$574,$B22))</f>
        <v>43806.858432</v>
      </c>
      <c r="H22" s="4" t="n">
        <f aca="false">G22-F22</f>
        <v>-10770.641568</v>
      </c>
      <c r="I22" s="3"/>
    </row>
    <row r="23" customFormat="false" ht="15" hidden="false" customHeight="false" outlineLevel="0" collapsed="false">
      <c r="A23" s="3"/>
      <c r="B23" s="3" t="n">
        <v>28</v>
      </c>
      <c r="C23" s="3" t="s">
        <v>12</v>
      </c>
      <c r="D23" s="4" t="n">
        <v>45262.6</v>
      </c>
      <c r="E23" s="4" t="n">
        <v>12062.2</v>
      </c>
      <c r="F23" s="4" t="n">
        <f aca="false">N(D23)+N(E23)</f>
        <v>57324.8</v>
      </c>
      <c r="G23" s="4" t="n">
        <f aca="false">SUM(SUMIFS(主桁拼接!$J$4:$J$574,主桁拼接!$D$4:$D$574,D$3,主桁拼接!$G$4:$G$574,$B23),SUMIFS(主桁拼接!$J$4:$J$574,主桁拼接!$D$4:$D$574,E$3,主桁拼接!$G$4:$G$574,$B23))</f>
        <v>47670.224</v>
      </c>
      <c r="H23" s="4" t="n">
        <f aca="false">G23-F23</f>
        <v>-9654.576</v>
      </c>
      <c r="I23" s="3"/>
    </row>
    <row r="24" customFormat="false" ht="15" hidden="false" customHeight="false" outlineLevel="0" collapsed="false">
      <c r="A24" s="3"/>
      <c r="B24" s="3" t="n">
        <v>32</v>
      </c>
      <c r="C24" s="3" t="s">
        <v>12</v>
      </c>
      <c r="D24" s="4" t="n">
        <v>9954.8</v>
      </c>
      <c r="E24" s="4" t="n">
        <v>10990.2</v>
      </c>
      <c r="F24" s="4" t="n">
        <f aca="false">N(D24)+N(E24)</f>
        <v>20945</v>
      </c>
      <c r="G24" s="4" t="n">
        <f aca="false">SUM(SUMIFS(主桁拼接!$J$4:$J$574,主桁拼接!$D$4:$D$574,D$3,主桁拼接!$G$4:$G$574,$B24),SUMIFS(主桁拼接!$J$4:$J$574,主桁拼接!$D$4:$D$574,E$3,主桁拼接!$G$4:$G$574,$B24))</f>
        <v>20314.0416</v>
      </c>
      <c r="H24" s="4" t="n">
        <f aca="false">G24-F24</f>
        <v>-630.9584</v>
      </c>
      <c r="I24" s="3"/>
    </row>
    <row r="25" customFormat="false" ht="15" hidden="false" customHeight="false" outlineLevel="0" collapsed="false">
      <c r="A25" s="3"/>
      <c r="B25" s="3" t="n">
        <v>36</v>
      </c>
      <c r="C25" s="3" t="s">
        <v>12</v>
      </c>
      <c r="D25" s="4" t="n">
        <v>10581.6</v>
      </c>
      <c r="E25" s="4" t="n">
        <v>8986.5</v>
      </c>
      <c r="F25" s="4" t="n">
        <f aca="false">N(D25)+N(E25)</f>
        <v>19568.1</v>
      </c>
      <c r="G25" s="4" t="n">
        <f aca="false">SUM(SUMIFS(主桁拼接!$J$4:$J$574,主桁拼接!$D$4:$D$574,D$3,主桁拼接!$G$4:$G$574,$B25),SUMIFS(主桁拼接!$J$4:$J$574,主桁拼接!$D$4:$D$574,E$3,主桁拼接!$G$4:$G$574,$B25))</f>
        <v>18017.89776</v>
      </c>
      <c r="H25" s="4" t="n">
        <f aca="false">G25-F25</f>
        <v>-1550.20224</v>
      </c>
      <c r="I25" s="3"/>
    </row>
    <row r="26" customFormat="false" ht="15" hidden="false" customHeight="false" outlineLevel="0" collapsed="false">
      <c r="A26" s="3"/>
      <c r="B26" s="3" t="n">
        <v>40</v>
      </c>
      <c r="C26" s="3" t="s">
        <v>12</v>
      </c>
      <c r="D26" s="4"/>
      <c r="E26" s="4" t="n">
        <v>33604.5</v>
      </c>
      <c r="F26" s="4" t="n">
        <f aca="false">N(D26)+N(E26)</f>
        <v>33604.5</v>
      </c>
      <c r="G26" s="4" t="n">
        <f aca="false">SUM(SUMIFS(主桁拼接!$J$4:$J$574,主桁拼接!$D$4:$D$574,D$3,主桁拼接!$G$4:$G$574,$B26),SUMIFS(主桁拼接!$J$4:$J$574,主桁拼接!$D$4:$D$574,E$3,主桁拼接!$G$4:$G$574,$B26))</f>
        <v>33115.696</v>
      </c>
      <c r="H26" s="4" t="n">
        <f aca="false">G26-F26</f>
        <v>-488.803999999996</v>
      </c>
      <c r="I26" s="3"/>
    </row>
    <row r="27" customFormat="false" ht="15" hidden="false" customHeight="false" outlineLevel="0" collapsed="false">
      <c r="A27" s="3"/>
      <c r="B27" s="3" t="n">
        <v>44</v>
      </c>
      <c r="C27" s="3" t="s">
        <v>12</v>
      </c>
      <c r="D27" s="4" t="n">
        <v>10730.2</v>
      </c>
      <c r="E27" s="4" t="n">
        <v>10164.6</v>
      </c>
      <c r="F27" s="4" t="n">
        <f aca="false">N(D27)+N(E27)</f>
        <v>20894.8</v>
      </c>
      <c r="G27" s="4" t="n">
        <f aca="false">SUM(SUMIFS(主桁拼接!$J$4:$J$574,主桁拼接!$D$4:$D$574,D$3,主桁拼接!$G$4:$G$574,$B27),SUMIFS(主桁拼接!$J$4:$J$574,主桁拼接!$D$4:$D$574,E$3,主桁拼接!$G$4:$G$574,$B27))</f>
        <v>19283.54384</v>
      </c>
      <c r="H27" s="4" t="n">
        <f aca="false">G27-F27</f>
        <v>-1611.25616</v>
      </c>
      <c r="I27" s="3"/>
    </row>
    <row r="28" customFormat="false" ht="15" hidden="false" customHeight="false" outlineLevel="0" collapsed="false">
      <c r="A28" s="3"/>
      <c r="B28" s="3" t="n">
        <v>48</v>
      </c>
      <c r="C28" s="3" t="s">
        <v>12</v>
      </c>
      <c r="D28" s="4"/>
      <c r="E28" s="4" t="n">
        <v>1633.4</v>
      </c>
      <c r="F28" s="4" t="n">
        <f aca="false">N(D28)+N(E28)</f>
        <v>1633.4</v>
      </c>
      <c r="G28" s="4" t="n">
        <f aca="false">SUM(SUMIFS(主桁拼接!$J$4:$J$574,主桁拼接!$D$4:$D$574,D$3,主桁拼接!$G$4:$G$574,$B28),SUMIFS(主桁拼接!$J$4:$J$574,主桁拼接!$D$4:$D$574,E$3,主桁拼接!$G$4:$G$574,$B28))</f>
        <v>2176.3968</v>
      </c>
      <c r="H28" s="4" t="n">
        <f aca="false">G28-F28</f>
        <v>542.9968</v>
      </c>
      <c r="I28" s="3"/>
    </row>
    <row r="29" customFormat="false" ht="15" hidden="false" customHeight="true" outlineLevel="0" collapsed="false">
      <c r="A29" s="3" t="s">
        <v>14</v>
      </c>
      <c r="B29" s="3" t="n">
        <v>10</v>
      </c>
      <c r="C29" s="3" t="s">
        <v>12</v>
      </c>
      <c r="D29" s="4" t="n">
        <v>40128</v>
      </c>
      <c r="E29" s="4"/>
      <c r="F29" s="4" t="n">
        <f aca="false">N(D29)+N(E29)</f>
        <v>40128</v>
      </c>
      <c r="G29" s="4" t="n">
        <f aca="false">SUMIFS(桥面系!$J$4:$J$63,桥面系!$A$4:$A$63,"上层桥面系",桥面系!$G$4:$G$63,$B29)</f>
        <v>40128</v>
      </c>
      <c r="H29" s="4" t="n">
        <f aca="false">G29-F29</f>
        <v>0</v>
      </c>
      <c r="I29" s="3"/>
    </row>
    <row r="30" customFormat="false" ht="15" hidden="false" customHeight="false" outlineLevel="0" collapsed="false">
      <c r="A30" s="3"/>
      <c r="B30" s="3" t="n">
        <v>12</v>
      </c>
      <c r="C30" s="3" t="s">
        <v>12</v>
      </c>
      <c r="D30" s="4" t="n">
        <v>191453</v>
      </c>
      <c r="E30" s="4"/>
      <c r="F30" s="4" t="n">
        <f aca="false">N(D30)+N(E30)</f>
        <v>191453</v>
      </c>
      <c r="G30" s="4" t="n">
        <f aca="false">SUMIFS(桥面系!$J$4:$J$63,桥面系!$A$4:$A$63,"上层桥面系",桥面系!$G$4:$G$63,$B30)</f>
        <v>191453</v>
      </c>
      <c r="H30" s="4" t="n">
        <f aca="false">G30-F30</f>
        <v>0</v>
      </c>
      <c r="I30" s="3"/>
    </row>
    <row r="31" customFormat="false" ht="15" hidden="false" customHeight="false" outlineLevel="0" collapsed="false">
      <c r="A31" s="3"/>
      <c r="B31" s="3" t="n">
        <v>14</v>
      </c>
      <c r="C31" s="3" t="s">
        <v>12</v>
      </c>
      <c r="D31" s="4" t="n">
        <v>789637.2</v>
      </c>
      <c r="E31" s="4"/>
      <c r="F31" s="4" t="n">
        <f aca="false">N(D31)+N(E31)</f>
        <v>789637.2</v>
      </c>
      <c r="G31" s="4" t="n">
        <f aca="false">SUMIFS(桥面系!$J$4:$J$63,桥面系!$A$4:$A$63,"上层桥面系",桥面系!$G$4:$G$63,$B31)</f>
        <v>789637.2</v>
      </c>
      <c r="H31" s="4" t="n">
        <f aca="false">G31-F31</f>
        <v>0</v>
      </c>
      <c r="I31" s="3"/>
    </row>
    <row r="32" customFormat="false" ht="15" hidden="false" customHeight="false" outlineLevel="0" collapsed="false">
      <c r="A32" s="3"/>
      <c r="B32" s="3" t="n">
        <v>16</v>
      </c>
      <c r="C32" s="3" t="s">
        <v>12</v>
      </c>
      <c r="D32" s="4" t="n">
        <v>1867.2</v>
      </c>
      <c r="E32" s="4"/>
      <c r="F32" s="4" t="n">
        <f aca="false">N(D32)+N(E32)</f>
        <v>1867.2</v>
      </c>
      <c r="G32" s="4" t="n">
        <f aca="false">SUMIFS(桥面系!$J$4:$J$63,桥面系!$A$4:$A$63,"上层桥面系",桥面系!$G$4:$G$63,$B32)</f>
        <v>1867.2</v>
      </c>
      <c r="H32" s="4" t="n">
        <f aca="false">G32-F32</f>
        <v>0</v>
      </c>
      <c r="I32" s="3"/>
    </row>
    <row r="33" customFormat="false" ht="15" hidden="false" customHeight="false" outlineLevel="0" collapsed="false">
      <c r="A33" s="3"/>
      <c r="B33" s="3" t="n">
        <v>20</v>
      </c>
      <c r="C33" s="3" t="s">
        <v>12</v>
      </c>
      <c r="D33" s="4" t="n">
        <v>431122</v>
      </c>
      <c r="E33" s="4"/>
      <c r="F33" s="4" t="n">
        <f aca="false">N(D33)+N(E33)</f>
        <v>431122</v>
      </c>
      <c r="G33" s="4" t="n">
        <f aca="false">SUMIFS(桥面系!$J$4:$J$63,桥面系!$A$4:$A$63,"上层桥面系",桥面系!$G$4:$G$63,$B33)</f>
        <v>431122</v>
      </c>
      <c r="H33" s="4" t="n">
        <f aca="false">G33-F33</f>
        <v>0</v>
      </c>
      <c r="I33" s="3"/>
    </row>
    <row r="34" customFormat="false" ht="15" hidden="false" customHeight="false" outlineLevel="0" collapsed="false">
      <c r="A34" s="3"/>
      <c r="B34" s="3" t="n">
        <v>24</v>
      </c>
      <c r="C34" s="3" t="s">
        <v>12</v>
      </c>
      <c r="D34" s="4" t="n">
        <v>545983.2</v>
      </c>
      <c r="E34" s="4"/>
      <c r="F34" s="4" t="n">
        <f aca="false">N(D34)+N(E34)</f>
        <v>545983.2</v>
      </c>
      <c r="G34" s="4" t="n">
        <f aca="false">SUMIFS(桥面系!$J$4:$J$63,桥面系!$A$4:$A$63,"上层桥面系",桥面系!$G$4:$G$63,$B34)</f>
        <v>545983.2</v>
      </c>
      <c r="H34" s="4" t="n">
        <f aca="false">G34-F34</f>
        <v>0</v>
      </c>
      <c r="I34" s="3"/>
    </row>
    <row r="35" customFormat="false" ht="15" hidden="false" customHeight="true" outlineLevel="0" collapsed="false">
      <c r="A35" s="3" t="s">
        <v>15</v>
      </c>
      <c r="B35" s="3" t="n">
        <v>4</v>
      </c>
      <c r="C35" s="3" t="s">
        <v>12</v>
      </c>
      <c r="D35" s="4" t="n">
        <v>3898.8</v>
      </c>
      <c r="E35" s="4"/>
      <c r="F35" s="4" t="n">
        <f aca="false">N(D35)+N(E35)</f>
        <v>3898.8</v>
      </c>
      <c r="G35" s="4" t="n">
        <f aca="false">SUMIFS(桥面系!$J$4:$J$63,桥面系!$A$4:$A$63,"下层桥面系",桥面系!$G$4:$G$63,$B35)</f>
        <v>3898.8</v>
      </c>
      <c r="H35" s="4" t="n">
        <f aca="false">G35-F35</f>
        <v>0</v>
      </c>
      <c r="I35" s="3"/>
    </row>
    <row r="36" customFormat="false" ht="15" hidden="false" customHeight="false" outlineLevel="0" collapsed="false">
      <c r="A36" s="3"/>
      <c r="B36" s="3" t="n">
        <v>6</v>
      </c>
      <c r="C36" s="3" t="s">
        <v>12</v>
      </c>
      <c r="D36" s="4" t="n">
        <v>3898.8</v>
      </c>
      <c r="E36" s="4"/>
      <c r="F36" s="4" t="n">
        <f aca="false">N(D36)+N(E36)</f>
        <v>3898.8</v>
      </c>
      <c r="G36" s="4" t="n">
        <f aca="false">SUMIFS(桥面系!$J$4:$J$63,桥面系!$A$4:$A$63,"下层桥面系",桥面系!$G$4:$G$63,$B36)</f>
        <v>3898.8</v>
      </c>
      <c r="H36" s="4" t="n">
        <f aca="false">G36-F36</f>
        <v>0</v>
      </c>
      <c r="I36" s="3"/>
    </row>
    <row r="37" customFormat="false" ht="15" hidden="false" customHeight="false" outlineLevel="0" collapsed="false">
      <c r="A37" s="3"/>
      <c r="B37" s="3" t="n">
        <v>8</v>
      </c>
      <c r="C37" s="3" t="s">
        <v>12</v>
      </c>
      <c r="D37" s="4" t="n">
        <v>823554</v>
      </c>
      <c r="E37" s="4"/>
      <c r="F37" s="4" t="n">
        <f aca="false">N(D37)+N(E37)</f>
        <v>823554</v>
      </c>
      <c r="G37" s="4" t="n">
        <f aca="false">SUMIFS(桥面系!$J$4:$J$63,桥面系!$A$4:$A$63,"下层桥面系",桥面系!$G$4:$G$63,$B37)</f>
        <v>823554</v>
      </c>
      <c r="H37" s="4" t="n">
        <f aca="false">G37-F37</f>
        <v>0</v>
      </c>
      <c r="I37" s="3"/>
    </row>
    <row r="38" customFormat="false" ht="15" hidden="false" customHeight="false" outlineLevel="0" collapsed="false">
      <c r="A38" s="3"/>
      <c r="B38" s="3" t="n">
        <v>10</v>
      </c>
      <c r="C38" s="3" t="s">
        <v>12</v>
      </c>
      <c r="D38" s="4" t="n">
        <v>35164.8</v>
      </c>
      <c r="E38" s="4"/>
      <c r="F38" s="4" t="n">
        <f aca="false">N(D38)+N(E38)</f>
        <v>35164.8</v>
      </c>
      <c r="G38" s="4" t="n">
        <f aca="false">SUMIFS(桥面系!$J$4:$J$63,桥面系!$A$4:$A$63,"下层桥面系",桥面系!$G$4:$G$63,$B38)</f>
        <v>35164.8</v>
      </c>
      <c r="H38" s="4" t="n">
        <f aca="false">G38-F38</f>
        <v>0</v>
      </c>
      <c r="I38" s="3"/>
    </row>
    <row r="39" customFormat="false" ht="15" hidden="false" customHeight="false" outlineLevel="0" collapsed="false">
      <c r="A39" s="3"/>
      <c r="B39" s="3" t="n">
        <v>12</v>
      </c>
      <c r="C39" s="3" t="s">
        <v>12</v>
      </c>
      <c r="D39" s="4" t="n">
        <v>102008</v>
      </c>
      <c r="E39" s="4"/>
      <c r="F39" s="4" t="n">
        <f aca="false">N(D39)+N(E39)</f>
        <v>102008</v>
      </c>
      <c r="G39" s="4" t="n">
        <f aca="false">SUMIFS(桥面系!$J$4:$J$63,桥面系!$A$4:$A$63,"下层桥面系",桥面系!$G$4:$G$63,$B39)</f>
        <v>102008</v>
      </c>
      <c r="H39" s="4" t="n">
        <f aca="false">G39-F39</f>
        <v>0</v>
      </c>
      <c r="I39" s="3"/>
    </row>
    <row r="40" customFormat="false" ht="15" hidden="false" customHeight="false" outlineLevel="0" collapsed="false">
      <c r="A40" s="3"/>
      <c r="B40" s="3" t="n">
        <v>14</v>
      </c>
      <c r="C40" s="3" t="s">
        <v>12</v>
      </c>
      <c r="D40" s="4" t="n">
        <v>2052399</v>
      </c>
      <c r="E40" s="4"/>
      <c r="F40" s="4" t="n">
        <f aca="false">N(D40)+N(E40)</f>
        <v>2052399</v>
      </c>
      <c r="G40" s="4" t="n">
        <f aca="false">SUMIFS(桥面系!$J$4:$J$63,桥面系!$A$4:$A$63,"下层桥面系",桥面系!$G$4:$G$63,$B40)</f>
        <v>2052399</v>
      </c>
      <c r="H40" s="4" t="n">
        <f aca="false">G40-F40</f>
        <v>0</v>
      </c>
      <c r="I40" s="3"/>
    </row>
    <row r="41" customFormat="false" ht="15" hidden="false" customHeight="false" outlineLevel="0" collapsed="false">
      <c r="A41" s="3"/>
      <c r="B41" s="3" t="n">
        <v>16</v>
      </c>
      <c r="C41" s="3" t="s">
        <v>12</v>
      </c>
      <c r="D41" s="4" t="n">
        <v>5013.6</v>
      </c>
      <c r="E41" s="4"/>
      <c r="F41" s="4" t="n">
        <f aca="false">N(D41)+N(E41)</f>
        <v>5013.6</v>
      </c>
      <c r="G41" s="4" t="n">
        <f aca="false">SUMIFS(桥面系!$J$4:$J$63,桥面系!$A$4:$A$63,"下层桥面系",桥面系!$G$4:$G$63,$B41)</f>
        <v>5013.6</v>
      </c>
      <c r="H41" s="4" t="n">
        <f aca="false">G41-F41</f>
        <v>0</v>
      </c>
      <c r="I41" s="3"/>
    </row>
    <row r="42" customFormat="false" ht="15" hidden="false" customHeight="false" outlineLevel="0" collapsed="false">
      <c r="A42" s="3"/>
      <c r="B42" s="3" t="n">
        <v>20</v>
      </c>
      <c r="C42" s="3" t="s">
        <v>12</v>
      </c>
      <c r="D42" s="4" t="n">
        <v>69469.6</v>
      </c>
      <c r="E42" s="4"/>
      <c r="F42" s="4" t="n">
        <f aca="false">N(D42)+N(E42)</f>
        <v>69469.6</v>
      </c>
      <c r="G42" s="4" t="n">
        <f aca="false">SUMIFS(桥面系!$J$4:$J$63,桥面系!$A$4:$A$63,"下层桥面系",桥面系!$G$4:$G$63,$B42)</f>
        <v>69469.6</v>
      </c>
      <c r="H42" s="4" t="n">
        <f aca="false">G42-F42</f>
        <v>0</v>
      </c>
      <c r="I42" s="3"/>
    </row>
    <row r="43" customFormat="false" ht="15" hidden="false" customHeight="false" outlineLevel="0" collapsed="false">
      <c r="A43" s="3"/>
      <c r="B43" s="3" t="n">
        <v>24</v>
      </c>
      <c r="C43" s="3" t="s">
        <v>12</v>
      </c>
      <c r="D43" s="4" t="n">
        <v>495891.2</v>
      </c>
      <c r="E43" s="4"/>
      <c r="F43" s="4" t="n">
        <f aca="false">N(D43)+N(E43)</f>
        <v>495891.2</v>
      </c>
      <c r="G43" s="4" t="n">
        <f aca="false">SUMIFS(桥面系!$J$4:$J$63,桥面系!$A$4:$A$63,"下层桥面系",桥面系!$G$4:$G$63,$B43)</f>
        <v>495891.2</v>
      </c>
      <c r="H43" s="4" t="n">
        <f aca="false">G43-F43</f>
        <v>0</v>
      </c>
      <c r="I43" s="3"/>
    </row>
    <row r="44" customFormat="false" ht="15" hidden="false" customHeight="false" outlineLevel="0" collapsed="false">
      <c r="A44" s="3"/>
      <c r="B44" s="3" t="n">
        <v>28</v>
      </c>
      <c r="C44" s="3" t="s">
        <v>12</v>
      </c>
      <c r="D44" s="4" t="n">
        <v>16076.8</v>
      </c>
      <c r="E44" s="4"/>
      <c r="F44" s="4" t="n">
        <f aca="false">N(D44)+N(E44)</f>
        <v>16076.8</v>
      </c>
      <c r="G44" s="4" t="n">
        <f aca="false">SUMIFS(桥面系!$J$4:$J$63,桥面系!$A$4:$A$63,"下层桥面系",桥面系!$G$4:$G$63,$B44)</f>
        <v>16076.8</v>
      </c>
      <c r="H44" s="4" t="n">
        <f aca="false">G44-F44</f>
        <v>0</v>
      </c>
      <c r="I44" s="3"/>
    </row>
    <row r="45" customFormat="false" ht="15" hidden="false" customHeight="false" outlineLevel="0" collapsed="false">
      <c r="A45" s="3"/>
      <c r="B45" s="3" t="n">
        <v>44</v>
      </c>
      <c r="C45" s="3" t="s">
        <v>12</v>
      </c>
      <c r="D45" s="4" t="n">
        <v>9560.8</v>
      </c>
      <c r="E45" s="4"/>
      <c r="F45" s="4" t="n">
        <f aca="false">N(D45)+N(E45)</f>
        <v>9560.8</v>
      </c>
      <c r="G45" s="4" t="n">
        <f aca="false">SUMIFS(桥面系!$J$4:$J$63,桥面系!$A$4:$A$63,"下层桥面系",桥面系!$G$4:$G$63,$B45)</f>
        <v>9560.8</v>
      </c>
      <c r="H45" s="4" t="n">
        <f aca="false">G45-F45</f>
        <v>0</v>
      </c>
      <c r="I45" s="3"/>
    </row>
    <row r="46" customFormat="false" ht="15" hidden="false" customHeight="false" outlineLevel="0" collapsed="false">
      <c r="A46" s="3"/>
      <c r="B46" s="3" t="n">
        <v>50</v>
      </c>
      <c r="C46" s="3" t="s">
        <v>12</v>
      </c>
      <c r="D46" s="4" t="n">
        <v>4396.8</v>
      </c>
      <c r="E46" s="4"/>
      <c r="F46" s="4" t="n">
        <f aca="false">N(D46)+N(E46)</f>
        <v>4396.8</v>
      </c>
      <c r="G46" s="4" t="n">
        <f aca="false">SUMIFS(桥面系!$J$4:$J$63,桥面系!$A$4:$A$63,"下层桥面系",桥面系!$G$4:$G$63,$B46)</f>
        <v>4396.8</v>
      </c>
      <c r="H46" s="4" t="n">
        <f aca="false">G46-F46</f>
        <v>0</v>
      </c>
      <c r="I46" s="3"/>
    </row>
    <row r="47" customFormat="false" ht="15" hidden="false" customHeight="false" outlineLevel="0" collapsed="false">
      <c r="A47" s="3"/>
      <c r="B47" s="3" t="n">
        <v>60</v>
      </c>
      <c r="C47" s="3" t="s">
        <v>12</v>
      </c>
      <c r="D47" s="4" t="n">
        <v>9646.4</v>
      </c>
      <c r="E47" s="4"/>
      <c r="F47" s="4" t="n">
        <f aca="false">N(D47)+N(E47)</f>
        <v>9646.4</v>
      </c>
      <c r="G47" s="4" t="n">
        <f aca="false">SUMIFS(桥面系!$J$4:$J$63,桥面系!$A$4:$A$63,"下层桥面系",桥面系!$G$4:$G$63,$B47)</f>
        <v>9646.4</v>
      </c>
      <c r="H47" s="4" t="n">
        <f aca="false">G47-F47</f>
        <v>0</v>
      </c>
      <c r="I47" s="3"/>
    </row>
    <row r="48" customFormat="false" ht="19.5" hidden="false" customHeight="true" outlineLevel="0" collapsed="false">
      <c r="A48" s="2" t="s">
        <v>16</v>
      </c>
      <c r="B48" s="2"/>
      <c r="C48" s="2"/>
      <c r="D48" s="5" t="n">
        <f aca="false">SUM(D4:D47)</f>
        <v>8343936.8</v>
      </c>
      <c r="E48" s="5" t="n">
        <f aca="false">SUM(E4:E47)</f>
        <v>1217146</v>
      </c>
      <c r="F48" s="5" t="n">
        <f aca="false">SUM(F4:F47)</f>
        <v>9561082.8</v>
      </c>
      <c r="G48" s="5" t="n">
        <f aca="false">SUM(G4:G47)</f>
        <v>9892701.372925</v>
      </c>
      <c r="H48" s="5" t="n">
        <f aca="false">G48-F48</f>
        <v>331618.572925</v>
      </c>
      <c r="I48" s="2" t="s">
        <v>17</v>
      </c>
    </row>
    <row r="49" customFormat="false" ht="19.5" hidden="false" customHeight="true" outlineLevel="0" collapsed="false">
      <c r="A49" s="3" t="s">
        <v>18</v>
      </c>
      <c r="B49" s="3"/>
      <c r="C49" s="3"/>
      <c r="D49" s="4"/>
      <c r="E49" s="4"/>
      <c r="F49" s="4" t="n">
        <v>139736.4</v>
      </c>
      <c r="G49" s="4" t="n">
        <f aca="false">ROUND(G48*0.015,1)</f>
        <v>148390.5</v>
      </c>
      <c r="H49" s="4" t="n">
        <f aca="false">G49-F49</f>
        <v>8654.10000000001</v>
      </c>
      <c r="I49" s="3" t="s">
        <v>19</v>
      </c>
    </row>
    <row r="50" customFormat="false" ht="15" hidden="false" customHeight="true" outlineLevel="0" collapsed="false">
      <c r="A50" s="2" t="s">
        <v>20</v>
      </c>
      <c r="B50" s="2"/>
      <c r="C50" s="2"/>
      <c r="D50" s="5"/>
      <c r="E50" s="5"/>
      <c r="F50" s="5" t="n">
        <f aca="false">F48+F49</f>
        <v>9700819.2</v>
      </c>
      <c r="G50" s="5" t="n">
        <f aca="false">G48+G49</f>
        <v>10041091.872925</v>
      </c>
      <c r="H50" s="5" t="n">
        <f aca="false">G50-F50</f>
        <v>340272.672924999</v>
      </c>
      <c r="I50" s="2"/>
    </row>
    <row r="52" customFormat="false" ht="15" hidden="false" customHeight="false" outlineLevel="0" collapsed="false">
      <c r="A52" s="6" t="s">
        <v>21</v>
      </c>
    </row>
    <row r="53" customFormat="false" ht="15" hidden="false" customHeight="false" outlineLevel="0" collapsed="false">
      <c r="A53" s="6" t="s">
        <v>22</v>
      </c>
    </row>
    <row r="54" customFormat="false" ht="15" hidden="false" customHeight="false" outlineLevel="0" collapsed="false">
      <c r="A54" s="6" t="s">
        <v>23</v>
      </c>
    </row>
    <row r="55" customFormat="false" ht="15" hidden="false" customHeight="false" outlineLevel="0" collapsed="false">
      <c r="A55" s="6" t="s">
        <v>24</v>
      </c>
    </row>
    <row r="56" customFormat="false" ht="15" hidden="false" customHeight="false" outlineLevel="0" collapsed="false">
      <c r="A56" s="6" t="s">
        <v>25</v>
      </c>
    </row>
    <row r="57" customFormat="false" ht="15" hidden="false" customHeight="false" outlineLevel="0" collapsed="false">
      <c r="A57" s="6" t="s">
        <v>26</v>
      </c>
    </row>
  </sheetData>
  <mergeCells count="15">
    <mergeCell ref="A1:I1"/>
    <mergeCell ref="A2:A3"/>
    <mergeCell ref="B2:B3"/>
    <mergeCell ref="C2:C3"/>
    <mergeCell ref="D2:F2"/>
    <mergeCell ref="G2:G3"/>
    <mergeCell ref="H2:H3"/>
    <mergeCell ref="I2:I3"/>
    <mergeCell ref="A4:A16"/>
    <mergeCell ref="A17:A28"/>
    <mergeCell ref="A29:A34"/>
    <mergeCell ref="A35:A47"/>
    <mergeCell ref="A48:C48"/>
    <mergeCell ref="A49:C49"/>
    <mergeCell ref="A50:C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3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0" min="2" style="0" width="8"/>
  </cols>
  <sheetData>
    <row r="1" customFormat="false" ht="15" hidden="false" customHeight="true" outlineLevel="0" collapsed="false">
      <c r="A1" s="7" t="s">
        <v>27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customFormat="false" ht="19.5" hidden="false" customHeight="false" outlineLevel="0" collapsed="false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 t="s">
        <v>37</v>
      </c>
      <c r="K2" s="2" t="s">
        <v>7</v>
      </c>
    </row>
    <row r="3" customFormat="false" ht="15" hidden="false" customHeight="false" outlineLevel="0" collapsed="false">
      <c r="A3" s="2"/>
      <c r="B3" s="2"/>
      <c r="C3" s="2"/>
      <c r="D3" s="2"/>
      <c r="E3" s="2" t="s">
        <v>38</v>
      </c>
      <c r="F3" s="2" t="s">
        <v>38</v>
      </c>
      <c r="G3" s="2" t="s">
        <v>38</v>
      </c>
      <c r="H3" s="2" t="s">
        <v>12</v>
      </c>
      <c r="I3" s="2" t="s">
        <v>39</v>
      </c>
      <c r="J3" s="2" t="s">
        <v>12</v>
      </c>
      <c r="K3" s="2"/>
    </row>
    <row r="4" customFormat="false" ht="19.5" hidden="false" customHeight="false" outlineLevel="0" collapsed="false">
      <c r="A4" s="3" t="s">
        <v>40</v>
      </c>
      <c r="B4" s="3" t="s">
        <v>41</v>
      </c>
      <c r="C4" s="3"/>
      <c r="D4" s="3" t="s">
        <v>8</v>
      </c>
      <c r="E4" s="3" t="n">
        <v>750</v>
      </c>
      <c r="F4" s="3" t="n">
        <v>320</v>
      </c>
      <c r="G4" s="3" t="n">
        <v>28</v>
      </c>
      <c r="H4" s="8" t="n">
        <f aca="false">(E4/1000)*(F4/1000)*(G4/1000)*7850</f>
        <v>52.752</v>
      </c>
      <c r="I4" s="3" t="n">
        <v>1</v>
      </c>
      <c r="J4" s="9" t="n">
        <f aca="false">H4*I4</f>
        <v>52.752</v>
      </c>
      <c r="K4" s="3"/>
    </row>
    <row r="5" customFormat="false" ht="19.5" hidden="false" customHeight="false" outlineLevel="0" collapsed="false">
      <c r="A5" s="3" t="s">
        <v>40</v>
      </c>
      <c r="B5" s="3" t="s">
        <v>41</v>
      </c>
      <c r="C5" s="3"/>
      <c r="D5" s="3" t="s">
        <v>8</v>
      </c>
      <c r="E5" s="3" t="n">
        <v>2100</v>
      </c>
      <c r="F5" s="3" t="n">
        <v>320</v>
      </c>
      <c r="G5" s="3" t="n">
        <v>32</v>
      </c>
      <c r="H5" s="8" t="n">
        <f aca="false">(E5/1000)*(F5/1000)*(G5/1000)*7850</f>
        <v>168.8064</v>
      </c>
      <c r="I5" s="3" t="n">
        <v>1</v>
      </c>
      <c r="J5" s="9" t="n">
        <f aca="false">H5*I5</f>
        <v>168.8064</v>
      </c>
      <c r="K5" s="3"/>
    </row>
    <row r="6" customFormat="false" ht="19.5" hidden="false" customHeight="false" outlineLevel="0" collapsed="false">
      <c r="A6" s="3" t="s">
        <v>42</v>
      </c>
      <c r="B6" s="3" t="s">
        <v>43</v>
      </c>
      <c r="C6" s="3" t="s">
        <v>44</v>
      </c>
      <c r="D6" s="3" t="s">
        <v>8</v>
      </c>
      <c r="E6" s="3" t="n">
        <v>15650</v>
      </c>
      <c r="F6" s="3" t="n">
        <v>1000</v>
      </c>
      <c r="G6" s="3" t="n">
        <v>20</v>
      </c>
      <c r="H6" s="8" t="n">
        <f aca="false">(E6/1000)*(F6/1000)*(G6/1000)*7850</f>
        <v>2457.05</v>
      </c>
      <c r="I6" s="3" t="n">
        <v>1</v>
      </c>
      <c r="J6" s="9" t="n">
        <f aca="false">H6*I6</f>
        <v>2457.05</v>
      </c>
      <c r="K6" s="3"/>
    </row>
    <row r="7" customFormat="false" ht="19.5" hidden="false" customHeight="false" outlineLevel="0" collapsed="false">
      <c r="A7" s="3" t="s">
        <v>42</v>
      </c>
      <c r="B7" s="3" t="s">
        <v>43</v>
      </c>
      <c r="C7" s="3" t="s">
        <v>45</v>
      </c>
      <c r="D7" s="3" t="s">
        <v>8</v>
      </c>
      <c r="E7" s="3" t="n">
        <v>20050</v>
      </c>
      <c r="F7" s="3" t="n">
        <v>1000</v>
      </c>
      <c r="G7" s="3" t="n">
        <v>20</v>
      </c>
      <c r="H7" s="8" t="n">
        <f aca="false">(E7/1000)*(F7/1000)*(G7/1000)*7850</f>
        <v>3147.85</v>
      </c>
      <c r="I7" s="3" t="n">
        <v>1</v>
      </c>
      <c r="J7" s="9" t="n">
        <f aca="false">H7*I7</f>
        <v>3147.85</v>
      </c>
      <c r="K7" s="3"/>
    </row>
    <row r="8" customFormat="false" ht="19.5" hidden="false" customHeight="false" outlineLevel="0" collapsed="false">
      <c r="A8" s="3" t="s">
        <v>42</v>
      </c>
      <c r="B8" s="3" t="s">
        <v>43</v>
      </c>
      <c r="C8" s="3" t="s">
        <v>46</v>
      </c>
      <c r="D8" s="3" t="s">
        <v>8</v>
      </c>
      <c r="E8" s="3" t="n">
        <v>7902</v>
      </c>
      <c r="F8" s="3" t="n">
        <v>1200</v>
      </c>
      <c r="G8" s="3" t="n">
        <v>20</v>
      </c>
      <c r="H8" s="8" t="n">
        <f aca="false">(E8/1000)*(F8/1000)*(G8/1000)*7850</f>
        <v>1488.7368</v>
      </c>
      <c r="I8" s="3" t="n">
        <v>1</v>
      </c>
      <c r="J8" s="9" t="n">
        <f aca="false">H8*I8</f>
        <v>1488.7368</v>
      </c>
      <c r="K8" s="3"/>
    </row>
    <row r="9" customFormat="false" ht="19.5" hidden="false" customHeight="false" outlineLevel="0" collapsed="false">
      <c r="A9" s="3" t="s">
        <v>42</v>
      </c>
      <c r="B9" s="3" t="s">
        <v>43</v>
      </c>
      <c r="C9" s="3" t="s">
        <v>47</v>
      </c>
      <c r="D9" s="3" t="s">
        <v>8</v>
      </c>
      <c r="E9" s="3" t="n">
        <v>10151</v>
      </c>
      <c r="F9" s="3" t="n">
        <v>1200</v>
      </c>
      <c r="G9" s="3" t="n">
        <v>20</v>
      </c>
      <c r="H9" s="8" t="n">
        <f aca="false">(E9/1000)*(F9/1000)*(G9/1000)*7850</f>
        <v>1912.4484</v>
      </c>
      <c r="I9" s="3" t="n">
        <v>1</v>
      </c>
      <c r="J9" s="9" t="n">
        <f aca="false">H9*I9</f>
        <v>1912.4484</v>
      </c>
      <c r="K9" s="3"/>
    </row>
    <row r="10" customFormat="false" ht="19.5" hidden="false" customHeight="false" outlineLevel="0" collapsed="false">
      <c r="A10" s="3" t="s">
        <v>42</v>
      </c>
      <c r="B10" s="3" t="s">
        <v>43</v>
      </c>
      <c r="C10" s="3" t="s">
        <v>48</v>
      </c>
      <c r="D10" s="3" t="s">
        <v>8</v>
      </c>
      <c r="E10" s="3" t="n">
        <v>22290</v>
      </c>
      <c r="F10" s="3" t="n">
        <v>1000</v>
      </c>
      <c r="G10" s="3" t="n">
        <v>40</v>
      </c>
      <c r="H10" s="8" t="n">
        <f aca="false">(E10/1000)*(F10/1000)*(G10/1000)*7850</f>
        <v>6999.06</v>
      </c>
      <c r="I10" s="3" t="n">
        <v>2</v>
      </c>
      <c r="J10" s="9" t="n">
        <f aca="false">H10*I10</f>
        <v>13998.12</v>
      </c>
      <c r="K10" s="3"/>
    </row>
    <row r="11" customFormat="false" ht="19.5" hidden="false" customHeight="false" outlineLevel="0" collapsed="false">
      <c r="A11" s="3" t="s">
        <v>42</v>
      </c>
      <c r="B11" s="3" t="s">
        <v>43</v>
      </c>
      <c r="C11" s="3" t="s">
        <v>49</v>
      </c>
      <c r="D11" s="3" t="s">
        <v>8</v>
      </c>
      <c r="E11" s="3" t="n">
        <v>10351</v>
      </c>
      <c r="F11" s="3" t="n">
        <v>2048</v>
      </c>
      <c r="G11" s="3" t="n">
        <v>20</v>
      </c>
      <c r="H11" s="8" t="n">
        <f aca="false">(E11/1000)*(F11/1000)*(G11/1000)*7850</f>
        <v>3328.219136</v>
      </c>
      <c r="I11" s="3" t="n">
        <v>2</v>
      </c>
      <c r="J11" s="9" t="n">
        <f aca="false">H11*I11</f>
        <v>6656.438272</v>
      </c>
      <c r="K11" s="3"/>
    </row>
    <row r="12" customFormat="false" ht="19.5" hidden="false" customHeight="false" outlineLevel="0" collapsed="false">
      <c r="A12" s="3" t="s">
        <v>42</v>
      </c>
      <c r="B12" s="3" t="s">
        <v>43</v>
      </c>
      <c r="C12" s="3" t="s">
        <v>50</v>
      </c>
      <c r="D12" s="3" t="s">
        <v>8</v>
      </c>
      <c r="E12" s="3" t="n">
        <v>7902</v>
      </c>
      <c r="F12" s="3" t="n">
        <v>240</v>
      </c>
      <c r="G12" s="3" t="n">
        <v>20</v>
      </c>
      <c r="H12" s="8" t="n">
        <f aca="false">(E12/1000)*(F12/1000)*(G12/1000)*7850</f>
        <v>297.74736</v>
      </c>
      <c r="I12" s="3" t="n">
        <v>6</v>
      </c>
      <c r="J12" s="9" t="n">
        <f aca="false">H12*I12</f>
        <v>1786.48416</v>
      </c>
      <c r="K12" s="3"/>
    </row>
    <row r="13" customFormat="false" ht="19.5" hidden="false" customHeight="false" outlineLevel="0" collapsed="false">
      <c r="A13" s="3" t="s">
        <v>42</v>
      </c>
      <c r="B13" s="3" t="s">
        <v>43</v>
      </c>
      <c r="C13" s="3" t="s">
        <v>51</v>
      </c>
      <c r="D13" s="3" t="s">
        <v>8</v>
      </c>
      <c r="E13" s="3" t="n">
        <v>7902</v>
      </c>
      <c r="F13" s="3" t="n">
        <v>2500</v>
      </c>
      <c r="G13" s="3" t="n">
        <v>24</v>
      </c>
      <c r="H13" s="8" t="n">
        <f aca="false">(E13/1000)*(F13/1000)*(G13/1000)*7850</f>
        <v>3721.842</v>
      </c>
      <c r="I13" s="3" t="n">
        <v>1</v>
      </c>
      <c r="J13" s="9" t="n">
        <f aca="false">H13*I13</f>
        <v>3721.842</v>
      </c>
      <c r="K13" s="3"/>
    </row>
    <row r="14" customFormat="false" ht="19.5" hidden="false" customHeight="false" outlineLevel="0" collapsed="false">
      <c r="A14" s="3" t="s">
        <v>42</v>
      </c>
      <c r="B14" s="3" t="s">
        <v>43</v>
      </c>
      <c r="C14" s="3" t="s">
        <v>52</v>
      </c>
      <c r="D14" s="3" t="s">
        <v>8</v>
      </c>
      <c r="E14" s="3" t="n">
        <v>12960</v>
      </c>
      <c r="F14" s="3" t="n">
        <v>1000</v>
      </c>
      <c r="G14" s="3" t="n">
        <v>24</v>
      </c>
      <c r="H14" s="8" t="n">
        <f aca="false">(E14/1000)*(F14/1000)*(G14/1000)*7850</f>
        <v>2441.664</v>
      </c>
      <c r="I14" s="3" t="n">
        <v>1</v>
      </c>
      <c r="J14" s="9" t="n">
        <f aca="false">H14*I14</f>
        <v>2441.664</v>
      </c>
      <c r="K14" s="3"/>
    </row>
    <row r="15" customFormat="false" ht="19.5" hidden="false" customHeight="false" outlineLevel="0" collapsed="false">
      <c r="A15" s="3" t="s">
        <v>42</v>
      </c>
      <c r="B15" s="3" t="s">
        <v>43</v>
      </c>
      <c r="C15" s="3" t="s">
        <v>53</v>
      </c>
      <c r="D15" s="3" t="s">
        <v>8</v>
      </c>
      <c r="E15" s="3" t="n">
        <v>15960</v>
      </c>
      <c r="F15" s="3" t="n">
        <v>1000</v>
      </c>
      <c r="G15" s="3" t="n">
        <v>24</v>
      </c>
      <c r="H15" s="8" t="n">
        <f aca="false">(E15/1000)*(F15/1000)*(G15/1000)*7850</f>
        <v>3006.864</v>
      </c>
      <c r="I15" s="3" t="n">
        <v>1</v>
      </c>
      <c r="J15" s="9" t="n">
        <f aca="false">H15*I15</f>
        <v>3006.864</v>
      </c>
      <c r="K15" s="3"/>
    </row>
    <row r="16" customFormat="false" ht="19.5" hidden="false" customHeight="false" outlineLevel="0" collapsed="false">
      <c r="A16" s="3" t="s">
        <v>42</v>
      </c>
      <c r="B16" s="3" t="s">
        <v>43</v>
      </c>
      <c r="C16" s="3" t="s">
        <v>53</v>
      </c>
      <c r="D16" s="3" t="s">
        <v>8</v>
      </c>
      <c r="E16" s="3" t="n">
        <v>21840</v>
      </c>
      <c r="F16" s="3" t="n">
        <v>1000</v>
      </c>
      <c r="G16" s="3" t="n">
        <v>40</v>
      </c>
      <c r="H16" s="8" t="n">
        <f aca="false">(E16/1000)*(F16/1000)*(G16/1000)*7850</f>
        <v>6857.76</v>
      </c>
      <c r="I16" s="3" t="n">
        <v>2</v>
      </c>
      <c r="J16" s="9" t="n">
        <f aca="false">H16*I16</f>
        <v>13715.52</v>
      </c>
      <c r="K16" s="3"/>
    </row>
    <row r="17" customFormat="false" ht="19.5" hidden="false" customHeight="false" outlineLevel="0" collapsed="false">
      <c r="A17" s="3" t="s">
        <v>42</v>
      </c>
      <c r="B17" s="3" t="s">
        <v>43</v>
      </c>
      <c r="C17" s="3" t="s">
        <v>54</v>
      </c>
      <c r="D17" s="3" t="s">
        <v>8</v>
      </c>
      <c r="E17" s="3" t="n">
        <v>10305</v>
      </c>
      <c r="F17" s="3" t="n">
        <v>1880</v>
      </c>
      <c r="G17" s="3" t="n">
        <v>24</v>
      </c>
      <c r="H17" s="8" t="n">
        <f aca="false">(E17/1000)*(F17/1000)*(G17/1000)*7850</f>
        <v>3649.94856</v>
      </c>
      <c r="I17" s="3" t="n">
        <v>2</v>
      </c>
      <c r="J17" s="9" t="n">
        <f aca="false">H17*I17</f>
        <v>7299.89712</v>
      </c>
      <c r="K17" s="3"/>
    </row>
    <row r="18" customFormat="false" ht="19.5" hidden="false" customHeight="false" outlineLevel="0" collapsed="false">
      <c r="A18" s="3" t="s">
        <v>42</v>
      </c>
      <c r="B18" s="3" t="s">
        <v>43</v>
      </c>
      <c r="C18" s="3" t="s">
        <v>55</v>
      </c>
      <c r="D18" s="3" t="s">
        <v>8</v>
      </c>
      <c r="E18" s="3" t="n">
        <v>7902</v>
      </c>
      <c r="F18" s="3" t="n">
        <v>240</v>
      </c>
      <c r="G18" s="3" t="n">
        <v>20</v>
      </c>
      <c r="H18" s="8" t="n">
        <f aca="false">(E18/1000)*(F18/1000)*(G18/1000)*7850</f>
        <v>297.74736</v>
      </c>
      <c r="I18" s="3" t="n">
        <v>2</v>
      </c>
      <c r="J18" s="9" t="n">
        <f aca="false">H18*I18</f>
        <v>595.49472</v>
      </c>
      <c r="K18" s="3"/>
    </row>
    <row r="19" customFormat="false" ht="19.5" hidden="false" customHeight="false" outlineLevel="0" collapsed="false">
      <c r="A19" s="3" t="s">
        <v>42</v>
      </c>
      <c r="B19" s="3" t="s">
        <v>43</v>
      </c>
      <c r="C19" s="3" t="s">
        <v>56</v>
      </c>
      <c r="D19" s="3" t="s">
        <v>8</v>
      </c>
      <c r="E19" s="3" t="n">
        <v>10105</v>
      </c>
      <c r="F19" s="3" t="n">
        <v>240</v>
      </c>
      <c r="G19" s="3" t="n">
        <v>20</v>
      </c>
      <c r="H19" s="8" t="n">
        <f aca="false">(E19/1000)*(F19/1000)*(G19/1000)*7850</f>
        <v>380.7564</v>
      </c>
      <c r="I19" s="3" t="n">
        <v>4</v>
      </c>
      <c r="J19" s="9" t="n">
        <f aca="false">H19*I19</f>
        <v>1523.0256</v>
      </c>
      <c r="K19" s="3"/>
    </row>
    <row r="20" customFormat="false" ht="19.5" hidden="false" customHeight="false" outlineLevel="0" collapsed="false">
      <c r="A20" s="3" t="s">
        <v>42</v>
      </c>
      <c r="B20" s="3" t="s">
        <v>43</v>
      </c>
      <c r="C20" s="3" t="s">
        <v>57</v>
      </c>
      <c r="D20" s="3" t="s">
        <v>8</v>
      </c>
      <c r="E20" s="3" t="n">
        <v>18007</v>
      </c>
      <c r="F20" s="3" t="n">
        <v>170</v>
      </c>
      <c r="G20" s="3" t="n">
        <v>14</v>
      </c>
      <c r="H20" s="8" t="n">
        <f aca="false">(E20/1000)*(F20/1000)*(G20/1000)*7850</f>
        <v>336.424781</v>
      </c>
      <c r="I20" s="3" t="n">
        <v>2</v>
      </c>
      <c r="J20" s="9" t="n">
        <f aca="false">H20*I20</f>
        <v>672.849562</v>
      </c>
      <c r="K20" s="3"/>
    </row>
    <row r="21" customFormat="false" ht="19.5" hidden="false" customHeight="false" outlineLevel="0" collapsed="false">
      <c r="A21" s="3" t="s">
        <v>42</v>
      </c>
      <c r="B21" s="3" t="s">
        <v>43</v>
      </c>
      <c r="C21" s="3" t="s">
        <v>58</v>
      </c>
      <c r="D21" s="3" t="s">
        <v>8</v>
      </c>
      <c r="E21" s="3" t="n">
        <v>10047</v>
      </c>
      <c r="F21" s="3" t="n">
        <v>900</v>
      </c>
      <c r="G21" s="3" t="n">
        <v>36</v>
      </c>
      <c r="H21" s="8" t="n">
        <f aca="false">(E21/1000)*(F21/1000)*(G21/1000)*7850</f>
        <v>2555.35398</v>
      </c>
      <c r="I21" s="3" t="n">
        <v>2</v>
      </c>
      <c r="J21" s="9" t="n">
        <f aca="false">H21*I21</f>
        <v>5110.70796</v>
      </c>
      <c r="K21" s="3"/>
    </row>
    <row r="22" customFormat="false" ht="19.5" hidden="false" customHeight="false" outlineLevel="0" collapsed="false">
      <c r="A22" s="3" t="s">
        <v>42</v>
      </c>
      <c r="B22" s="3" t="s">
        <v>43</v>
      </c>
      <c r="C22" s="3" t="s">
        <v>59</v>
      </c>
      <c r="D22" s="3" t="s">
        <v>8</v>
      </c>
      <c r="E22" s="3" t="n">
        <v>14547</v>
      </c>
      <c r="F22" s="3" t="n">
        <v>1200</v>
      </c>
      <c r="G22" s="3" t="n">
        <v>32</v>
      </c>
      <c r="H22" s="8" t="n">
        <f aca="false">(E22/1000)*(F22/1000)*(G22/1000)*7850</f>
        <v>4385.04768</v>
      </c>
      <c r="I22" s="3" t="n">
        <v>1</v>
      </c>
      <c r="J22" s="9" t="n">
        <f aca="false">H22*I22</f>
        <v>4385.04768</v>
      </c>
      <c r="K22" s="3"/>
    </row>
    <row r="23" customFormat="false" ht="19.5" hidden="false" customHeight="false" outlineLevel="0" collapsed="false">
      <c r="A23" s="3" t="s">
        <v>42</v>
      </c>
      <c r="B23" s="3" t="s">
        <v>43</v>
      </c>
      <c r="C23" s="3" t="s">
        <v>60</v>
      </c>
      <c r="D23" s="3" t="s">
        <v>8</v>
      </c>
      <c r="E23" s="3" t="n">
        <v>13147</v>
      </c>
      <c r="F23" s="3" t="n">
        <v>240</v>
      </c>
      <c r="G23" s="3" t="n">
        <v>24</v>
      </c>
      <c r="H23" s="8" t="n">
        <f aca="false">(E23/1000)*(F23/1000)*(G23/1000)*7850</f>
        <v>594.454752</v>
      </c>
      <c r="I23" s="3" t="n">
        <v>2</v>
      </c>
      <c r="J23" s="9" t="n">
        <f aca="false">H23*I23</f>
        <v>1188.909504</v>
      </c>
      <c r="K23" s="3"/>
    </row>
    <row r="24" customFormat="false" ht="19.5" hidden="false" customHeight="false" outlineLevel="0" collapsed="false">
      <c r="A24" s="3" t="s">
        <v>42</v>
      </c>
      <c r="B24" s="3" t="s">
        <v>43</v>
      </c>
      <c r="C24" s="3" t="s">
        <v>61</v>
      </c>
      <c r="D24" s="3" t="s">
        <v>8</v>
      </c>
      <c r="E24" s="3" t="n">
        <v>4796</v>
      </c>
      <c r="F24" s="3" t="n">
        <v>900</v>
      </c>
      <c r="G24" s="3" t="n">
        <v>36</v>
      </c>
      <c r="H24" s="8" t="n">
        <f aca="false">(E24/1000)*(F24/1000)*(G24/1000)*7850</f>
        <v>1219.81464</v>
      </c>
      <c r="I24" s="3" t="n">
        <v>2</v>
      </c>
      <c r="J24" s="9" t="n">
        <f aca="false">H24*I24</f>
        <v>2439.62928</v>
      </c>
      <c r="K24" s="3"/>
    </row>
    <row r="25" customFormat="false" ht="19.5" hidden="false" customHeight="false" outlineLevel="0" collapsed="false">
      <c r="A25" s="3" t="s">
        <v>42</v>
      </c>
      <c r="B25" s="3" t="s">
        <v>43</v>
      </c>
      <c r="C25" s="3" t="s">
        <v>61</v>
      </c>
      <c r="D25" s="3" t="s">
        <v>8</v>
      </c>
      <c r="E25" s="3" t="n">
        <v>7096</v>
      </c>
      <c r="F25" s="3" t="n">
        <v>1200</v>
      </c>
      <c r="G25" s="3" t="n">
        <v>32</v>
      </c>
      <c r="H25" s="8" t="n">
        <f aca="false">(E25/1000)*(F25/1000)*(G25/1000)*7850</f>
        <v>2139.01824</v>
      </c>
      <c r="I25" s="3" t="n">
        <v>1</v>
      </c>
      <c r="J25" s="9" t="n">
        <f aca="false">H25*I25</f>
        <v>2139.01824</v>
      </c>
      <c r="K25" s="3"/>
    </row>
    <row r="26" customFormat="false" ht="19.5" hidden="false" customHeight="false" outlineLevel="0" collapsed="false">
      <c r="A26" s="3" t="s">
        <v>42</v>
      </c>
      <c r="B26" s="3" t="s">
        <v>43</v>
      </c>
      <c r="C26" s="3" t="s">
        <v>61</v>
      </c>
      <c r="D26" s="3" t="s">
        <v>8</v>
      </c>
      <c r="E26" s="3" t="n">
        <v>6396</v>
      </c>
      <c r="F26" s="3" t="n">
        <v>240</v>
      </c>
      <c r="G26" s="3" t="n">
        <v>24</v>
      </c>
      <c r="H26" s="8" t="n">
        <f aca="false">(E26/1000)*(F26/1000)*(G26/1000)*7850</f>
        <v>289.201536</v>
      </c>
      <c r="I26" s="3" t="n">
        <v>2</v>
      </c>
      <c r="J26" s="9" t="n">
        <f aca="false">H26*I26</f>
        <v>578.403072</v>
      </c>
      <c r="K26" s="3"/>
    </row>
    <row r="27" customFormat="false" ht="19.5" hidden="false" customHeight="false" outlineLevel="0" collapsed="false">
      <c r="A27" s="3" t="s">
        <v>42</v>
      </c>
      <c r="B27" s="3" t="s">
        <v>43</v>
      </c>
      <c r="C27" s="3" t="s">
        <v>61</v>
      </c>
      <c r="D27" s="3" t="s">
        <v>8</v>
      </c>
      <c r="E27" s="3" t="n">
        <v>7125</v>
      </c>
      <c r="F27" s="3" t="n">
        <v>1200</v>
      </c>
      <c r="G27" s="3" t="n">
        <v>36</v>
      </c>
      <c r="H27" s="8" t="n">
        <f aca="false">(E27/1000)*(F27/1000)*(G27/1000)*7850</f>
        <v>2416.23</v>
      </c>
      <c r="I27" s="3" t="n">
        <v>1</v>
      </c>
      <c r="J27" s="9" t="n">
        <f aca="false">H27*I27</f>
        <v>2416.23</v>
      </c>
      <c r="K27" s="3"/>
    </row>
    <row r="28" customFormat="false" ht="19.5" hidden="false" customHeight="false" outlineLevel="0" collapsed="false">
      <c r="A28" s="3" t="s">
        <v>42</v>
      </c>
      <c r="B28" s="3" t="s">
        <v>43</v>
      </c>
      <c r="C28" s="3" t="s">
        <v>61</v>
      </c>
      <c r="D28" s="3" t="s">
        <v>8</v>
      </c>
      <c r="E28" s="3" t="n">
        <v>6725</v>
      </c>
      <c r="F28" s="3" t="n">
        <v>1200</v>
      </c>
      <c r="G28" s="3" t="n">
        <v>36</v>
      </c>
      <c r="H28" s="8" t="n">
        <f aca="false">(E28/1000)*(F28/1000)*(G28/1000)*7850</f>
        <v>2280.582</v>
      </c>
      <c r="I28" s="3" t="n">
        <v>1</v>
      </c>
      <c r="J28" s="9" t="n">
        <f aca="false">H28*I28</f>
        <v>2280.582</v>
      </c>
      <c r="K28" s="3"/>
    </row>
    <row r="29" customFormat="false" ht="19.5" hidden="false" customHeight="false" outlineLevel="0" collapsed="false">
      <c r="A29" s="3" t="s">
        <v>42</v>
      </c>
      <c r="B29" s="3" t="s">
        <v>43</v>
      </c>
      <c r="C29" s="3" t="s">
        <v>61</v>
      </c>
      <c r="D29" s="3" t="s">
        <v>8</v>
      </c>
      <c r="E29" s="3" t="n">
        <v>4925</v>
      </c>
      <c r="F29" s="3" t="n">
        <v>1360</v>
      </c>
      <c r="G29" s="3" t="n">
        <v>36</v>
      </c>
      <c r="H29" s="8" t="n">
        <f aca="false">(E29/1000)*(F29/1000)*(G29/1000)*7850</f>
        <v>1892.8548</v>
      </c>
      <c r="I29" s="3" t="n">
        <v>2</v>
      </c>
      <c r="J29" s="9" t="n">
        <f aca="false">H29*I29</f>
        <v>3785.7096</v>
      </c>
      <c r="K29" s="3"/>
    </row>
    <row r="30" customFormat="false" ht="19.5" hidden="false" customHeight="false" outlineLevel="0" collapsed="false">
      <c r="A30" s="3" t="s">
        <v>42</v>
      </c>
      <c r="B30" s="3" t="s">
        <v>43</v>
      </c>
      <c r="C30" s="3" t="s">
        <v>61</v>
      </c>
      <c r="D30" s="3" t="s">
        <v>8</v>
      </c>
      <c r="E30" s="3" t="n">
        <v>4925</v>
      </c>
      <c r="F30" s="3" t="n">
        <v>320</v>
      </c>
      <c r="G30" s="3" t="n">
        <v>32</v>
      </c>
      <c r="H30" s="8" t="n">
        <f aca="false">(E30/1000)*(F30/1000)*(G30/1000)*7850</f>
        <v>395.8912</v>
      </c>
      <c r="I30" s="3" t="n">
        <v>2</v>
      </c>
      <c r="J30" s="9" t="n">
        <f aca="false">H30*I30</f>
        <v>791.7824</v>
      </c>
      <c r="K30" s="3"/>
    </row>
    <row r="31" customFormat="false" ht="19.5" hidden="false" customHeight="false" outlineLevel="0" collapsed="false">
      <c r="A31" s="3" t="s">
        <v>42</v>
      </c>
      <c r="B31" s="3" t="s">
        <v>43</v>
      </c>
      <c r="C31" s="3" t="s">
        <v>61</v>
      </c>
      <c r="D31" s="3" t="s">
        <v>8</v>
      </c>
      <c r="E31" s="3" t="n">
        <v>6425</v>
      </c>
      <c r="F31" s="3" t="n">
        <v>320</v>
      </c>
      <c r="G31" s="3" t="n">
        <v>32</v>
      </c>
      <c r="H31" s="8" t="n">
        <f aca="false">(E31/1000)*(F31/1000)*(G31/1000)*7850</f>
        <v>516.4672</v>
      </c>
      <c r="I31" s="3" t="n">
        <v>1</v>
      </c>
      <c r="J31" s="9" t="n">
        <f aca="false">H31*I31</f>
        <v>516.4672</v>
      </c>
      <c r="K31" s="3"/>
    </row>
    <row r="32" customFormat="false" ht="19.5" hidden="false" customHeight="false" outlineLevel="0" collapsed="false">
      <c r="A32" s="3" t="s">
        <v>42</v>
      </c>
      <c r="B32" s="3" t="s">
        <v>43</v>
      </c>
      <c r="C32" s="3" t="s">
        <v>61</v>
      </c>
      <c r="D32" s="3" t="s">
        <v>8</v>
      </c>
      <c r="E32" s="3" t="n">
        <v>6025</v>
      </c>
      <c r="F32" s="3" t="n">
        <v>320</v>
      </c>
      <c r="G32" s="3" t="n">
        <v>32</v>
      </c>
      <c r="H32" s="8" t="n">
        <f aca="false">(E32/1000)*(F32/1000)*(G32/1000)*7850</f>
        <v>484.3136</v>
      </c>
      <c r="I32" s="3" t="n">
        <v>1</v>
      </c>
      <c r="J32" s="9" t="n">
        <f aca="false">H32*I32</f>
        <v>484.3136</v>
      </c>
      <c r="K32" s="3"/>
    </row>
    <row r="33" customFormat="false" ht="19.5" hidden="false" customHeight="false" outlineLevel="0" collapsed="false">
      <c r="A33" s="3" t="s">
        <v>42</v>
      </c>
      <c r="B33" s="3" t="s">
        <v>43</v>
      </c>
      <c r="C33" s="3" t="s">
        <v>61</v>
      </c>
      <c r="D33" s="3" t="s">
        <v>8</v>
      </c>
      <c r="E33" s="3" t="n">
        <v>1200</v>
      </c>
      <c r="F33" s="3" t="n">
        <v>1200</v>
      </c>
      <c r="G33" s="3" t="n">
        <v>16</v>
      </c>
      <c r="H33" s="8" t="n">
        <f aca="false">(E33/1000)*(F33/1000)*(G33/1000)*7850</f>
        <v>180.864</v>
      </c>
      <c r="I33" s="3" t="n">
        <v>2</v>
      </c>
      <c r="J33" s="9" t="n">
        <f aca="false">H33*I33</f>
        <v>361.728</v>
      </c>
      <c r="K33" s="3"/>
    </row>
    <row r="34" customFormat="false" ht="19.5" hidden="false" customHeight="false" outlineLevel="0" collapsed="false">
      <c r="A34" s="3" t="s">
        <v>62</v>
      </c>
      <c r="B34" s="3" t="s">
        <v>63</v>
      </c>
      <c r="C34" s="3" t="s">
        <v>44</v>
      </c>
      <c r="D34" s="3" t="s">
        <v>8</v>
      </c>
      <c r="E34" s="3" t="n">
        <v>15290</v>
      </c>
      <c r="F34" s="3" t="n">
        <v>1000</v>
      </c>
      <c r="G34" s="3" t="n">
        <v>20</v>
      </c>
      <c r="H34" s="8" t="n">
        <f aca="false">(E34/1000)*(F34/1000)*(G34/1000)*7850</f>
        <v>2400.53</v>
      </c>
      <c r="I34" s="3" t="n">
        <v>1</v>
      </c>
      <c r="J34" s="9" t="n">
        <f aca="false">H34*I34</f>
        <v>2400.53</v>
      </c>
      <c r="K34" s="3"/>
    </row>
    <row r="35" customFormat="false" ht="19.5" hidden="false" customHeight="false" outlineLevel="0" collapsed="false">
      <c r="A35" s="3" t="s">
        <v>62</v>
      </c>
      <c r="B35" s="3" t="s">
        <v>63</v>
      </c>
      <c r="C35" s="3" t="s">
        <v>45</v>
      </c>
      <c r="D35" s="3" t="s">
        <v>8</v>
      </c>
      <c r="E35" s="3" t="n">
        <v>16910</v>
      </c>
      <c r="F35" s="3" t="n">
        <v>1000</v>
      </c>
      <c r="G35" s="3" t="n">
        <v>20</v>
      </c>
      <c r="H35" s="8" t="n">
        <f aca="false">(E35/1000)*(F35/1000)*(G35/1000)*7850</f>
        <v>2654.87</v>
      </c>
      <c r="I35" s="3" t="n">
        <v>1</v>
      </c>
      <c r="J35" s="9" t="n">
        <f aca="false">H35*I35</f>
        <v>2654.87</v>
      </c>
      <c r="K35" s="3"/>
    </row>
    <row r="36" customFormat="false" ht="19.5" hidden="false" customHeight="false" outlineLevel="0" collapsed="false">
      <c r="A36" s="3" t="s">
        <v>62</v>
      </c>
      <c r="B36" s="3" t="s">
        <v>63</v>
      </c>
      <c r="C36" s="3" t="s">
        <v>46</v>
      </c>
      <c r="D36" s="3" t="s">
        <v>8</v>
      </c>
      <c r="E36" s="3" t="n">
        <v>7902</v>
      </c>
      <c r="F36" s="3" t="n">
        <v>1200</v>
      </c>
      <c r="G36" s="3" t="n">
        <v>20</v>
      </c>
      <c r="H36" s="8" t="n">
        <f aca="false">(E36/1000)*(F36/1000)*(G36/1000)*7850</f>
        <v>1488.7368</v>
      </c>
      <c r="I36" s="3" t="n">
        <v>1</v>
      </c>
      <c r="J36" s="9" t="n">
        <f aca="false">H36*I36</f>
        <v>1488.7368</v>
      </c>
      <c r="K36" s="3"/>
    </row>
    <row r="37" customFormat="false" ht="19.5" hidden="false" customHeight="false" outlineLevel="0" collapsed="false">
      <c r="A37" s="3" t="s">
        <v>62</v>
      </c>
      <c r="B37" s="3" t="s">
        <v>63</v>
      </c>
      <c r="C37" s="3" t="s">
        <v>47</v>
      </c>
      <c r="D37" s="3" t="s">
        <v>8</v>
      </c>
      <c r="E37" s="3" t="n">
        <v>8600</v>
      </c>
      <c r="F37" s="3" t="n">
        <v>1200</v>
      </c>
      <c r="G37" s="3" t="n">
        <v>20</v>
      </c>
      <c r="H37" s="8" t="n">
        <f aca="false">(E37/1000)*(F37/1000)*(G37/1000)*7850</f>
        <v>1620.24</v>
      </c>
      <c r="I37" s="3" t="n">
        <v>1</v>
      </c>
      <c r="J37" s="9" t="n">
        <f aca="false">H37*I37</f>
        <v>1620.24</v>
      </c>
      <c r="K37" s="3"/>
    </row>
    <row r="38" customFormat="false" ht="19.5" hidden="false" customHeight="false" outlineLevel="0" collapsed="false">
      <c r="A38" s="3" t="s">
        <v>62</v>
      </c>
      <c r="B38" s="3" t="s">
        <v>63</v>
      </c>
      <c r="C38" s="3" t="s">
        <v>48</v>
      </c>
      <c r="D38" s="3" t="s">
        <v>8</v>
      </c>
      <c r="E38" s="3" t="n">
        <v>22420</v>
      </c>
      <c r="F38" s="3" t="n">
        <v>1000</v>
      </c>
      <c r="G38" s="3" t="n">
        <v>40</v>
      </c>
      <c r="H38" s="8" t="n">
        <f aca="false">(E38/1000)*(F38/1000)*(G38/1000)*7850</f>
        <v>7039.88</v>
      </c>
      <c r="I38" s="3" t="n">
        <v>2</v>
      </c>
      <c r="J38" s="9" t="n">
        <f aca="false">H38*I38</f>
        <v>14079.76</v>
      </c>
      <c r="K38" s="3"/>
    </row>
    <row r="39" customFormat="false" ht="19.5" hidden="false" customHeight="false" outlineLevel="0" collapsed="false">
      <c r="A39" s="3" t="s">
        <v>62</v>
      </c>
      <c r="B39" s="3" t="s">
        <v>63</v>
      </c>
      <c r="C39" s="3" t="s">
        <v>49</v>
      </c>
      <c r="D39" s="3" t="s">
        <v>8</v>
      </c>
      <c r="E39" s="3" t="n">
        <v>8800</v>
      </c>
      <c r="F39" s="3" t="n">
        <v>2048</v>
      </c>
      <c r="G39" s="3" t="n">
        <v>20</v>
      </c>
      <c r="H39" s="8" t="n">
        <f aca="false">(E39/1000)*(F39/1000)*(G39/1000)*7850</f>
        <v>2829.5168</v>
      </c>
      <c r="I39" s="3" t="n">
        <v>2</v>
      </c>
      <c r="J39" s="9" t="n">
        <f aca="false">H39*I39</f>
        <v>5659.0336</v>
      </c>
      <c r="K39" s="3"/>
    </row>
    <row r="40" customFormat="false" ht="19.5" hidden="false" customHeight="false" outlineLevel="0" collapsed="false">
      <c r="A40" s="3" t="s">
        <v>62</v>
      </c>
      <c r="B40" s="3" t="s">
        <v>63</v>
      </c>
      <c r="C40" s="3" t="s">
        <v>52</v>
      </c>
      <c r="D40" s="3" t="s">
        <v>8</v>
      </c>
      <c r="E40" s="3" t="n">
        <v>12960</v>
      </c>
      <c r="F40" s="3" t="n">
        <v>1000</v>
      </c>
      <c r="G40" s="3" t="n">
        <v>24</v>
      </c>
      <c r="H40" s="8" t="n">
        <f aca="false">(E40/1000)*(F40/1000)*(G40/1000)*7850</f>
        <v>2441.664</v>
      </c>
      <c r="I40" s="3" t="n">
        <v>1</v>
      </c>
      <c r="J40" s="9" t="n">
        <f aca="false">H40*I40</f>
        <v>2441.664</v>
      </c>
      <c r="K40" s="3"/>
    </row>
    <row r="41" customFormat="false" ht="19.5" hidden="false" customHeight="false" outlineLevel="0" collapsed="false">
      <c r="A41" s="3" t="s">
        <v>62</v>
      </c>
      <c r="B41" s="3" t="s">
        <v>63</v>
      </c>
      <c r="C41" s="3" t="s">
        <v>53</v>
      </c>
      <c r="D41" s="3" t="s">
        <v>8</v>
      </c>
      <c r="E41" s="3" t="n">
        <v>11130</v>
      </c>
      <c r="F41" s="3" t="n">
        <v>1000</v>
      </c>
      <c r="G41" s="3" t="n">
        <v>24</v>
      </c>
      <c r="H41" s="8" t="n">
        <f aca="false">(E41/1000)*(F41/1000)*(G41/1000)*7850</f>
        <v>2096.892</v>
      </c>
      <c r="I41" s="3" t="n">
        <v>1</v>
      </c>
      <c r="J41" s="9" t="n">
        <f aca="false">H41*I41</f>
        <v>2096.892</v>
      </c>
      <c r="K41" s="3"/>
    </row>
    <row r="42" customFormat="false" ht="19.5" hidden="false" customHeight="false" outlineLevel="0" collapsed="false">
      <c r="A42" s="3" t="s">
        <v>62</v>
      </c>
      <c r="B42" s="3" t="s">
        <v>63</v>
      </c>
      <c r="C42" s="3" t="s">
        <v>53</v>
      </c>
      <c r="D42" s="3" t="s">
        <v>8</v>
      </c>
      <c r="E42" s="3" t="n">
        <v>20750</v>
      </c>
      <c r="F42" s="3" t="n">
        <v>1000</v>
      </c>
      <c r="G42" s="3" t="n">
        <v>40</v>
      </c>
      <c r="H42" s="8" t="n">
        <f aca="false">(E42/1000)*(F42/1000)*(G42/1000)*7850</f>
        <v>6515.5</v>
      </c>
      <c r="I42" s="3" t="n">
        <v>2</v>
      </c>
      <c r="J42" s="9" t="n">
        <f aca="false">H42*I42</f>
        <v>13031</v>
      </c>
      <c r="K42" s="3"/>
    </row>
    <row r="43" customFormat="false" ht="19.5" hidden="false" customHeight="false" outlineLevel="0" collapsed="false">
      <c r="A43" s="3" t="s">
        <v>62</v>
      </c>
      <c r="B43" s="3" t="s">
        <v>63</v>
      </c>
      <c r="C43" s="3" t="s">
        <v>54</v>
      </c>
      <c r="D43" s="3" t="s">
        <v>8</v>
      </c>
      <c r="E43" s="3" t="n">
        <v>7302</v>
      </c>
      <c r="F43" s="3" t="n">
        <v>1880</v>
      </c>
      <c r="G43" s="3" t="n">
        <v>24</v>
      </c>
      <c r="H43" s="8" t="n">
        <f aca="false">(E43/1000)*(F43/1000)*(G43/1000)*7850</f>
        <v>2586.309984</v>
      </c>
      <c r="I43" s="3" t="n">
        <v>2</v>
      </c>
      <c r="J43" s="9" t="n">
        <f aca="false">H43*I43</f>
        <v>5172.619968</v>
      </c>
      <c r="K43" s="3"/>
    </row>
    <row r="44" customFormat="false" ht="19.5" hidden="false" customHeight="false" outlineLevel="0" collapsed="false">
      <c r="A44" s="3" t="s">
        <v>62</v>
      </c>
      <c r="B44" s="3" t="s">
        <v>63</v>
      </c>
      <c r="C44" s="3" t="s">
        <v>59</v>
      </c>
      <c r="D44" s="3" t="s">
        <v>8</v>
      </c>
      <c r="E44" s="3" t="n">
        <v>13610</v>
      </c>
      <c r="F44" s="3" t="n">
        <v>1200</v>
      </c>
      <c r="G44" s="3" t="n">
        <v>32</v>
      </c>
      <c r="H44" s="8" t="n">
        <f aca="false">(E44/1000)*(F44/1000)*(G44/1000)*7850</f>
        <v>4102.5984</v>
      </c>
      <c r="I44" s="3" t="n">
        <v>1</v>
      </c>
      <c r="J44" s="9" t="n">
        <f aca="false">H44*I44</f>
        <v>4102.5984</v>
      </c>
      <c r="K44" s="3"/>
    </row>
    <row r="45" customFormat="false" ht="19.5" hidden="false" customHeight="false" outlineLevel="0" collapsed="false">
      <c r="A45" s="3" t="s">
        <v>62</v>
      </c>
      <c r="B45" s="3" t="s">
        <v>63</v>
      </c>
      <c r="C45" s="3" t="s">
        <v>60</v>
      </c>
      <c r="D45" s="3" t="s">
        <v>8</v>
      </c>
      <c r="E45" s="3" t="n">
        <v>12210</v>
      </c>
      <c r="F45" s="3" t="n">
        <v>240</v>
      </c>
      <c r="G45" s="3" t="n">
        <v>24</v>
      </c>
      <c r="H45" s="8" t="n">
        <f aca="false">(E45/1000)*(F45/1000)*(G45/1000)*7850</f>
        <v>552.08736</v>
      </c>
      <c r="I45" s="3" t="n">
        <v>2</v>
      </c>
      <c r="J45" s="9" t="n">
        <f aca="false">H45*I45</f>
        <v>1104.17472</v>
      </c>
      <c r="K45" s="3"/>
    </row>
    <row r="46" customFormat="false" ht="19.5" hidden="false" customHeight="false" outlineLevel="0" collapsed="false">
      <c r="A46" s="3" t="s">
        <v>62</v>
      </c>
      <c r="B46" s="3" t="s">
        <v>63</v>
      </c>
      <c r="C46" s="3" t="s">
        <v>60</v>
      </c>
      <c r="D46" s="3" t="s">
        <v>8</v>
      </c>
      <c r="E46" s="3" t="n">
        <v>4322</v>
      </c>
      <c r="F46" s="3" t="n">
        <v>900</v>
      </c>
      <c r="G46" s="3" t="n">
        <v>36</v>
      </c>
      <c r="H46" s="8" t="n">
        <f aca="false">(E46/1000)*(F46/1000)*(G46/1000)*7850</f>
        <v>1099.25748</v>
      </c>
      <c r="I46" s="3" t="n">
        <v>2</v>
      </c>
      <c r="J46" s="9" t="n">
        <f aca="false">H46*I46</f>
        <v>2198.51496</v>
      </c>
      <c r="K46" s="3"/>
    </row>
    <row r="47" customFormat="false" ht="19.5" hidden="false" customHeight="false" outlineLevel="0" collapsed="false">
      <c r="A47" s="3" t="s">
        <v>62</v>
      </c>
      <c r="B47" s="3" t="s">
        <v>63</v>
      </c>
      <c r="C47" s="3" t="s">
        <v>60</v>
      </c>
      <c r="D47" s="3" t="s">
        <v>8</v>
      </c>
      <c r="E47" s="3" t="n">
        <v>6722</v>
      </c>
      <c r="F47" s="3" t="n">
        <v>1200</v>
      </c>
      <c r="G47" s="3" t="n">
        <v>32</v>
      </c>
      <c r="H47" s="8" t="n">
        <f aca="false">(E47/1000)*(F47/1000)*(G47/1000)*7850</f>
        <v>2026.27968</v>
      </c>
      <c r="I47" s="3" t="n">
        <v>1</v>
      </c>
      <c r="J47" s="9" t="n">
        <f aca="false">H47*I47</f>
        <v>2026.27968</v>
      </c>
      <c r="K47" s="3"/>
    </row>
    <row r="48" customFormat="false" ht="19.5" hidden="false" customHeight="false" outlineLevel="0" collapsed="false">
      <c r="A48" s="3" t="s">
        <v>62</v>
      </c>
      <c r="B48" s="3" t="s">
        <v>63</v>
      </c>
      <c r="C48" s="3" t="s">
        <v>60</v>
      </c>
      <c r="D48" s="3" t="s">
        <v>8</v>
      </c>
      <c r="E48" s="3" t="n">
        <v>6022</v>
      </c>
      <c r="F48" s="3" t="n">
        <v>240</v>
      </c>
      <c r="G48" s="3" t="n">
        <v>24</v>
      </c>
      <c r="H48" s="8" t="n">
        <f aca="false">(E48/1000)*(F48/1000)*(G48/1000)*7850</f>
        <v>272.290752</v>
      </c>
      <c r="I48" s="3" t="n">
        <v>2</v>
      </c>
      <c r="J48" s="9" t="n">
        <f aca="false">H48*I48</f>
        <v>544.581504</v>
      </c>
      <c r="K48" s="3"/>
    </row>
    <row r="49" customFormat="false" ht="19.5" hidden="false" customHeight="false" outlineLevel="0" collapsed="false">
      <c r="A49" s="3" t="s">
        <v>62</v>
      </c>
      <c r="B49" s="3" t="s">
        <v>63</v>
      </c>
      <c r="C49" s="3" t="s">
        <v>60</v>
      </c>
      <c r="D49" s="3" t="s">
        <v>8</v>
      </c>
      <c r="E49" s="3" t="n">
        <v>4796</v>
      </c>
      <c r="F49" s="3" t="n">
        <v>900</v>
      </c>
      <c r="G49" s="3" t="n">
        <v>36</v>
      </c>
      <c r="H49" s="8" t="n">
        <f aca="false">(E49/1000)*(F49/1000)*(G49/1000)*7850</f>
        <v>1219.81464</v>
      </c>
      <c r="I49" s="3" t="n">
        <v>2</v>
      </c>
      <c r="J49" s="9" t="n">
        <f aca="false">H49*I49</f>
        <v>2439.62928</v>
      </c>
      <c r="K49" s="3"/>
    </row>
    <row r="50" customFormat="false" ht="19.5" hidden="false" customHeight="false" outlineLevel="0" collapsed="false">
      <c r="A50" s="3" t="s">
        <v>62</v>
      </c>
      <c r="B50" s="3" t="s">
        <v>63</v>
      </c>
      <c r="C50" s="3" t="s">
        <v>60</v>
      </c>
      <c r="D50" s="3" t="s">
        <v>8</v>
      </c>
      <c r="E50" s="3" t="n">
        <v>6996</v>
      </c>
      <c r="F50" s="3" t="n">
        <v>1200</v>
      </c>
      <c r="G50" s="3" t="n">
        <v>32</v>
      </c>
      <c r="H50" s="8" t="n">
        <f aca="false">(E50/1000)*(F50/1000)*(G50/1000)*7850</f>
        <v>2108.87424</v>
      </c>
      <c r="I50" s="3" t="n">
        <v>1</v>
      </c>
      <c r="J50" s="9" t="n">
        <f aca="false">H50*I50</f>
        <v>2108.87424</v>
      </c>
      <c r="K50" s="3"/>
    </row>
    <row r="51" customFormat="false" ht="19.5" hidden="false" customHeight="false" outlineLevel="0" collapsed="false">
      <c r="A51" s="3" t="s">
        <v>62</v>
      </c>
      <c r="B51" s="3" t="s">
        <v>63</v>
      </c>
      <c r="C51" s="3" t="s">
        <v>60</v>
      </c>
      <c r="D51" s="3" t="s">
        <v>8</v>
      </c>
      <c r="E51" s="3" t="n">
        <v>6296</v>
      </c>
      <c r="F51" s="3" t="n">
        <v>240</v>
      </c>
      <c r="G51" s="3" t="n">
        <v>24</v>
      </c>
      <c r="H51" s="8" t="n">
        <f aca="false">(E51/1000)*(F51/1000)*(G51/1000)*7850</f>
        <v>284.679936</v>
      </c>
      <c r="I51" s="3" t="n">
        <v>2</v>
      </c>
      <c r="J51" s="9" t="n">
        <f aca="false">H51*I51</f>
        <v>569.359872</v>
      </c>
      <c r="K51" s="3"/>
    </row>
    <row r="52" customFormat="false" ht="19.5" hidden="false" customHeight="false" outlineLevel="0" collapsed="false">
      <c r="A52" s="3" t="s">
        <v>62</v>
      </c>
      <c r="B52" s="3" t="s">
        <v>63</v>
      </c>
      <c r="C52" s="3" t="s">
        <v>60</v>
      </c>
      <c r="D52" s="3" t="s">
        <v>8</v>
      </c>
      <c r="E52" s="3" t="n">
        <v>1980</v>
      </c>
      <c r="F52" s="3" t="n">
        <v>610</v>
      </c>
      <c r="G52" s="3" t="n">
        <v>14</v>
      </c>
      <c r="H52" s="8" t="n">
        <f aca="false">(E52/1000)*(F52/1000)*(G52/1000)*7850</f>
        <v>132.73722</v>
      </c>
      <c r="I52" s="3" t="n">
        <v>6</v>
      </c>
      <c r="J52" s="9" t="n">
        <f aca="false">H52*I52</f>
        <v>796.42332</v>
      </c>
      <c r="K52" s="3"/>
    </row>
    <row r="53" customFormat="false" ht="19.5" hidden="false" customHeight="false" outlineLevel="0" collapsed="false">
      <c r="A53" s="3" t="s">
        <v>62</v>
      </c>
      <c r="B53" s="3" t="s">
        <v>63</v>
      </c>
      <c r="C53" s="3" t="s">
        <v>60</v>
      </c>
      <c r="D53" s="3" t="s">
        <v>8</v>
      </c>
      <c r="E53" s="3" t="n">
        <v>1980</v>
      </c>
      <c r="F53" s="3" t="n">
        <v>630</v>
      </c>
      <c r="G53" s="3" t="n">
        <v>14</v>
      </c>
      <c r="H53" s="8" t="n">
        <f aca="false">(E53/1000)*(F53/1000)*(G53/1000)*7850</f>
        <v>137.08926</v>
      </c>
      <c r="I53" s="3" t="n">
        <v>6</v>
      </c>
      <c r="J53" s="9" t="n">
        <f aca="false">H53*I53</f>
        <v>822.53556</v>
      </c>
      <c r="K53" s="3"/>
    </row>
    <row r="54" customFormat="false" ht="19.5" hidden="false" customHeight="false" outlineLevel="0" collapsed="false">
      <c r="A54" s="3" t="s">
        <v>62</v>
      </c>
      <c r="B54" s="3" t="s">
        <v>63</v>
      </c>
      <c r="C54" s="3" t="s">
        <v>60</v>
      </c>
      <c r="D54" s="3" t="s">
        <v>8</v>
      </c>
      <c r="E54" s="3" t="n">
        <v>470</v>
      </c>
      <c r="F54" s="3" t="n">
        <v>1000</v>
      </c>
      <c r="G54" s="3" t="n">
        <v>24</v>
      </c>
      <c r="H54" s="8" t="n">
        <f aca="false">(E54/1000)*(F54/1000)*(G54/1000)*7850</f>
        <v>88.548</v>
      </c>
      <c r="I54" s="3" t="n">
        <v>6</v>
      </c>
      <c r="J54" s="9" t="n">
        <f aca="false">H54*I54</f>
        <v>531.288</v>
      </c>
      <c r="K54" s="3"/>
    </row>
    <row r="55" customFormat="false" ht="19.5" hidden="false" customHeight="false" outlineLevel="0" collapsed="false">
      <c r="A55" s="3" t="s">
        <v>62</v>
      </c>
      <c r="B55" s="3" t="s">
        <v>63</v>
      </c>
      <c r="C55" s="3" t="s">
        <v>60</v>
      </c>
      <c r="D55" s="3" t="s">
        <v>8</v>
      </c>
      <c r="E55" s="3" t="n">
        <v>480</v>
      </c>
      <c r="F55" s="3" t="n">
        <v>1000</v>
      </c>
      <c r="G55" s="3" t="n">
        <v>24</v>
      </c>
      <c r="H55" s="8" t="n">
        <f aca="false">(E55/1000)*(F55/1000)*(G55/1000)*7850</f>
        <v>90.432</v>
      </c>
      <c r="I55" s="3" t="n">
        <v>6</v>
      </c>
      <c r="J55" s="9" t="n">
        <f aca="false">H55*I55</f>
        <v>542.592</v>
      </c>
      <c r="K55" s="3"/>
    </row>
    <row r="56" customFormat="false" ht="19.5" hidden="false" customHeight="false" outlineLevel="0" collapsed="false">
      <c r="A56" s="3" t="s">
        <v>62</v>
      </c>
      <c r="B56" s="3" t="s">
        <v>63</v>
      </c>
      <c r="C56" s="3" t="s">
        <v>60</v>
      </c>
      <c r="D56" s="3" t="s">
        <v>8</v>
      </c>
      <c r="E56" s="3" t="n">
        <v>1800</v>
      </c>
      <c r="F56" s="3" t="n">
        <v>610</v>
      </c>
      <c r="G56" s="3" t="n">
        <v>14</v>
      </c>
      <c r="H56" s="8" t="n">
        <f aca="false">(E56/1000)*(F56/1000)*(G56/1000)*7850</f>
        <v>120.6702</v>
      </c>
      <c r="I56" s="3" t="n">
        <v>6</v>
      </c>
      <c r="J56" s="9" t="n">
        <f aca="false">H56*I56</f>
        <v>724.0212</v>
      </c>
      <c r="K56" s="3"/>
    </row>
    <row r="57" customFormat="false" ht="19.5" hidden="false" customHeight="false" outlineLevel="0" collapsed="false">
      <c r="A57" s="3" t="s">
        <v>62</v>
      </c>
      <c r="B57" s="3" t="s">
        <v>63</v>
      </c>
      <c r="C57" s="3" t="s">
        <v>60</v>
      </c>
      <c r="D57" s="3" t="s">
        <v>8</v>
      </c>
      <c r="E57" s="3" t="n">
        <v>1800</v>
      </c>
      <c r="F57" s="3" t="n">
        <v>626</v>
      </c>
      <c r="G57" s="3" t="n">
        <v>14</v>
      </c>
      <c r="H57" s="8" t="n">
        <f aca="false">(E57/1000)*(F57/1000)*(G57/1000)*7850</f>
        <v>123.83532</v>
      </c>
      <c r="I57" s="3" t="n">
        <v>6</v>
      </c>
      <c r="J57" s="9" t="n">
        <f aca="false">H57*I57</f>
        <v>743.01192</v>
      </c>
      <c r="K57" s="3"/>
    </row>
    <row r="58" customFormat="false" ht="19.5" hidden="false" customHeight="false" outlineLevel="0" collapsed="false">
      <c r="A58" s="3" t="s">
        <v>64</v>
      </c>
      <c r="B58" s="3" t="s">
        <v>65</v>
      </c>
      <c r="C58" s="3" t="s">
        <v>44</v>
      </c>
      <c r="D58" s="3" t="s">
        <v>8</v>
      </c>
      <c r="E58" s="3" t="n">
        <v>15290</v>
      </c>
      <c r="F58" s="3" t="n">
        <v>1000</v>
      </c>
      <c r="G58" s="3" t="n">
        <v>20</v>
      </c>
      <c r="H58" s="8" t="n">
        <f aca="false">(E58/1000)*(F58/1000)*(G58/1000)*7850</f>
        <v>2400.53</v>
      </c>
      <c r="I58" s="3" t="n">
        <v>1</v>
      </c>
      <c r="J58" s="9" t="n">
        <f aca="false">H58*I58</f>
        <v>2400.53</v>
      </c>
      <c r="K58" s="3"/>
    </row>
    <row r="59" customFormat="false" ht="19.5" hidden="false" customHeight="false" outlineLevel="0" collapsed="false">
      <c r="A59" s="3" t="s">
        <v>64</v>
      </c>
      <c r="B59" s="3" t="s">
        <v>65</v>
      </c>
      <c r="C59" s="3" t="s">
        <v>45</v>
      </c>
      <c r="D59" s="3" t="s">
        <v>8</v>
      </c>
      <c r="E59" s="3" t="n">
        <v>13730</v>
      </c>
      <c r="F59" s="3" t="n">
        <v>1000</v>
      </c>
      <c r="G59" s="3" t="n">
        <v>20</v>
      </c>
      <c r="H59" s="8" t="n">
        <f aca="false">(E59/1000)*(F59/1000)*(G59/1000)*7850</f>
        <v>2155.61</v>
      </c>
      <c r="I59" s="3" t="n">
        <v>1</v>
      </c>
      <c r="J59" s="9" t="n">
        <f aca="false">H59*I59</f>
        <v>2155.61</v>
      </c>
      <c r="K59" s="3"/>
    </row>
    <row r="60" customFormat="false" ht="19.5" hidden="false" customHeight="false" outlineLevel="0" collapsed="false">
      <c r="A60" s="3" t="s">
        <v>64</v>
      </c>
      <c r="B60" s="3" t="s">
        <v>65</v>
      </c>
      <c r="C60" s="3" t="s">
        <v>46</v>
      </c>
      <c r="D60" s="3" t="s">
        <v>8</v>
      </c>
      <c r="E60" s="3" t="n">
        <v>7901</v>
      </c>
      <c r="F60" s="3" t="n">
        <v>1200</v>
      </c>
      <c r="G60" s="3" t="n">
        <v>20</v>
      </c>
      <c r="H60" s="8" t="n">
        <f aca="false">(E60/1000)*(F60/1000)*(G60/1000)*7850</f>
        <v>1488.5484</v>
      </c>
      <c r="I60" s="3" t="n">
        <v>1</v>
      </c>
      <c r="J60" s="9" t="n">
        <f aca="false">H60*I60</f>
        <v>1488.5484</v>
      </c>
      <c r="K60" s="3"/>
    </row>
    <row r="61" customFormat="false" ht="19.5" hidden="false" customHeight="false" outlineLevel="0" collapsed="false">
      <c r="A61" s="3" t="s">
        <v>64</v>
      </c>
      <c r="B61" s="3" t="s">
        <v>65</v>
      </c>
      <c r="C61" s="3" t="s">
        <v>47</v>
      </c>
      <c r="D61" s="3" t="s">
        <v>8</v>
      </c>
      <c r="E61" s="3" t="n">
        <v>7101</v>
      </c>
      <c r="F61" s="3" t="n">
        <v>1200</v>
      </c>
      <c r="G61" s="3" t="n">
        <v>20</v>
      </c>
      <c r="H61" s="8" t="n">
        <f aca="false">(E61/1000)*(F61/1000)*(G61/1000)*7850</f>
        <v>1337.8284</v>
      </c>
      <c r="I61" s="3" t="n">
        <v>1</v>
      </c>
      <c r="J61" s="9" t="n">
        <f aca="false">H61*I61</f>
        <v>1337.8284</v>
      </c>
      <c r="K61" s="3"/>
    </row>
    <row r="62" customFormat="false" ht="19.5" hidden="false" customHeight="false" outlineLevel="0" collapsed="false">
      <c r="A62" s="3" t="s">
        <v>64</v>
      </c>
      <c r="B62" s="3" t="s">
        <v>65</v>
      </c>
      <c r="C62" s="3" t="s">
        <v>48</v>
      </c>
      <c r="D62" s="3" t="s">
        <v>8</v>
      </c>
      <c r="E62" s="3" t="n">
        <v>23530</v>
      </c>
      <c r="F62" s="3" t="n">
        <v>1000</v>
      </c>
      <c r="G62" s="3" t="n">
        <v>40</v>
      </c>
      <c r="H62" s="8" t="n">
        <f aca="false">(E62/1000)*(F62/1000)*(G62/1000)*7850</f>
        <v>7388.42</v>
      </c>
      <c r="I62" s="3" t="n">
        <v>2</v>
      </c>
      <c r="J62" s="9" t="n">
        <f aca="false">H62*I62</f>
        <v>14776.84</v>
      </c>
      <c r="K62" s="3"/>
    </row>
    <row r="63" customFormat="false" ht="19.5" hidden="false" customHeight="false" outlineLevel="0" collapsed="false">
      <c r="A63" s="3" t="s">
        <v>64</v>
      </c>
      <c r="B63" s="3" t="s">
        <v>65</v>
      </c>
      <c r="C63" s="3" t="s">
        <v>49</v>
      </c>
      <c r="D63" s="3" t="s">
        <v>8</v>
      </c>
      <c r="E63" s="3" t="n">
        <v>7301</v>
      </c>
      <c r="F63" s="3" t="n">
        <v>2048</v>
      </c>
      <c r="G63" s="3" t="n">
        <v>32</v>
      </c>
      <c r="H63" s="8" t="n">
        <f aca="false">(E63/1000)*(F63/1000)*(G63/1000)*7850</f>
        <v>3756.0549376</v>
      </c>
      <c r="I63" s="3" t="n">
        <v>2</v>
      </c>
      <c r="J63" s="9" t="n">
        <f aca="false">H63*I63</f>
        <v>7512.1098752</v>
      </c>
      <c r="K63" s="3"/>
    </row>
    <row r="64" customFormat="false" ht="19.5" hidden="false" customHeight="false" outlineLevel="0" collapsed="false">
      <c r="A64" s="3" t="s">
        <v>64</v>
      </c>
      <c r="B64" s="3" t="s">
        <v>65</v>
      </c>
      <c r="C64" s="3" t="s">
        <v>66</v>
      </c>
      <c r="D64" s="3" t="s">
        <v>8</v>
      </c>
      <c r="E64" s="3" t="n">
        <v>7101</v>
      </c>
      <c r="F64" s="3" t="n">
        <v>240</v>
      </c>
      <c r="G64" s="3" t="n">
        <v>20</v>
      </c>
      <c r="H64" s="8" t="n">
        <f aca="false">(E64/1000)*(F64/1000)*(G64/1000)*7850</f>
        <v>267.56568</v>
      </c>
      <c r="I64" s="3" t="n">
        <v>6</v>
      </c>
      <c r="J64" s="9" t="n">
        <f aca="false">H64*I64</f>
        <v>1605.39408</v>
      </c>
      <c r="K64" s="3"/>
    </row>
    <row r="65" customFormat="false" ht="19.5" hidden="false" customHeight="false" outlineLevel="0" collapsed="false">
      <c r="A65" s="3" t="s">
        <v>64</v>
      </c>
      <c r="B65" s="3" t="s">
        <v>65</v>
      </c>
      <c r="C65" s="3" t="s">
        <v>51</v>
      </c>
      <c r="D65" s="3" t="s">
        <v>8</v>
      </c>
      <c r="E65" s="3" t="n">
        <v>7903</v>
      </c>
      <c r="F65" s="3" t="n">
        <v>2500</v>
      </c>
      <c r="G65" s="3" t="n">
        <v>20</v>
      </c>
      <c r="H65" s="8" t="n">
        <f aca="false">(E65/1000)*(F65/1000)*(G65/1000)*7850</f>
        <v>3101.9275</v>
      </c>
      <c r="I65" s="3" t="n">
        <v>1</v>
      </c>
      <c r="J65" s="9" t="n">
        <f aca="false">H65*I65</f>
        <v>3101.9275</v>
      </c>
      <c r="K65" s="3"/>
    </row>
    <row r="66" customFormat="false" ht="19.5" hidden="false" customHeight="false" outlineLevel="0" collapsed="false">
      <c r="A66" s="3" t="s">
        <v>64</v>
      </c>
      <c r="B66" s="3" t="s">
        <v>65</v>
      </c>
      <c r="C66" s="3" t="s">
        <v>51</v>
      </c>
      <c r="D66" s="3" t="s">
        <v>8</v>
      </c>
      <c r="E66" s="3" t="n">
        <v>12960</v>
      </c>
      <c r="F66" s="3" t="n">
        <v>1000</v>
      </c>
      <c r="G66" s="3" t="n">
        <v>20</v>
      </c>
      <c r="H66" s="8" t="n">
        <f aca="false">(E66/1000)*(F66/1000)*(G66/1000)*7850</f>
        <v>2034.72</v>
      </c>
      <c r="I66" s="3" t="n">
        <v>1</v>
      </c>
      <c r="J66" s="9" t="n">
        <f aca="false">H66*I66</f>
        <v>2034.72</v>
      </c>
      <c r="K66" s="3"/>
    </row>
    <row r="67" customFormat="false" ht="19.5" hidden="false" customHeight="false" outlineLevel="0" collapsed="false">
      <c r="A67" s="3" t="s">
        <v>64</v>
      </c>
      <c r="B67" s="3" t="s">
        <v>65</v>
      </c>
      <c r="C67" s="3" t="s">
        <v>67</v>
      </c>
      <c r="D67" s="3" t="s">
        <v>8</v>
      </c>
      <c r="E67" s="3" t="n">
        <v>20850</v>
      </c>
      <c r="F67" s="3" t="n">
        <v>1000</v>
      </c>
      <c r="G67" s="3" t="n">
        <v>40</v>
      </c>
      <c r="H67" s="8" t="n">
        <f aca="false">(E67/1000)*(F67/1000)*(G67/1000)*7850</f>
        <v>6546.9</v>
      </c>
      <c r="I67" s="3" t="n">
        <v>2</v>
      </c>
      <c r="J67" s="9" t="n">
        <f aca="false">H67*I67</f>
        <v>13093.8</v>
      </c>
      <c r="K67" s="3"/>
    </row>
    <row r="68" customFormat="false" ht="19.5" hidden="false" customHeight="false" outlineLevel="0" collapsed="false">
      <c r="A68" s="3" t="s">
        <v>64</v>
      </c>
      <c r="B68" s="3" t="s">
        <v>65</v>
      </c>
      <c r="C68" s="3" t="s">
        <v>54</v>
      </c>
      <c r="D68" s="3" t="s">
        <v>8</v>
      </c>
      <c r="E68" s="3" t="n">
        <v>7302</v>
      </c>
      <c r="F68" s="3" t="n">
        <v>1880</v>
      </c>
      <c r="G68" s="3" t="n">
        <v>24</v>
      </c>
      <c r="H68" s="8" t="n">
        <f aca="false">(E68/1000)*(F68/1000)*(G68/1000)*7850</f>
        <v>2586.309984</v>
      </c>
      <c r="I68" s="3" t="n">
        <v>2</v>
      </c>
      <c r="J68" s="9" t="n">
        <f aca="false">H68*I68</f>
        <v>5172.619968</v>
      </c>
      <c r="K68" s="3"/>
    </row>
    <row r="69" customFormat="false" ht="19.5" hidden="false" customHeight="false" outlineLevel="0" collapsed="false">
      <c r="A69" s="3" t="s">
        <v>64</v>
      </c>
      <c r="B69" s="3" t="s">
        <v>65</v>
      </c>
      <c r="C69" s="3" t="s">
        <v>55</v>
      </c>
      <c r="D69" s="3" t="s">
        <v>8</v>
      </c>
      <c r="E69" s="3" t="n">
        <v>7903</v>
      </c>
      <c r="F69" s="3" t="n">
        <v>240</v>
      </c>
      <c r="G69" s="3" t="n">
        <v>20</v>
      </c>
      <c r="H69" s="8" t="n">
        <f aca="false">(E69/1000)*(F69/1000)*(G69/1000)*7850</f>
        <v>297.78504</v>
      </c>
      <c r="I69" s="3" t="n">
        <v>4</v>
      </c>
      <c r="J69" s="9" t="n">
        <f aca="false">H69*I69</f>
        <v>1191.14016</v>
      </c>
      <c r="K69" s="3"/>
    </row>
    <row r="70" customFormat="false" ht="19.5" hidden="false" customHeight="false" outlineLevel="0" collapsed="false">
      <c r="A70" s="3" t="s">
        <v>64</v>
      </c>
      <c r="B70" s="3" t="s">
        <v>65</v>
      </c>
      <c r="C70" s="3" t="s">
        <v>56</v>
      </c>
      <c r="D70" s="3" t="s">
        <v>8</v>
      </c>
      <c r="E70" s="3" t="n">
        <v>7102</v>
      </c>
      <c r="F70" s="3" t="n">
        <v>240</v>
      </c>
      <c r="G70" s="3" t="n">
        <v>20</v>
      </c>
      <c r="H70" s="8" t="n">
        <f aca="false">(E70/1000)*(F70/1000)*(G70/1000)*7850</f>
        <v>267.60336</v>
      </c>
      <c r="I70" s="3" t="n">
        <v>4</v>
      </c>
      <c r="J70" s="9" t="n">
        <f aca="false">H70*I70</f>
        <v>1070.41344</v>
      </c>
      <c r="K70" s="3"/>
    </row>
    <row r="71" customFormat="false" ht="19.5" hidden="false" customHeight="false" outlineLevel="0" collapsed="false">
      <c r="A71" s="3" t="s">
        <v>64</v>
      </c>
      <c r="B71" s="3" t="s">
        <v>65</v>
      </c>
      <c r="C71" s="3" t="s">
        <v>56</v>
      </c>
      <c r="D71" s="3" t="s">
        <v>8</v>
      </c>
      <c r="E71" s="3" t="n">
        <v>15005</v>
      </c>
      <c r="F71" s="3" t="n">
        <v>170</v>
      </c>
      <c r="G71" s="3" t="n">
        <v>14</v>
      </c>
      <c r="H71" s="8" t="n">
        <f aca="false">(E71/1000)*(F71/1000)*(G71/1000)*7850</f>
        <v>280.338415</v>
      </c>
      <c r="I71" s="3" t="n">
        <v>2</v>
      </c>
      <c r="J71" s="9" t="n">
        <f aca="false">H71*I71</f>
        <v>560.67683</v>
      </c>
      <c r="K71" s="3"/>
    </row>
    <row r="72" customFormat="false" ht="19.5" hidden="false" customHeight="false" outlineLevel="0" collapsed="false">
      <c r="A72" s="3" t="s">
        <v>64</v>
      </c>
      <c r="B72" s="3" t="s">
        <v>65</v>
      </c>
      <c r="C72" s="3" t="s">
        <v>56</v>
      </c>
      <c r="D72" s="3" t="s">
        <v>8</v>
      </c>
      <c r="E72" s="3" t="n">
        <v>8788</v>
      </c>
      <c r="F72" s="3" t="n">
        <v>900</v>
      </c>
      <c r="G72" s="3" t="n">
        <v>36</v>
      </c>
      <c r="H72" s="8" t="n">
        <f aca="false">(E72/1000)*(F72/1000)*(G72/1000)*7850</f>
        <v>2235.13992</v>
      </c>
      <c r="I72" s="3" t="n">
        <v>2</v>
      </c>
      <c r="J72" s="9" t="n">
        <f aca="false">H72*I72</f>
        <v>4470.27984</v>
      </c>
      <c r="K72" s="3"/>
    </row>
    <row r="73" customFormat="false" ht="19.5" hidden="false" customHeight="false" outlineLevel="0" collapsed="false">
      <c r="A73" s="3" t="s">
        <v>64</v>
      </c>
      <c r="B73" s="3" t="s">
        <v>65</v>
      </c>
      <c r="C73" s="3" t="s">
        <v>59</v>
      </c>
      <c r="D73" s="3" t="s">
        <v>8</v>
      </c>
      <c r="E73" s="3" t="n">
        <v>13288</v>
      </c>
      <c r="F73" s="3" t="n">
        <v>1200</v>
      </c>
      <c r="G73" s="3" t="n">
        <v>32</v>
      </c>
      <c r="H73" s="8" t="n">
        <f aca="false">(E73/1000)*(F73/1000)*(G73/1000)*7850</f>
        <v>4005.53472</v>
      </c>
      <c r="I73" s="3" t="n">
        <v>1</v>
      </c>
      <c r="J73" s="9" t="n">
        <f aca="false">H73*I73</f>
        <v>4005.53472</v>
      </c>
      <c r="K73" s="3"/>
    </row>
    <row r="74" customFormat="false" ht="19.5" hidden="false" customHeight="false" outlineLevel="0" collapsed="false">
      <c r="A74" s="3" t="s">
        <v>64</v>
      </c>
      <c r="B74" s="3" t="s">
        <v>65</v>
      </c>
      <c r="C74" s="3" t="s">
        <v>60</v>
      </c>
      <c r="D74" s="3" t="s">
        <v>8</v>
      </c>
      <c r="E74" s="3" t="n">
        <v>11888</v>
      </c>
      <c r="F74" s="3" t="n">
        <v>240</v>
      </c>
      <c r="G74" s="3" t="n">
        <v>24</v>
      </c>
      <c r="H74" s="8" t="n">
        <f aca="false">(E74/1000)*(F74/1000)*(G74/1000)*7850</f>
        <v>537.527808</v>
      </c>
      <c r="I74" s="3" t="n">
        <v>2</v>
      </c>
      <c r="J74" s="9" t="n">
        <f aca="false">H74*I74</f>
        <v>1075.055616</v>
      </c>
      <c r="K74" s="3"/>
    </row>
    <row r="75" customFormat="false" ht="19.5" hidden="false" customHeight="false" outlineLevel="0" collapsed="false">
      <c r="A75" s="3" t="s">
        <v>64</v>
      </c>
      <c r="B75" s="3" t="s">
        <v>65</v>
      </c>
      <c r="C75" s="3" t="s">
        <v>60</v>
      </c>
      <c r="D75" s="3" t="s">
        <v>8</v>
      </c>
      <c r="E75" s="3" t="n">
        <v>6225</v>
      </c>
      <c r="F75" s="3" t="n">
        <v>1200</v>
      </c>
      <c r="G75" s="3" t="n">
        <v>36</v>
      </c>
      <c r="H75" s="8" t="n">
        <f aca="false">(E75/1000)*(F75/1000)*(G75/1000)*7850</f>
        <v>2111.022</v>
      </c>
      <c r="I75" s="3" t="n">
        <v>1</v>
      </c>
      <c r="J75" s="9" t="n">
        <f aca="false">H75*I75</f>
        <v>2111.022</v>
      </c>
      <c r="K75" s="3"/>
    </row>
    <row r="76" customFormat="false" ht="19.5" hidden="false" customHeight="false" outlineLevel="0" collapsed="false">
      <c r="A76" s="3" t="s">
        <v>64</v>
      </c>
      <c r="B76" s="3" t="s">
        <v>65</v>
      </c>
      <c r="C76" s="3" t="s">
        <v>60</v>
      </c>
      <c r="D76" s="3" t="s">
        <v>8</v>
      </c>
      <c r="E76" s="3" t="n">
        <v>4225</v>
      </c>
      <c r="F76" s="3" t="n">
        <v>1360</v>
      </c>
      <c r="G76" s="3" t="n">
        <v>36</v>
      </c>
      <c r="H76" s="8" t="n">
        <f aca="false">(E76/1000)*(F76/1000)*(G76/1000)*7850</f>
        <v>1623.8196</v>
      </c>
      <c r="I76" s="3" t="n">
        <v>2</v>
      </c>
      <c r="J76" s="9" t="n">
        <f aca="false">H76*I76</f>
        <v>3247.6392</v>
      </c>
      <c r="K76" s="3"/>
    </row>
    <row r="77" customFormat="false" ht="19.5" hidden="false" customHeight="false" outlineLevel="0" collapsed="false">
      <c r="A77" s="3" t="s">
        <v>64</v>
      </c>
      <c r="B77" s="3" t="s">
        <v>65</v>
      </c>
      <c r="C77" s="3" t="s">
        <v>60</v>
      </c>
      <c r="D77" s="3" t="s">
        <v>8</v>
      </c>
      <c r="E77" s="3" t="n">
        <v>4225</v>
      </c>
      <c r="F77" s="3" t="n">
        <v>320</v>
      </c>
      <c r="G77" s="3" t="n">
        <v>32</v>
      </c>
      <c r="H77" s="8" t="n">
        <f aca="false">(E77/1000)*(F77/1000)*(G77/1000)*7850</f>
        <v>339.6224</v>
      </c>
      <c r="I77" s="3" t="n">
        <v>2</v>
      </c>
      <c r="J77" s="9" t="n">
        <f aca="false">H77*I77</f>
        <v>679.2448</v>
      </c>
      <c r="K77" s="3"/>
    </row>
    <row r="78" customFormat="false" ht="19.5" hidden="false" customHeight="false" outlineLevel="0" collapsed="false">
      <c r="A78" s="3" t="s">
        <v>64</v>
      </c>
      <c r="B78" s="3" t="s">
        <v>65</v>
      </c>
      <c r="C78" s="3" t="s">
        <v>60</v>
      </c>
      <c r="D78" s="3" t="s">
        <v>8</v>
      </c>
      <c r="E78" s="3" t="n">
        <v>5525</v>
      </c>
      <c r="F78" s="3" t="n">
        <v>320</v>
      </c>
      <c r="G78" s="3" t="n">
        <v>32</v>
      </c>
      <c r="H78" s="8" t="n">
        <f aca="false">(E78/1000)*(F78/1000)*(G78/1000)*7850</f>
        <v>444.1216</v>
      </c>
      <c r="I78" s="3" t="n">
        <v>1</v>
      </c>
      <c r="J78" s="9" t="n">
        <f aca="false">H78*I78</f>
        <v>444.1216</v>
      </c>
      <c r="K78" s="3"/>
    </row>
    <row r="79" customFormat="false" ht="19.5" hidden="false" customHeight="false" outlineLevel="0" collapsed="false">
      <c r="A79" s="3" t="s">
        <v>64</v>
      </c>
      <c r="B79" s="3" t="s">
        <v>65</v>
      </c>
      <c r="C79" s="3" t="s">
        <v>60</v>
      </c>
      <c r="D79" s="3" t="s">
        <v>8</v>
      </c>
      <c r="E79" s="3" t="n">
        <v>1200</v>
      </c>
      <c r="F79" s="3" t="n">
        <v>1200</v>
      </c>
      <c r="G79" s="3" t="n">
        <v>16</v>
      </c>
      <c r="H79" s="8" t="n">
        <f aca="false">(E79/1000)*(F79/1000)*(G79/1000)*7850</f>
        <v>180.864</v>
      </c>
      <c r="I79" s="3" t="n">
        <v>3</v>
      </c>
      <c r="J79" s="9" t="n">
        <f aca="false">H79*I79</f>
        <v>542.592</v>
      </c>
      <c r="K79" s="3"/>
    </row>
    <row r="80" customFormat="false" ht="19.5" hidden="false" customHeight="false" outlineLevel="0" collapsed="false">
      <c r="A80" s="3" t="s">
        <v>64</v>
      </c>
      <c r="B80" s="3" t="s">
        <v>65</v>
      </c>
      <c r="C80" s="3" t="s">
        <v>60</v>
      </c>
      <c r="D80" s="3" t="s">
        <v>8</v>
      </c>
      <c r="E80" s="3" t="n">
        <v>4322</v>
      </c>
      <c r="F80" s="3" t="n">
        <v>900</v>
      </c>
      <c r="G80" s="3" t="n">
        <v>36</v>
      </c>
      <c r="H80" s="8" t="n">
        <f aca="false">(E80/1000)*(F80/1000)*(G80/1000)*7850</f>
        <v>1099.25748</v>
      </c>
      <c r="I80" s="3" t="n">
        <v>2</v>
      </c>
      <c r="J80" s="9" t="n">
        <f aca="false">H80*I80</f>
        <v>2198.51496</v>
      </c>
      <c r="K80" s="3"/>
    </row>
    <row r="81" customFormat="false" ht="19.5" hidden="false" customHeight="false" outlineLevel="0" collapsed="false">
      <c r="A81" s="3" t="s">
        <v>64</v>
      </c>
      <c r="B81" s="3" t="s">
        <v>65</v>
      </c>
      <c r="C81" s="3" t="s">
        <v>60</v>
      </c>
      <c r="D81" s="3" t="s">
        <v>8</v>
      </c>
      <c r="E81" s="3" t="n">
        <v>6522</v>
      </c>
      <c r="F81" s="3" t="n">
        <v>1200</v>
      </c>
      <c r="G81" s="3" t="n">
        <v>32</v>
      </c>
      <c r="H81" s="8" t="n">
        <f aca="false">(E81/1000)*(F81/1000)*(G81/1000)*7850</f>
        <v>1965.99168</v>
      </c>
      <c r="I81" s="3" t="n">
        <v>1</v>
      </c>
      <c r="J81" s="9" t="n">
        <f aca="false">H81*I81</f>
        <v>1965.99168</v>
      </c>
      <c r="K81" s="3"/>
    </row>
    <row r="82" customFormat="false" ht="19.5" hidden="false" customHeight="false" outlineLevel="0" collapsed="false">
      <c r="A82" s="3" t="s">
        <v>64</v>
      </c>
      <c r="B82" s="3" t="s">
        <v>65</v>
      </c>
      <c r="C82" s="3" t="s">
        <v>60</v>
      </c>
      <c r="D82" s="3" t="s">
        <v>8</v>
      </c>
      <c r="E82" s="3" t="n">
        <v>5122</v>
      </c>
      <c r="F82" s="3" t="n">
        <v>240</v>
      </c>
      <c r="G82" s="3" t="n">
        <v>24</v>
      </c>
      <c r="H82" s="8" t="n">
        <f aca="false">(E82/1000)*(F82/1000)*(G82/1000)*7850</f>
        <v>231.596352</v>
      </c>
      <c r="I82" s="3" t="n">
        <v>2</v>
      </c>
      <c r="J82" s="9" t="n">
        <f aca="false">H82*I82</f>
        <v>463.192704</v>
      </c>
      <c r="K82" s="3"/>
    </row>
    <row r="83" customFormat="false" ht="19.5" hidden="false" customHeight="false" outlineLevel="0" collapsed="false">
      <c r="A83" s="3" t="s">
        <v>64</v>
      </c>
      <c r="B83" s="3" t="s">
        <v>65</v>
      </c>
      <c r="C83" s="3" t="s">
        <v>60</v>
      </c>
      <c r="D83" s="3" t="s">
        <v>8</v>
      </c>
      <c r="E83" s="3" t="n">
        <v>2300</v>
      </c>
      <c r="F83" s="3" t="n">
        <v>320</v>
      </c>
      <c r="G83" s="3" t="n">
        <v>32</v>
      </c>
      <c r="H83" s="8" t="n">
        <f aca="false">(E83/1000)*(F83/1000)*(G83/1000)*7850</f>
        <v>184.8832</v>
      </c>
      <c r="I83" s="3" t="n">
        <v>2</v>
      </c>
      <c r="J83" s="9" t="n">
        <f aca="false">H83*I83</f>
        <v>369.7664</v>
      </c>
      <c r="K83" s="3"/>
    </row>
    <row r="84" customFormat="false" ht="19.5" hidden="false" customHeight="false" outlineLevel="0" collapsed="false">
      <c r="A84" s="3" t="s">
        <v>64</v>
      </c>
      <c r="B84" s="3" t="s">
        <v>65</v>
      </c>
      <c r="C84" s="3" t="s">
        <v>60</v>
      </c>
      <c r="D84" s="3" t="s">
        <v>8</v>
      </c>
      <c r="E84" s="3" t="n">
        <v>1980</v>
      </c>
      <c r="F84" s="3" t="n">
        <v>610</v>
      </c>
      <c r="G84" s="3" t="n">
        <v>14</v>
      </c>
      <c r="H84" s="8" t="n">
        <f aca="false">(E84/1000)*(F84/1000)*(G84/1000)*7850</f>
        <v>132.73722</v>
      </c>
      <c r="I84" s="3" t="n">
        <v>6</v>
      </c>
      <c r="J84" s="9" t="n">
        <f aca="false">H84*I84</f>
        <v>796.42332</v>
      </c>
      <c r="K84" s="3"/>
    </row>
    <row r="85" customFormat="false" ht="19.5" hidden="false" customHeight="false" outlineLevel="0" collapsed="false">
      <c r="A85" s="3" t="s">
        <v>64</v>
      </c>
      <c r="B85" s="3" t="s">
        <v>65</v>
      </c>
      <c r="C85" s="3" t="s">
        <v>60</v>
      </c>
      <c r="D85" s="3" t="s">
        <v>8</v>
      </c>
      <c r="E85" s="3" t="n">
        <v>1980</v>
      </c>
      <c r="F85" s="3" t="n">
        <v>618</v>
      </c>
      <c r="G85" s="3" t="n">
        <v>14</v>
      </c>
      <c r="H85" s="8" t="n">
        <f aca="false">(E85/1000)*(F85/1000)*(G85/1000)*7850</f>
        <v>134.478036</v>
      </c>
      <c r="I85" s="3" t="n">
        <v>4</v>
      </c>
      <c r="J85" s="9" t="n">
        <f aca="false">H85*I85</f>
        <v>537.912144</v>
      </c>
      <c r="K85" s="3"/>
    </row>
    <row r="86" customFormat="false" ht="19.5" hidden="false" customHeight="false" outlineLevel="0" collapsed="false">
      <c r="A86" s="3" t="s">
        <v>64</v>
      </c>
      <c r="B86" s="3" t="s">
        <v>65</v>
      </c>
      <c r="C86" s="3" t="s">
        <v>60</v>
      </c>
      <c r="D86" s="3" t="s">
        <v>8</v>
      </c>
      <c r="E86" s="3" t="n">
        <v>470</v>
      </c>
      <c r="F86" s="3" t="n">
        <v>1000</v>
      </c>
      <c r="G86" s="3" t="n">
        <v>24</v>
      </c>
      <c r="H86" s="8" t="n">
        <f aca="false">(E86/1000)*(F86/1000)*(G86/1000)*7850</f>
        <v>88.548</v>
      </c>
      <c r="I86" s="3" t="n">
        <v>6</v>
      </c>
      <c r="J86" s="9" t="n">
        <f aca="false">H86*I86</f>
        <v>531.288</v>
      </c>
      <c r="K86" s="3"/>
    </row>
    <row r="87" customFormat="false" ht="19.5" hidden="false" customHeight="false" outlineLevel="0" collapsed="false">
      <c r="A87" s="3" t="s">
        <v>64</v>
      </c>
      <c r="B87" s="3" t="s">
        <v>65</v>
      </c>
      <c r="C87" s="3" t="s">
        <v>60</v>
      </c>
      <c r="D87" s="3" t="s">
        <v>8</v>
      </c>
      <c r="E87" s="3" t="n">
        <v>480</v>
      </c>
      <c r="F87" s="3" t="n">
        <v>1000</v>
      </c>
      <c r="G87" s="3" t="n">
        <v>24</v>
      </c>
      <c r="H87" s="8" t="n">
        <f aca="false">(E87/1000)*(F87/1000)*(G87/1000)*7850</f>
        <v>90.432</v>
      </c>
      <c r="I87" s="3" t="n">
        <v>4</v>
      </c>
      <c r="J87" s="9" t="n">
        <f aca="false">H87*I87</f>
        <v>361.728</v>
      </c>
      <c r="K87" s="3"/>
    </row>
    <row r="88" customFormat="false" ht="19.5" hidden="false" customHeight="false" outlineLevel="0" collapsed="false">
      <c r="A88" s="3" t="s">
        <v>64</v>
      </c>
      <c r="B88" s="3" t="s">
        <v>65</v>
      </c>
      <c r="C88" s="3" t="s">
        <v>60</v>
      </c>
      <c r="D88" s="3" t="s">
        <v>8</v>
      </c>
      <c r="E88" s="3" t="n">
        <v>1800</v>
      </c>
      <c r="F88" s="3" t="n">
        <v>610</v>
      </c>
      <c r="G88" s="3" t="n">
        <v>14</v>
      </c>
      <c r="H88" s="8" t="n">
        <f aca="false">(E88/1000)*(F88/1000)*(G88/1000)*7850</f>
        <v>120.6702</v>
      </c>
      <c r="I88" s="3" t="n">
        <v>6</v>
      </c>
      <c r="J88" s="9" t="n">
        <f aca="false">H88*I88</f>
        <v>724.0212</v>
      </c>
      <c r="K88" s="3"/>
    </row>
    <row r="89" customFormat="false" ht="19.5" hidden="false" customHeight="false" outlineLevel="0" collapsed="false">
      <c r="A89" s="3" t="s">
        <v>64</v>
      </c>
      <c r="B89" s="3" t="s">
        <v>65</v>
      </c>
      <c r="C89" s="3" t="s">
        <v>60</v>
      </c>
      <c r="D89" s="3" t="s">
        <v>8</v>
      </c>
      <c r="E89" s="3" t="n">
        <v>1800</v>
      </c>
      <c r="F89" s="3" t="n">
        <v>626</v>
      </c>
      <c r="G89" s="3" t="n">
        <v>14</v>
      </c>
      <c r="H89" s="8" t="n">
        <f aca="false">(E89/1000)*(F89/1000)*(G89/1000)*7850</f>
        <v>123.83532</v>
      </c>
      <c r="I89" s="3" t="n">
        <v>4</v>
      </c>
      <c r="J89" s="9" t="n">
        <f aca="false">H89*I89</f>
        <v>495.34128</v>
      </c>
      <c r="K89" s="3"/>
    </row>
    <row r="90" customFormat="false" ht="19.5" hidden="false" customHeight="false" outlineLevel="0" collapsed="false">
      <c r="A90" s="3" t="s">
        <v>68</v>
      </c>
      <c r="B90" s="3" t="s">
        <v>69</v>
      </c>
      <c r="C90" s="3" t="s">
        <v>44</v>
      </c>
      <c r="D90" s="3" t="s">
        <v>9</v>
      </c>
      <c r="E90" s="3" t="n">
        <v>15290</v>
      </c>
      <c r="F90" s="3" t="n">
        <v>1000</v>
      </c>
      <c r="G90" s="3" t="n">
        <v>40</v>
      </c>
      <c r="H90" s="8" t="n">
        <f aca="false">(E90/1000)*(F90/1000)*(G90/1000)*7850</f>
        <v>4801.06</v>
      </c>
      <c r="I90" s="3" t="n">
        <v>1</v>
      </c>
      <c r="J90" s="9" t="n">
        <f aca="false">H90*I90</f>
        <v>4801.06</v>
      </c>
      <c r="K90" s="3"/>
    </row>
    <row r="91" customFormat="false" ht="19.5" hidden="false" customHeight="false" outlineLevel="0" collapsed="false">
      <c r="A91" s="3" t="s">
        <v>68</v>
      </c>
      <c r="B91" s="3" t="s">
        <v>69</v>
      </c>
      <c r="C91" s="3" t="s">
        <v>45</v>
      </c>
      <c r="D91" s="3" t="s">
        <v>8</v>
      </c>
      <c r="E91" s="3" t="n">
        <v>13730</v>
      </c>
      <c r="F91" s="3" t="n">
        <v>1000</v>
      </c>
      <c r="G91" s="3" t="n">
        <v>24</v>
      </c>
      <c r="H91" s="8" t="n">
        <f aca="false">(E91/1000)*(F91/1000)*(G91/1000)*7850</f>
        <v>2586.732</v>
      </c>
      <c r="I91" s="3" t="n">
        <v>1</v>
      </c>
      <c r="J91" s="9" t="n">
        <f aca="false">H91*I91</f>
        <v>2586.732</v>
      </c>
      <c r="K91" s="3"/>
    </row>
    <row r="92" customFormat="false" ht="19.5" hidden="false" customHeight="false" outlineLevel="0" collapsed="false">
      <c r="A92" s="3" t="s">
        <v>68</v>
      </c>
      <c r="B92" s="3" t="s">
        <v>69</v>
      </c>
      <c r="C92" s="3" t="s">
        <v>46</v>
      </c>
      <c r="D92" s="3" t="s">
        <v>9</v>
      </c>
      <c r="E92" s="3" t="n">
        <v>7901</v>
      </c>
      <c r="F92" s="3" t="n">
        <v>1200</v>
      </c>
      <c r="G92" s="3" t="n">
        <v>40</v>
      </c>
      <c r="H92" s="8" t="n">
        <f aca="false">(E92/1000)*(F92/1000)*(G92/1000)*7850</f>
        <v>2977.0968</v>
      </c>
      <c r="I92" s="3" t="n">
        <v>1</v>
      </c>
      <c r="J92" s="9" t="n">
        <f aca="false">H92*I92</f>
        <v>2977.0968</v>
      </c>
      <c r="K92" s="3"/>
    </row>
    <row r="93" customFormat="false" ht="19.5" hidden="false" customHeight="false" outlineLevel="0" collapsed="false">
      <c r="A93" s="3" t="s">
        <v>68</v>
      </c>
      <c r="B93" s="3" t="s">
        <v>69</v>
      </c>
      <c r="C93" s="3" t="s">
        <v>46</v>
      </c>
      <c r="D93" s="3" t="s">
        <v>8</v>
      </c>
      <c r="E93" s="3" t="n">
        <v>7101</v>
      </c>
      <c r="F93" s="3" t="n">
        <v>1200</v>
      </c>
      <c r="G93" s="3" t="n">
        <v>24</v>
      </c>
      <c r="H93" s="8" t="n">
        <f aca="false">(E93/1000)*(F93/1000)*(G93/1000)*7850</f>
        <v>1605.39408</v>
      </c>
      <c r="I93" s="3" t="n">
        <v>1</v>
      </c>
      <c r="J93" s="9" t="n">
        <f aca="false">H93*I93</f>
        <v>1605.39408</v>
      </c>
      <c r="K93" s="3"/>
    </row>
    <row r="94" customFormat="false" ht="19.5" hidden="false" customHeight="false" outlineLevel="0" collapsed="false">
      <c r="A94" s="3" t="s">
        <v>68</v>
      </c>
      <c r="B94" s="3" t="s">
        <v>69</v>
      </c>
      <c r="C94" s="3" t="s">
        <v>46</v>
      </c>
      <c r="D94" s="3" t="s">
        <v>9</v>
      </c>
      <c r="E94" s="3" t="n">
        <v>24570</v>
      </c>
      <c r="F94" s="3" t="n">
        <v>1000</v>
      </c>
      <c r="G94" s="3" t="n">
        <v>48</v>
      </c>
      <c r="H94" s="8" t="n">
        <f aca="false">(E94/1000)*(F94/1000)*(G94/1000)*7850</f>
        <v>9257.976</v>
      </c>
      <c r="I94" s="3" t="n">
        <v>2</v>
      </c>
      <c r="J94" s="9" t="n">
        <f aca="false">H94*I94</f>
        <v>18515.952</v>
      </c>
      <c r="K94" s="3"/>
    </row>
    <row r="95" customFormat="false" ht="19.5" hidden="false" customHeight="false" outlineLevel="0" collapsed="false">
      <c r="A95" s="3" t="s">
        <v>68</v>
      </c>
      <c r="B95" s="3" t="s">
        <v>69</v>
      </c>
      <c r="C95" s="3" t="s">
        <v>70</v>
      </c>
      <c r="D95" s="3" t="s">
        <v>8</v>
      </c>
      <c r="E95" s="3" t="n">
        <v>7102</v>
      </c>
      <c r="F95" s="3" t="n">
        <v>2500</v>
      </c>
      <c r="G95" s="3" t="n">
        <v>24</v>
      </c>
      <c r="H95" s="8" t="n">
        <f aca="false">(E95/1000)*(F95/1000)*(G95/1000)*7850</f>
        <v>3345.042</v>
      </c>
      <c r="I95" s="3" t="n">
        <v>1</v>
      </c>
      <c r="J95" s="9" t="n">
        <f aca="false">H95*I95</f>
        <v>3345.042</v>
      </c>
      <c r="K95" s="3"/>
    </row>
    <row r="96" customFormat="false" ht="19.5" hidden="false" customHeight="false" outlineLevel="0" collapsed="false">
      <c r="A96" s="3" t="s">
        <v>68</v>
      </c>
      <c r="B96" s="3" t="s">
        <v>69</v>
      </c>
      <c r="C96" s="3" t="s">
        <v>52</v>
      </c>
      <c r="D96" s="3" t="s">
        <v>8</v>
      </c>
      <c r="E96" s="3" t="n">
        <v>12960</v>
      </c>
      <c r="F96" s="3" t="n">
        <v>1000</v>
      </c>
      <c r="G96" s="3" t="n">
        <v>24</v>
      </c>
      <c r="H96" s="8" t="n">
        <f aca="false">(E96/1000)*(F96/1000)*(G96/1000)*7850</f>
        <v>2441.664</v>
      </c>
      <c r="I96" s="3" t="n">
        <v>1</v>
      </c>
      <c r="J96" s="9" t="n">
        <f aca="false">H96*I96</f>
        <v>2441.664</v>
      </c>
      <c r="K96" s="3"/>
    </row>
    <row r="97" customFormat="false" ht="19.5" hidden="false" customHeight="false" outlineLevel="0" collapsed="false">
      <c r="A97" s="3" t="s">
        <v>68</v>
      </c>
      <c r="B97" s="3" t="s">
        <v>69</v>
      </c>
      <c r="C97" s="3" t="s">
        <v>53</v>
      </c>
      <c r="D97" s="3" t="s">
        <v>8</v>
      </c>
      <c r="E97" s="3" t="n">
        <v>11130</v>
      </c>
      <c r="F97" s="3" t="n">
        <v>1000</v>
      </c>
      <c r="G97" s="3" t="n">
        <v>20</v>
      </c>
      <c r="H97" s="8" t="n">
        <f aca="false">(E97/1000)*(F97/1000)*(G97/1000)*7850</f>
        <v>1747.41</v>
      </c>
      <c r="I97" s="3" t="n">
        <v>1</v>
      </c>
      <c r="J97" s="9" t="n">
        <f aca="false">H97*I97</f>
        <v>1747.41</v>
      </c>
      <c r="K97" s="3"/>
    </row>
    <row r="98" customFormat="false" ht="19.5" hidden="false" customHeight="false" outlineLevel="0" collapsed="false">
      <c r="A98" s="3" t="s">
        <v>68</v>
      </c>
      <c r="B98" s="3" t="s">
        <v>69</v>
      </c>
      <c r="C98" s="3" t="s">
        <v>67</v>
      </c>
      <c r="D98" s="3" t="s">
        <v>8</v>
      </c>
      <c r="E98" s="3" t="n">
        <v>22570</v>
      </c>
      <c r="F98" s="3" t="n">
        <v>1000</v>
      </c>
      <c r="G98" s="3" t="n">
        <v>40</v>
      </c>
      <c r="H98" s="8" t="n">
        <f aca="false">(E98/1000)*(F98/1000)*(G98/1000)*7850</f>
        <v>7086.98</v>
      </c>
      <c r="I98" s="3" t="n">
        <v>2</v>
      </c>
      <c r="J98" s="9" t="n">
        <f aca="false">H98*I98</f>
        <v>14173.96</v>
      </c>
      <c r="K98" s="3"/>
    </row>
    <row r="99" customFormat="false" ht="19.5" hidden="false" customHeight="false" outlineLevel="0" collapsed="false">
      <c r="A99" s="3" t="s">
        <v>68</v>
      </c>
      <c r="B99" s="3" t="s">
        <v>69</v>
      </c>
      <c r="C99" s="3" t="s">
        <v>54</v>
      </c>
      <c r="D99" s="3" t="s">
        <v>8</v>
      </c>
      <c r="E99" s="3" t="n">
        <v>7302</v>
      </c>
      <c r="F99" s="3" t="n">
        <v>1880</v>
      </c>
      <c r="G99" s="3" t="n">
        <v>32</v>
      </c>
      <c r="H99" s="8" t="n">
        <f aca="false">(E99/1000)*(F99/1000)*(G99/1000)*7850</f>
        <v>3448.413312</v>
      </c>
      <c r="I99" s="3" t="n">
        <v>2</v>
      </c>
      <c r="J99" s="9" t="n">
        <f aca="false">H99*I99</f>
        <v>6896.826624</v>
      </c>
      <c r="K99" s="3"/>
    </row>
    <row r="100" customFormat="false" ht="19.5" hidden="false" customHeight="false" outlineLevel="0" collapsed="false">
      <c r="A100" s="3" t="s">
        <v>68</v>
      </c>
      <c r="B100" s="3" t="s">
        <v>69</v>
      </c>
      <c r="C100" s="3" t="s">
        <v>55</v>
      </c>
      <c r="D100" s="3" t="s">
        <v>8</v>
      </c>
      <c r="E100" s="3" t="n">
        <v>7903</v>
      </c>
      <c r="F100" s="3" t="n">
        <v>240</v>
      </c>
      <c r="G100" s="3" t="n">
        <v>20</v>
      </c>
      <c r="H100" s="8" t="n">
        <f aca="false">(E100/1000)*(F100/1000)*(G100/1000)*7850</f>
        <v>297.78504</v>
      </c>
      <c r="I100" s="3" t="n">
        <v>4</v>
      </c>
      <c r="J100" s="9" t="n">
        <f aca="false">H100*I100</f>
        <v>1191.14016</v>
      </c>
      <c r="K100" s="3"/>
    </row>
    <row r="101" customFormat="false" ht="19.5" hidden="false" customHeight="false" outlineLevel="0" collapsed="false">
      <c r="A101" s="3" t="s">
        <v>68</v>
      </c>
      <c r="B101" s="3" t="s">
        <v>69</v>
      </c>
      <c r="C101" s="3" t="s">
        <v>56</v>
      </c>
      <c r="D101" s="3" t="s">
        <v>8</v>
      </c>
      <c r="E101" s="3" t="n">
        <v>7102</v>
      </c>
      <c r="F101" s="3" t="n">
        <v>320</v>
      </c>
      <c r="G101" s="3" t="n">
        <v>32</v>
      </c>
      <c r="H101" s="8" t="n">
        <f aca="false">(E101/1000)*(F101/1000)*(G101/1000)*7850</f>
        <v>570.887168</v>
      </c>
      <c r="I101" s="3" t="n">
        <v>4</v>
      </c>
      <c r="J101" s="9" t="n">
        <f aca="false">H101*I101</f>
        <v>2283.548672</v>
      </c>
      <c r="K101" s="3"/>
    </row>
    <row r="102" customFormat="false" ht="19.5" hidden="false" customHeight="false" outlineLevel="0" collapsed="false">
      <c r="A102" s="3" t="s">
        <v>68</v>
      </c>
      <c r="B102" s="3" t="s">
        <v>69</v>
      </c>
      <c r="C102" s="3" t="s">
        <v>57</v>
      </c>
      <c r="D102" s="3" t="s">
        <v>8</v>
      </c>
      <c r="E102" s="3" t="n">
        <v>15005</v>
      </c>
      <c r="F102" s="3" t="n">
        <v>170</v>
      </c>
      <c r="G102" s="3" t="n">
        <v>14</v>
      </c>
      <c r="H102" s="8" t="n">
        <f aca="false">(E102/1000)*(F102/1000)*(G102/1000)*7850</f>
        <v>280.338415</v>
      </c>
      <c r="I102" s="3" t="n">
        <v>2</v>
      </c>
      <c r="J102" s="9" t="n">
        <f aca="false">H102*I102</f>
        <v>560.67683</v>
      </c>
      <c r="K102" s="3"/>
    </row>
    <row r="103" customFormat="false" ht="19.5" hidden="false" customHeight="false" outlineLevel="0" collapsed="false">
      <c r="A103" s="3" t="s">
        <v>68</v>
      </c>
      <c r="B103" s="3" t="s">
        <v>69</v>
      </c>
      <c r="C103" s="3" t="s">
        <v>57</v>
      </c>
      <c r="D103" s="3" t="s">
        <v>8</v>
      </c>
      <c r="E103" s="3" t="n">
        <v>12581</v>
      </c>
      <c r="F103" s="3" t="n">
        <v>1200</v>
      </c>
      <c r="G103" s="3" t="n">
        <v>36</v>
      </c>
      <c r="H103" s="8" t="n">
        <f aca="false">(E103/1000)*(F103/1000)*(G103/1000)*7850</f>
        <v>4266.46872</v>
      </c>
      <c r="I103" s="3" t="n">
        <v>1</v>
      </c>
      <c r="J103" s="9" t="n">
        <f aca="false">H103*I103</f>
        <v>4266.46872</v>
      </c>
      <c r="K103" s="3"/>
    </row>
    <row r="104" customFormat="false" ht="19.5" hidden="false" customHeight="false" outlineLevel="0" collapsed="false">
      <c r="A104" s="3" t="s">
        <v>68</v>
      </c>
      <c r="B104" s="3" t="s">
        <v>69</v>
      </c>
      <c r="C104" s="3" t="s">
        <v>57</v>
      </c>
      <c r="D104" s="3" t="s">
        <v>8</v>
      </c>
      <c r="E104" s="3" t="n">
        <v>8581</v>
      </c>
      <c r="F104" s="3" t="n">
        <v>1360</v>
      </c>
      <c r="G104" s="3" t="n">
        <v>36</v>
      </c>
      <c r="H104" s="8" t="n">
        <f aca="false">(E104/1000)*(F104/1000)*(G104/1000)*7850</f>
        <v>3297.987216</v>
      </c>
      <c r="I104" s="3" t="n">
        <v>2</v>
      </c>
      <c r="J104" s="9" t="n">
        <f aca="false">H104*I104</f>
        <v>6595.974432</v>
      </c>
      <c r="K104" s="3"/>
    </row>
    <row r="105" customFormat="false" ht="19.5" hidden="false" customHeight="false" outlineLevel="0" collapsed="false">
      <c r="A105" s="3" t="s">
        <v>68</v>
      </c>
      <c r="B105" s="3" t="s">
        <v>69</v>
      </c>
      <c r="C105" s="3" t="s">
        <v>57</v>
      </c>
      <c r="D105" s="3" t="s">
        <v>8</v>
      </c>
      <c r="E105" s="3" t="n">
        <v>11181</v>
      </c>
      <c r="F105" s="3" t="n">
        <v>320</v>
      </c>
      <c r="G105" s="3" t="n">
        <v>32</v>
      </c>
      <c r="H105" s="8" t="n">
        <f aca="false">(E105/1000)*(F105/1000)*(G105/1000)*7850</f>
        <v>898.773504</v>
      </c>
      <c r="I105" s="3" t="n">
        <v>1</v>
      </c>
      <c r="J105" s="9" t="n">
        <f aca="false">H105*I105</f>
        <v>898.773504</v>
      </c>
      <c r="K105" s="3"/>
    </row>
    <row r="106" customFormat="false" ht="19.5" hidden="false" customHeight="false" outlineLevel="0" collapsed="false">
      <c r="A106" s="3" t="s">
        <v>68</v>
      </c>
      <c r="B106" s="3" t="s">
        <v>69</v>
      </c>
      <c r="C106" s="3" t="s">
        <v>71</v>
      </c>
      <c r="D106" s="3" t="s">
        <v>8</v>
      </c>
      <c r="E106" s="3" t="n">
        <v>10981</v>
      </c>
      <c r="F106" s="3" t="n">
        <v>320</v>
      </c>
      <c r="G106" s="3" t="n">
        <v>32</v>
      </c>
      <c r="H106" s="8" t="n">
        <f aca="false">(E106/1000)*(F106/1000)*(G106/1000)*7850</f>
        <v>882.696704</v>
      </c>
      <c r="I106" s="3" t="n">
        <v>1</v>
      </c>
      <c r="J106" s="9" t="n">
        <f aca="false">H106*I106</f>
        <v>882.696704</v>
      </c>
      <c r="K106" s="3"/>
    </row>
    <row r="107" customFormat="false" ht="19.5" hidden="false" customHeight="false" outlineLevel="0" collapsed="false">
      <c r="A107" s="3" t="s">
        <v>68</v>
      </c>
      <c r="B107" s="3" t="s">
        <v>69</v>
      </c>
      <c r="C107" s="3" t="s">
        <v>71</v>
      </c>
      <c r="D107" s="3" t="s">
        <v>8</v>
      </c>
      <c r="E107" s="3" t="n">
        <v>1200</v>
      </c>
      <c r="F107" s="3" t="n">
        <v>1200</v>
      </c>
      <c r="G107" s="3" t="n">
        <v>16</v>
      </c>
      <c r="H107" s="8" t="n">
        <f aca="false">(E107/1000)*(F107/1000)*(G107/1000)*7850</f>
        <v>180.864</v>
      </c>
      <c r="I107" s="3" t="n">
        <v>3</v>
      </c>
      <c r="J107" s="9" t="n">
        <f aca="false">H107*I107</f>
        <v>542.592</v>
      </c>
      <c r="K107" s="3"/>
    </row>
    <row r="108" customFormat="false" ht="19.5" hidden="false" customHeight="false" outlineLevel="0" collapsed="false">
      <c r="A108" s="3" t="s">
        <v>68</v>
      </c>
      <c r="B108" s="3" t="s">
        <v>69</v>
      </c>
      <c r="C108" s="3" t="s">
        <v>71</v>
      </c>
      <c r="D108" s="3" t="s">
        <v>8</v>
      </c>
      <c r="E108" s="3" t="n">
        <v>6135</v>
      </c>
      <c r="F108" s="3" t="n">
        <v>1200</v>
      </c>
      <c r="G108" s="3" t="n">
        <v>36</v>
      </c>
      <c r="H108" s="8" t="n">
        <f aca="false">(E108/1000)*(F108/1000)*(G108/1000)*7850</f>
        <v>2080.5012</v>
      </c>
      <c r="I108" s="3" t="n">
        <v>1</v>
      </c>
      <c r="J108" s="9" t="n">
        <f aca="false">H108*I108</f>
        <v>2080.5012</v>
      </c>
      <c r="K108" s="3"/>
    </row>
    <row r="109" customFormat="false" ht="19.5" hidden="false" customHeight="false" outlineLevel="0" collapsed="false">
      <c r="A109" s="3" t="s">
        <v>68</v>
      </c>
      <c r="B109" s="3" t="s">
        <v>69</v>
      </c>
      <c r="C109" s="3" t="s">
        <v>71</v>
      </c>
      <c r="D109" s="3" t="s">
        <v>8</v>
      </c>
      <c r="E109" s="3" t="n">
        <v>4135</v>
      </c>
      <c r="F109" s="3" t="n">
        <v>1360</v>
      </c>
      <c r="G109" s="3" t="n">
        <v>36</v>
      </c>
      <c r="H109" s="8" t="n">
        <f aca="false">(E109/1000)*(F109/1000)*(G109/1000)*7850</f>
        <v>1589.22936</v>
      </c>
      <c r="I109" s="3" t="n">
        <v>2</v>
      </c>
      <c r="J109" s="9" t="n">
        <f aca="false">H109*I109</f>
        <v>3178.45872</v>
      </c>
      <c r="K109" s="3"/>
    </row>
    <row r="110" customFormat="false" ht="19.5" hidden="false" customHeight="false" outlineLevel="0" collapsed="false">
      <c r="A110" s="3" t="s">
        <v>68</v>
      </c>
      <c r="B110" s="3" t="s">
        <v>69</v>
      </c>
      <c r="C110" s="3" t="s">
        <v>71</v>
      </c>
      <c r="D110" s="3" t="s">
        <v>8</v>
      </c>
      <c r="E110" s="3" t="n">
        <v>5435</v>
      </c>
      <c r="F110" s="3" t="n">
        <v>320</v>
      </c>
      <c r="G110" s="3" t="n">
        <v>32</v>
      </c>
      <c r="H110" s="8" t="n">
        <f aca="false">(E110/1000)*(F110/1000)*(G110/1000)*7850</f>
        <v>436.88704</v>
      </c>
      <c r="I110" s="3" t="n">
        <v>1</v>
      </c>
      <c r="J110" s="9" t="n">
        <f aca="false">H110*I110</f>
        <v>436.88704</v>
      </c>
      <c r="K110" s="3"/>
    </row>
    <row r="111" customFormat="false" ht="19.5" hidden="false" customHeight="false" outlineLevel="0" collapsed="false">
      <c r="A111" s="3" t="s">
        <v>68</v>
      </c>
      <c r="B111" s="3" t="s">
        <v>69</v>
      </c>
      <c r="C111" s="3" t="s">
        <v>71</v>
      </c>
      <c r="D111" s="3" t="s">
        <v>8</v>
      </c>
      <c r="E111" s="3" t="n">
        <v>6425</v>
      </c>
      <c r="F111" s="3" t="n">
        <v>1200</v>
      </c>
      <c r="G111" s="3" t="n">
        <v>36</v>
      </c>
      <c r="H111" s="8" t="n">
        <f aca="false">(E111/1000)*(F111/1000)*(G111/1000)*7850</f>
        <v>2178.846</v>
      </c>
      <c r="I111" s="3" t="n">
        <v>1</v>
      </c>
      <c r="J111" s="9" t="n">
        <f aca="false">H111*I111</f>
        <v>2178.846</v>
      </c>
      <c r="K111" s="3"/>
    </row>
    <row r="112" customFormat="false" ht="19.5" hidden="false" customHeight="false" outlineLevel="0" collapsed="false">
      <c r="A112" s="3" t="s">
        <v>68</v>
      </c>
      <c r="B112" s="3" t="s">
        <v>69</v>
      </c>
      <c r="C112" s="3" t="s">
        <v>71</v>
      </c>
      <c r="D112" s="3" t="s">
        <v>8</v>
      </c>
      <c r="E112" s="3" t="n">
        <v>4225</v>
      </c>
      <c r="F112" s="3" t="n">
        <v>1360</v>
      </c>
      <c r="G112" s="3" t="n">
        <v>36</v>
      </c>
      <c r="H112" s="8" t="n">
        <f aca="false">(E112/1000)*(F112/1000)*(G112/1000)*7850</f>
        <v>1623.8196</v>
      </c>
      <c r="I112" s="3" t="n">
        <v>2</v>
      </c>
      <c r="J112" s="9" t="n">
        <f aca="false">H112*I112</f>
        <v>3247.6392</v>
      </c>
      <c r="K112" s="3"/>
    </row>
    <row r="113" customFormat="false" ht="19.5" hidden="false" customHeight="false" outlineLevel="0" collapsed="false">
      <c r="A113" s="3" t="s">
        <v>68</v>
      </c>
      <c r="B113" s="3" t="s">
        <v>69</v>
      </c>
      <c r="C113" s="3" t="s">
        <v>71</v>
      </c>
      <c r="D113" s="3" t="s">
        <v>8</v>
      </c>
      <c r="E113" s="3" t="n">
        <v>4225</v>
      </c>
      <c r="F113" s="3" t="n">
        <v>320</v>
      </c>
      <c r="G113" s="3" t="n">
        <v>32</v>
      </c>
      <c r="H113" s="8" t="n">
        <f aca="false">(E113/1000)*(F113/1000)*(G113/1000)*7850</f>
        <v>339.6224</v>
      </c>
      <c r="I113" s="3" t="n">
        <v>2</v>
      </c>
      <c r="J113" s="9" t="n">
        <f aca="false">H113*I113</f>
        <v>679.2448</v>
      </c>
      <c r="K113" s="3"/>
    </row>
    <row r="114" customFormat="false" ht="19.5" hidden="false" customHeight="false" outlineLevel="0" collapsed="false">
      <c r="A114" s="3" t="s">
        <v>68</v>
      </c>
      <c r="B114" s="3" t="s">
        <v>69</v>
      </c>
      <c r="C114" s="3" t="s">
        <v>71</v>
      </c>
      <c r="D114" s="3" t="s">
        <v>8</v>
      </c>
      <c r="E114" s="3" t="n">
        <v>5725</v>
      </c>
      <c r="F114" s="3" t="n">
        <v>320</v>
      </c>
      <c r="G114" s="3" t="n">
        <v>32</v>
      </c>
      <c r="H114" s="8" t="n">
        <f aca="false">(E114/1000)*(F114/1000)*(G114/1000)*7850</f>
        <v>460.1984</v>
      </c>
      <c r="I114" s="3" t="n">
        <v>1</v>
      </c>
      <c r="J114" s="9" t="n">
        <f aca="false">H114*I114</f>
        <v>460.1984</v>
      </c>
      <c r="K114" s="3"/>
    </row>
    <row r="115" customFormat="false" ht="19.5" hidden="false" customHeight="false" outlineLevel="0" collapsed="false">
      <c r="A115" s="3" t="s">
        <v>68</v>
      </c>
      <c r="B115" s="3" t="s">
        <v>69</v>
      </c>
      <c r="C115" s="3" t="s">
        <v>71</v>
      </c>
      <c r="D115" s="3" t="s">
        <v>8</v>
      </c>
      <c r="E115" s="3" t="n">
        <v>2300</v>
      </c>
      <c r="F115" s="3" t="n">
        <v>320</v>
      </c>
      <c r="G115" s="3" t="n">
        <v>32</v>
      </c>
      <c r="H115" s="8" t="n">
        <f aca="false">(E115/1000)*(F115/1000)*(G115/1000)*7850</f>
        <v>184.8832</v>
      </c>
      <c r="I115" s="3" t="n">
        <v>4</v>
      </c>
      <c r="J115" s="9" t="n">
        <f aca="false">H115*I115</f>
        <v>739.5328</v>
      </c>
      <c r="K115" s="3"/>
    </row>
    <row r="116" customFormat="false" ht="19.5" hidden="false" customHeight="false" outlineLevel="0" collapsed="false">
      <c r="A116" s="3" t="s">
        <v>68</v>
      </c>
      <c r="B116" s="3" t="s">
        <v>69</v>
      </c>
      <c r="C116" s="3" t="s">
        <v>71</v>
      </c>
      <c r="D116" s="3" t="s">
        <v>8</v>
      </c>
      <c r="E116" s="3" t="n">
        <v>2200</v>
      </c>
      <c r="F116" s="3" t="n">
        <v>320</v>
      </c>
      <c r="G116" s="3" t="n">
        <v>32</v>
      </c>
      <c r="H116" s="8" t="n">
        <f aca="false">(E116/1000)*(F116/1000)*(G116/1000)*7850</f>
        <v>176.8448</v>
      </c>
      <c r="I116" s="3" t="n">
        <v>4</v>
      </c>
      <c r="J116" s="9" t="n">
        <f aca="false">H116*I116</f>
        <v>707.3792</v>
      </c>
      <c r="K116" s="3"/>
    </row>
    <row r="117" customFormat="false" ht="19.5" hidden="false" customHeight="false" outlineLevel="0" collapsed="false">
      <c r="A117" s="3" t="s">
        <v>68</v>
      </c>
      <c r="B117" s="3" t="s">
        <v>69</v>
      </c>
      <c r="C117" s="3" t="s">
        <v>71</v>
      </c>
      <c r="D117" s="3" t="s">
        <v>8</v>
      </c>
      <c r="E117" s="3" t="n">
        <v>1960</v>
      </c>
      <c r="F117" s="3" t="n">
        <v>602</v>
      </c>
      <c r="G117" s="3" t="n">
        <v>14</v>
      </c>
      <c r="H117" s="8" t="n">
        <f aca="false">(E117/1000)*(F117/1000)*(G117/1000)*7850</f>
        <v>129.673208</v>
      </c>
      <c r="I117" s="3" t="n">
        <v>6</v>
      </c>
      <c r="J117" s="9" t="n">
        <f aca="false">H117*I117</f>
        <v>778.039248</v>
      </c>
      <c r="K117" s="3"/>
    </row>
    <row r="118" customFormat="false" ht="19.5" hidden="false" customHeight="false" outlineLevel="0" collapsed="false">
      <c r="A118" s="3" t="s">
        <v>68</v>
      </c>
      <c r="B118" s="3" t="s">
        <v>69</v>
      </c>
      <c r="C118" s="3" t="s">
        <v>71</v>
      </c>
      <c r="D118" s="3" t="s">
        <v>8</v>
      </c>
      <c r="E118" s="3" t="n">
        <v>1976</v>
      </c>
      <c r="F118" s="3" t="n">
        <v>618</v>
      </c>
      <c r="G118" s="3" t="n">
        <v>14</v>
      </c>
      <c r="H118" s="8" t="n">
        <f aca="false">(E118/1000)*(F118/1000)*(G118/1000)*7850</f>
        <v>134.2063632</v>
      </c>
      <c r="I118" s="3" t="n">
        <v>4</v>
      </c>
      <c r="J118" s="9" t="n">
        <f aca="false">H118*I118</f>
        <v>536.8254528</v>
      </c>
      <c r="K118" s="3"/>
    </row>
    <row r="119" customFormat="false" ht="19.5" hidden="false" customHeight="false" outlineLevel="0" collapsed="false">
      <c r="A119" s="3" t="s">
        <v>72</v>
      </c>
      <c r="B119" s="3" t="s">
        <v>73</v>
      </c>
      <c r="C119" s="3" t="s">
        <v>44</v>
      </c>
      <c r="D119" s="3" t="s">
        <v>9</v>
      </c>
      <c r="E119" s="3" t="n">
        <v>15290</v>
      </c>
      <c r="F119" s="3" t="n">
        <v>1000</v>
      </c>
      <c r="G119" s="3" t="n">
        <v>40</v>
      </c>
      <c r="H119" s="8" t="n">
        <f aca="false">(E119/1000)*(F119/1000)*(G119/1000)*7850</f>
        <v>4801.06</v>
      </c>
      <c r="I119" s="3" t="n">
        <v>1</v>
      </c>
      <c r="J119" s="9" t="n">
        <f aca="false">H119*I119</f>
        <v>4801.06</v>
      </c>
      <c r="K119" s="3"/>
    </row>
    <row r="120" customFormat="false" ht="19.5" hidden="false" customHeight="false" outlineLevel="0" collapsed="false">
      <c r="A120" s="3" t="s">
        <v>72</v>
      </c>
      <c r="B120" s="3" t="s">
        <v>73</v>
      </c>
      <c r="C120" s="3" t="s">
        <v>45</v>
      </c>
      <c r="D120" s="3" t="s">
        <v>9</v>
      </c>
      <c r="E120" s="3" t="n">
        <v>13730</v>
      </c>
      <c r="F120" s="3" t="n">
        <v>1000</v>
      </c>
      <c r="G120" s="3" t="n">
        <v>40</v>
      </c>
      <c r="H120" s="8" t="n">
        <f aca="false">(E120/1000)*(F120/1000)*(G120/1000)*7850</f>
        <v>4311.22</v>
      </c>
      <c r="I120" s="3" t="n">
        <v>1</v>
      </c>
      <c r="J120" s="9" t="n">
        <f aca="false">H120*I120</f>
        <v>4311.22</v>
      </c>
      <c r="K120" s="3"/>
    </row>
    <row r="121" customFormat="false" ht="19.5" hidden="false" customHeight="false" outlineLevel="0" collapsed="false">
      <c r="A121" s="3" t="s">
        <v>72</v>
      </c>
      <c r="B121" s="3" t="s">
        <v>73</v>
      </c>
      <c r="C121" s="3" t="s">
        <v>46</v>
      </c>
      <c r="D121" s="3" t="s">
        <v>9</v>
      </c>
      <c r="E121" s="3" t="n">
        <v>7101</v>
      </c>
      <c r="F121" s="3" t="n">
        <v>1200</v>
      </c>
      <c r="G121" s="3" t="n">
        <v>40</v>
      </c>
      <c r="H121" s="8" t="n">
        <f aca="false">(E121/1000)*(F121/1000)*(G121/1000)*7850</f>
        <v>2675.6568</v>
      </c>
      <c r="I121" s="3" t="n">
        <v>1</v>
      </c>
      <c r="J121" s="9" t="n">
        <f aca="false">H121*I121</f>
        <v>2675.6568</v>
      </c>
      <c r="K121" s="3"/>
    </row>
    <row r="122" customFormat="false" ht="19.5" hidden="false" customHeight="false" outlineLevel="0" collapsed="false">
      <c r="A122" s="3" t="s">
        <v>72</v>
      </c>
      <c r="B122" s="3" t="s">
        <v>73</v>
      </c>
      <c r="C122" s="3" t="s">
        <v>48</v>
      </c>
      <c r="D122" s="3" t="s">
        <v>9</v>
      </c>
      <c r="E122" s="3" t="n">
        <v>25500</v>
      </c>
      <c r="F122" s="3" t="n">
        <v>1000</v>
      </c>
      <c r="G122" s="3" t="n">
        <v>48</v>
      </c>
      <c r="H122" s="8" t="n">
        <f aca="false">(E122/1000)*(F122/1000)*(G122/1000)*7850</f>
        <v>9608.4</v>
      </c>
      <c r="I122" s="3" t="n">
        <v>2</v>
      </c>
      <c r="J122" s="9" t="n">
        <f aca="false">H122*I122</f>
        <v>19216.8</v>
      </c>
      <c r="K122" s="3"/>
    </row>
    <row r="123" customFormat="false" ht="19.5" hidden="false" customHeight="false" outlineLevel="0" collapsed="false">
      <c r="A123" s="3" t="s">
        <v>72</v>
      </c>
      <c r="B123" s="3" t="s">
        <v>73</v>
      </c>
      <c r="C123" s="3" t="s">
        <v>67</v>
      </c>
      <c r="D123" s="3" t="s">
        <v>9</v>
      </c>
      <c r="E123" s="3" t="n">
        <v>22560</v>
      </c>
      <c r="F123" s="3" t="n">
        <v>1000</v>
      </c>
      <c r="G123" s="3" t="n">
        <v>48</v>
      </c>
      <c r="H123" s="8" t="n">
        <f aca="false">(E123/1000)*(F123/1000)*(G123/1000)*7850</f>
        <v>8500.608</v>
      </c>
      <c r="I123" s="3" t="n">
        <v>2</v>
      </c>
      <c r="J123" s="9" t="n">
        <f aca="false">H123*I123</f>
        <v>17001.216</v>
      </c>
      <c r="K123" s="3"/>
    </row>
    <row r="124" customFormat="false" ht="19.5" hidden="false" customHeight="false" outlineLevel="0" collapsed="false">
      <c r="A124" s="3" t="s">
        <v>72</v>
      </c>
      <c r="B124" s="3" t="s">
        <v>73</v>
      </c>
      <c r="C124" s="3" t="s">
        <v>54</v>
      </c>
      <c r="D124" s="3" t="s">
        <v>9</v>
      </c>
      <c r="E124" s="3" t="n">
        <v>7302</v>
      </c>
      <c r="F124" s="3" t="n">
        <v>1880</v>
      </c>
      <c r="G124" s="3" t="n">
        <v>44</v>
      </c>
      <c r="H124" s="8" t="n">
        <f aca="false">(E124/1000)*(F124/1000)*(G124/1000)*7850</f>
        <v>4741.568304</v>
      </c>
      <c r="I124" s="3" t="n">
        <v>2</v>
      </c>
      <c r="J124" s="9" t="n">
        <f aca="false">H124*I124</f>
        <v>9483.136608</v>
      </c>
      <c r="K124" s="3"/>
    </row>
    <row r="125" customFormat="false" ht="19.5" hidden="false" customHeight="false" outlineLevel="0" collapsed="false">
      <c r="A125" s="3" t="s">
        <v>72</v>
      </c>
      <c r="B125" s="3" t="s">
        <v>73</v>
      </c>
      <c r="C125" s="3" t="s">
        <v>55</v>
      </c>
      <c r="D125" s="3" t="s">
        <v>9</v>
      </c>
      <c r="E125" s="3" t="n">
        <v>7903</v>
      </c>
      <c r="F125" s="3" t="n">
        <v>320</v>
      </c>
      <c r="G125" s="3" t="n">
        <v>32</v>
      </c>
      <c r="H125" s="8" t="n">
        <f aca="false">(E125/1000)*(F125/1000)*(G125/1000)*7850</f>
        <v>635.274752</v>
      </c>
      <c r="I125" s="3" t="n">
        <v>4</v>
      </c>
      <c r="J125" s="9" t="n">
        <f aca="false">H125*I125</f>
        <v>2541.099008</v>
      </c>
      <c r="K125" s="3"/>
    </row>
    <row r="126" customFormat="false" ht="19.5" hidden="false" customHeight="false" outlineLevel="0" collapsed="false">
      <c r="A126" s="3" t="s">
        <v>72</v>
      </c>
      <c r="B126" s="3" t="s">
        <v>73</v>
      </c>
      <c r="C126" s="3" t="s">
        <v>56</v>
      </c>
      <c r="D126" s="3" t="s">
        <v>9</v>
      </c>
      <c r="E126" s="3" t="n">
        <v>7102</v>
      </c>
      <c r="F126" s="3" t="n">
        <v>320</v>
      </c>
      <c r="G126" s="3" t="n">
        <v>32</v>
      </c>
      <c r="H126" s="8" t="n">
        <f aca="false">(E126/1000)*(F126/1000)*(G126/1000)*7850</f>
        <v>570.887168</v>
      </c>
      <c r="I126" s="3" t="n">
        <v>4</v>
      </c>
      <c r="J126" s="9" t="n">
        <f aca="false">H126*I126</f>
        <v>2283.548672</v>
      </c>
      <c r="K126" s="3"/>
    </row>
    <row r="127" customFormat="false" ht="19.5" hidden="false" customHeight="false" outlineLevel="0" collapsed="false">
      <c r="A127" s="3" t="s">
        <v>72</v>
      </c>
      <c r="B127" s="3" t="s">
        <v>73</v>
      </c>
      <c r="C127" s="3" t="s">
        <v>56</v>
      </c>
      <c r="D127" s="3" t="s">
        <v>9</v>
      </c>
      <c r="E127" s="3" t="n">
        <v>15005</v>
      </c>
      <c r="F127" s="3" t="n">
        <v>170</v>
      </c>
      <c r="G127" s="3" t="n">
        <v>14</v>
      </c>
      <c r="H127" s="8" t="n">
        <f aca="false">(E127/1000)*(F127/1000)*(G127/1000)*7850</f>
        <v>280.338415</v>
      </c>
      <c r="I127" s="3" t="n">
        <v>2</v>
      </c>
      <c r="J127" s="9" t="n">
        <f aca="false">H127*I127</f>
        <v>560.67683</v>
      </c>
      <c r="K127" s="3"/>
    </row>
    <row r="128" customFormat="false" ht="19.5" hidden="false" customHeight="false" outlineLevel="0" collapsed="false">
      <c r="A128" s="3" t="s">
        <v>72</v>
      </c>
      <c r="B128" s="3" t="s">
        <v>73</v>
      </c>
      <c r="C128" s="3" t="s">
        <v>56</v>
      </c>
      <c r="D128" s="3" t="s">
        <v>8</v>
      </c>
      <c r="E128" s="3" t="n">
        <v>12189</v>
      </c>
      <c r="F128" s="3" t="n">
        <v>1200</v>
      </c>
      <c r="G128" s="3" t="n">
        <v>36</v>
      </c>
      <c r="H128" s="8" t="n">
        <f aca="false">(E128/1000)*(F128/1000)*(G128/1000)*7850</f>
        <v>4133.53368</v>
      </c>
      <c r="I128" s="3" t="n">
        <v>1</v>
      </c>
      <c r="J128" s="9" t="n">
        <f aca="false">H128*I128</f>
        <v>4133.53368</v>
      </c>
      <c r="K128" s="3"/>
    </row>
    <row r="129" customFormat="false" ht="19.5" hidden="false" customHeight="false" outlineLevel="0" collapsed="false">
      <c r="A129" s="3" t="s">
        <v>72</v>
      </c>
      <c r="B129" s="3" t="s">
        <v>73</v>
      </c>
      <c r="C129" s="3" t="s">
        <v>56</v>
      </c>
      <c r="D129" s="3" t="s">
        <v>8</v>
      </c>
      <c r="E129" s="3" t="n">
        <v>8389</v>
      </c>
      <c r="F129" s="3" t="n">
        <v>1360</v>
      </c>
      <c r="G129" s="3" t="n">
        <v>36</v>
      </c>
      <c r="H129" s="8" t="n">
        <f aca="false">(E129/1000)*(F129/1000)*(G129/1000)*7850</f>
        <v>3224.194704</v>
      </c>
      <c r="I129" s="3" t="n">
        <v>2</v>
      </c>
      <c r="J129" s="9" t="n">
        <f aca="false">H129*I129</f>
        <v>6448.389408</v>
      </c>
      <c r="K129" s="3"/>
    </row>
    <row r="130" customFormat="false" ht="19.5" hidden="false" customHeight="false" outlineLevel="0" collapsed="false">
      <c r="A130" s="3" t="s">
        <v>72</v>
      </c>
      <c r="B130" s="3" t="s">
        <v>73</v>
      </c>
      <c r="C130" s="3" t="s">
        <v>60</v>
      </c>
      <c r="D130" s="3" t="s">
        <v>8</v>
      </c>
      <c r="E130" s="3" t="n">
        <v>8389</v>
      </c>
      <c r="F130" s="3" t="n">
        <v>320</v>
      </c>
      <c r="G130" s="3" t="n">
        <v>32</v>
      </c>
      <c r="H130" s="8" t="n">
        <f aca="false">(E130/1000)*(F130/1000)*(G130/1000)*7850</f>
        <v>674.341376</v>
      </c>
      <c r="I130" s="3" t="n">
        <v>2</v>
      </c>
      <c r="J130" s="9" t="n">
        <f aca="false">H130*I130</f>
        <v>1348.682752</v>
      </c>
      <c r="K130" s="3"/>
    </row>
    <row r="131" customFormat="false" ht="19.5" hidden="false" customHeight="false" outlineLevel="0" collapsed="false">
      <c r="A131" s="3" t="s">
        <v>72</v>
      </c>
      <c r="B131" s="3" t="s">
        <v>73</v>
      </c>
      <c r="C131" s="3" t="s">
        <v>74</v>
      </c>
      <c r="D131" s="3" t="s">
        <v>8</v>
      </c>
      <c r="E131" s="3" t="n">
        <v>10789</v>
      </c>
      <c r="F131" s="3" t="n">
        <v>320</v>
      </c>
      <c r="G131" s="3" t="n">
        <v>32</v>
      </c>
      <c r="H131" s="8" t="n">
        <f aca="false">(E131/1000)*(F131/1000)*(G131/1000)*7850</f>
        <v>867.262976</v>
      </c>
      <c r="I131" s="3" t="n">
        <v>1</v>
      </c>
      <c r="J131" s="9" t="n">
        <f aca="false">H131*I131</f>
        <v>867.262976</v>
      </c>
      <c r="K131" s="3"/>
    </row>
    <row r="132" customFormat="false" ht="19.5" hidden="false" customHeight="false" outlineLevel="0" collapsed="false">
      <c r="A132" s="3" t="s">
        <v>72</v>
      </c>
      <c r="B132" s="3" t="s">
        <v>73</v>
      </c>
      <c r="C132" s="3" t="s">
        <v>74</v>
      </c>
      <c r="D132" s="3" t="s">
        <v>8</v>
      </c>
      <c r="E132" s="3" t="n">
        <v>1200</v>
      </c>
      <c r="F132" s="3" t="n">
        <v>1200</v>
      </c>
      <c r="G132" s="3" t="n">
        <v>16</v>
      </c>
      <c r="H132" s="8" t="n">
        <f aca="false">(E132/1000)*(F132/1000)*(G132/1000)*7850</f>
        <v>180.864</v>
      </c>
      <c r="I132" s="3" t="n">
        <v>3</v>
      </c>
      <c r="J132" s="9" t="n">
        <f aca="false">H132*I132</f>
        <v>542.592</v>
      </c>
      <c r="K132" s="3"/>
    </row>
    <row r="133" customFormat="false" ht="19.5" hidden="false" customHeight="false" outlineLevel="0" collapsed="false">
      <c r="A133" s="3" t="s">
        <v>72</v>
      </c>
      <c r="B133" s="3" t="s">
        <v>73</v>
      </c>
      <c r="C133" s="3" t="s">
        <v>74</v>
      </c>
      <c r="D133" s="3" t="s">
        <v>8</v>
      </c>
      <c r="E133" s="3" t="n">
        <v>5843</v>
      </c>
      <c r="F133" s="3" t="n">
        <v>1200</v>
      </c>
      <c r="G133" s="3" t="n">
        <v>40</v>
      </c>
      <c r="H133" s="8" t="n">
        <f aca="false">(E133/1000)*(F133/1000)*(G133/1000)*7850</f>
        <v>2201.6424</v>
      </c>
      <c r="I133" s="3" t="n">
        <v>1</v>
      </c>
      <c r="J133" s="9" t="n">
        <f aca="false">H133*I133</f>
        <v>2201.6424</v>
      </c>
      <c r="K133" s="3"/>
    </row>
    <row r="134" customFormat="false" ht="19.5" hidden="false" customHeight="false" outlineLevel="0" collapsed="false">
      <c r="A134" s="3" t="s">
        <v>72</v>
      </c>
      <c r="B134" s="3" t="s">
        <v>73</v>
      </c>
      <c r="C134" s="3" t="s">
        <v>74</v>
      </c>
      <c r="D134" s="3" t="s">
        <v>8</v>
      </c>
      <c r="E134" s="3" t="n">
        <v>6043</v>
      </c>
      <c r="F134" s="3" t="n">
        <v>1200</v>
      </c>
      <c r="G134" s="3" t="n">
        <v>40</v>
      </c>
      <c r="H134" s="8" t="n">
        <f aca="false">(E134/1000)*(F134/1000)*(G134/1000)*7850</f>
        <v>2277.0024</v>
      </c>
      <c r="I134" s="3" t="n">
        <v>1</v>
      </c>
      <c r="J134" s="9" t="n">
        <f aca="false">H134*I134</f>
        <v>2277.0024</v>
      </c>
      <c r="K134" s="3"/>
    </row>
    <row r="135" customFormat="false" ht="19.5" hidden="false" customHeight="false" outlineLevel="0" collapsed="false">
      <c r="A135" s="3" t="s">
        <v>72</v>
      </c>
      <c r="B135" s="3" t="s">
        <v>73</v>
      </c>
      <c r="C135" s="3" t="s">
        <v>74</v>
      </c>
      <c r="D135" s="3" t="s">
        <v>8</v>
      </c>
      <c r="E135" s="3" t="n">
        <v>4043</v>
      </c>
      <c r="F135" s="3" t="n">
        <v>1360</v>
      </c>
      <c r="G135" s="3" t="n">
        <v>40</v>
      </c>
      <c r="H135" s="8" t="n">
        <f aca="false">(E135/1000)*(F135/1000)*(G135/1000)*7850</f>
        <v>1726.52272</v>
      </c>
      <c r="I135" s="3" t="n">
        <v>2</v>
      </c>
      <c r="J135" s="9" t="n">
        <f aca="false">H135*I135</f>
        <v>3453.04544</v>
      </c>
      <c r="K135" s="3"/>
    </row>
    <row r="136" customFormat="false" ht="19.5" hidden="false" customHeight="false" outlineLevel="0" collapsed="false">
      <c r="A136" s="3" t="s">
        <v>72</v>
      </c>
      <c r="B136" s="3" t="s">
        <v>73</v>
      </c>
      <c r="C136" s="3" t="s">
        <v>74</v>
      </c>
      <c r="D136" s="3" t="s">
        <v>8</v>
      </c>
      <c r="E136" s="3" t="n">
        <v>4043</v>
      </c>
      <c r="F136" s="3" t="n">
        <v>320</v>
      </c>
      <c r="G136" s="3" t="n">
        <v>32</v>
      </c>
      <c r="H136" s="8" t="n">
        <f aca="false">(E136/1000)*(F136/1000)*(G136/1000)*7850</f>
        <v>324.992512</v>
      </c>
      <c r="I136" s="3" t="n">
        <v>4</v>
      </c>
      <c r="J136" s="9" t="n">
        <f aca="false">H136*I136</f>
        <v>1299.970048</v>
      </c>
      <c r="K136" s="3"/>
    </row>
    <row r="137" customFormat="false" ht="19.5" hidden="false" customHeight="false" outlineLevel="0" collapsed="false">
      <c r="A137" s="3" t="s">
        <v>72</v>
      </c>
      <c r="B137" s="3" t="s">
        <v>73</v>
      </c>
      <c r="C137" s="3" t="s">
        <v>74</v>
      </c>
      <c r="D137" s="3" t="s">
        <v>8</v>
      </c>
      <c r="E137" s="3" t="n">
        <v>5143</v>
      </c>
      <c r="F137" s="3" t="n">
        <v>320</v>
      </c>
      <c r="G137" s="3" t="n">
        <v>32</v>
      </c>
      <c r="H137" s="8" t="n">
        <f aca="false">(E137/1000)*(F137/1000)*(G137/1000)*7850</f>
        <v>413.414912</v>
      </c>
      <c r="I137" s="3" t="n">
        <v>1</v>
      </c>
      <c r="J137" s="9" t="n">
        <f aca="false">H137*I137</f>
        <v>413.414912</v>
      </c>
      <c r="K137" s="3"/>
    </row>
    <row r="138" customFormat="false" ht="19.5" hidden="false" customHeight="false" outlineLevel="0" collapsed="false">
      <c r="A138" s="3" t="s">
        <v>72</v>
      </c>
      <c r="B138" s="3" t="s">
        <v>73</v>
      </c>
      <c r="C138" s="3" t="s">
        <v>74</v>
      </c>
      <c r="D138" s="3" t="s">
        <v>8</v>
      </c>
      <c r="E138" s="3" t="n">
        <v>5343</v>
      </c>
      <c r="F138" s="3" t="n">
        <v>320</v>
      </c>
      <c r="G138" s="3" t="n">
        <v>32</v>
      </c>
      <c r="H138" s="8" t="n">
        <f aca="false">(E138/1000)*(F138/1000)*(G138/1000)*7850</f>
        <v>429.491712</v>
      </c>
      <c r="I138" s="3" t="n">
        <v>1</v>
      </c>
      <c r="J138" s="9" t="n">
        <f aca="false">H138*I138</f>
        <v>429.491712</v>
      </c>
      <c r="K138" s="3"/>
    </row>
    <row r="139" customFormat="false" ht="19.5" hidden="false" customHeight="false" outlineLevel="0" collapsed="false">
      <c r="A139" s="3" t="s">
        <v>72</v>
      </c>
      <c r="B139" s="3" t="s">
        <v>73</v>
      </c>
      <c r="C139" s="3" t="s">
        <v>74</v>
      </c>
      <c r="D139" s="3" t="s">
        <v>8</v>
      </c>
      <c r="E139" s="3" t="n">
        <v>1200</v>
      </c>
      <c r="F139" s="3" t="n">
        <v>1200</v>
      </c>
      <c r="G139" s="3" t="n">
        <v>16</v>
      </c>
      <c r="H139" s="8" t="n">
        <f aca="false">(E139/1000)*(F139/1000)*(G139/1000)*7850</f>
        <v>180.864</v>
      </c>
      <c r="I139" s="3" t="n">
        <v>2</v>
      </c>
      <c r="J139" s="9" t="n">
        <f aca="false">H139*I139</f>
        <v>361.728</v>
      </c>
      <c r="K139" s="3"/>
    </row>
    <row r="140" customFormat="false" ht="19.5" hidden="false" customHeight="false" outlineLevel="0" collapsed="false">
      <c r="A140" s="3" t="s">
        <v>72</v>
      </c>
      <c r="B140" s="3" t="s">
        <v>73</v>
      </c>
      <c r="C140" s="3" t="s">
        <v>74</v>
      </c>
      <c r="D140" s="3" t="s">
        <v>9</v>
      </c>
      <c r="E140" s="3" t="n">
        <v>5925</v>
      </c>
      <c r="F140" s="3" t="n">
        <v>1200</v>
      </c>
      <c r="G140" s="3" t="n">
        <v>40</v>
      </c>
      <c r="H140" s="8" t="n">
        <f aca="false">(E140/1000)*(F140/1000)*(G140/1000)*7850</f>
        <v>2232.54</v>
      </c>
      <c r="I140" s="3" t="n">
        <v>1</v>
      </c>
      <c r="J140" s="9" t="n">
        <f aca="false">H140*I140</f>
        <v>2232.54</v>
      </c>
      <c r="K140" s="3"/>
    </row>
    <row r="141" customFormat="false" ht="19.5" hidden="false" customHeight="false" outlineLevel="0" collapsed="false">
      <c r="A141" s="3" t="s">
        <v>72</v>
      </c>
      <c r="B141" s="3" t="s">
        <v>73</v>
      </c>
      <c r="C141" s="3" t="s">
        <v>74</v>
      </c>
      <c r="D141" s="3" t="s">
        <v>9</v>
      </c>
      <c r="E141" s="3" t="n">
        <v>6125</v>
      </c>
      <c r="F141" s="3" t="n">
        <v>1200</v>
      </c>
      <c r="G141" s="3" t="n">
        <v>40</v>
      </c>
      <c r="H141" s="8" t="n">
        <f aca="false">(E141/1000)*(F141/1000)*(G141/1000)*7850</f>
        <v>2307.9</v>
      </c>
      <c r="I141" s="3" t="n">
        <v>1</v>
      </c>
      <c r="J141" s="9" t="n">
        <f aca="false">H141*I141</f>
        <v>2307.9</v>
      </c>
      <c r="K141" s="3"/>
    </row>
    <row r="142" customFormat="false" ht="19.5" hidden="false" customHeight="false" outlineLevel="0" collapsed="false">
      <c r="A142" s="3" t="s">
        <v>72</v>
      </c>
      <c r="B142" s="3" t="s">
        <v>73</v>
      </c>
      <c r="C142" s="3" t="s">
        <v>74</v>
      </c>
      <c r="D142" s="3" t="s">
        <v>9</v>
      </c>
      <c r="E142" s="3" t="n">
        <v>4125</v>
      </c>
      <c r="F142" s="3" t="n">
        <v>1360</v>
      </c>
      <c r="G142" s="3" t="n">
        <v>40</v>
      </c>
      <c r="H142" s="8" t="n">
        <f aca="false">(E142/1000)*(F142/1000)*(G142/1000)*7850</f>
        <v>1761.54</v>
      </c>
      <c r="I142" s="3" t="n">
        <v>2</v>
      </c>
      <c r="J142" s="9" t="n">
        <f aca="false">H142*I142</f>
        <v>3523.08</v>
      </c>
      <c r="K142" s="3"/>
    </row>
    <row r="143" customFormat="false" ht="19.5" hidden="false" customHeight="false" outlineLevel="0" collapsed="false">
      <c r="A143" s="3" t="s">
        <v>72</v>
      </c>
      <c r="B143" s="3" t="s">
        <v>73</v>
      </c>
      <c r="C143" s="3" t="s">
        <v>74</v>
      </c>
      <c r="D143" s="3" t="s">
        <v>9</v>
      </c>
      <c r="E143" s="3" t="n">
        <v>4125</v>
      </c>
      <c r="F143" s="3" t="n">
        <v>320</v>
      </c>
      <c r="G143" s="3" t="n">
        <v>32</v>
      </c>
      <c r="H143" s="8" t="n">
        <f aca="false">(E143/1000)*(F143/1000)*(G143/1000)*7850</f>
        <v>331.584</v>
      </c>
      <c r="I143" s="3" t="n">
        <v>4</v>
      </c>
      <c r="J143" s="9" t="n">
        <f aca="false">H143*I143</f>
        <v>1326.336</v>
      </c>
      <c r="K143" s="3"/>
    </row>
    <row r="144" customFormat="false" ht="19.5" hidden="false" customHeight="false" outlineLevel="0" collapsed="false">
      <c r="A144" s="3" t="s">
        <v>72</v>
      </c>
      <c r="B144" s="3" t="s">
        <v>73</v>
      </c>
      <c r="C144" s="3" t="s">
        <v>74</v>
      </c>
      <c r="D144" s="3" t="s">
        <v>9</v>
      </c>
      <c r="E144" s="3" t="n">
        <v>5225</v>
      </c>
      <c r="F144" s="3" t="n">
        <v>320</v>
      </c>
      <c r="G144" s="3" t="n">
        <v>32</v>
      </c>
      <c r="H144" s="8" t="n">
        <f aca="false">(E144/1000)*(F144/1000)*(G144/1000)*7850</f>
        <v>420.0064</v>
      </c>
      <c r="I144" s="3" t="n">
        <v>1</v>
      </c>
      <c r="J144" s="9" t="n">
        <f aca="false">H144*I144</f>
        <v>420.0064</v>
      </c>
      <c r="K144" s="3"/>
    </row>
    <row r="145" customFormat="false" ht="19.5" hidden="false" customHeight="false" outlineLevel="0" collapsed="false">
      <c r="A145" s="3" t="s">
        <v>72</v>
      </c>
      <c r="B145" s="3" t="s">
        <v>73</v>
      </c>
      <c r="C145" s="3" t="s">
        <v>74</v>
      </c>
      <c r="D145" s="3" t="s">
        <v>9</v>
      </c>
      <c r="E145" s="3" t="n">
        <v>5425</v>
      </c>
      <c r="F145" s="3" t="n">
        <v>320</v>
      </c>
      <c r="G145" s="3" t="n">
        <v>32</v>
      </c>
      <c r="H145" s="8" t="n">
        <f aca="false">(E145/1000)*(F145/1000)*(G145/1000)*7850</f>
        <v>436.0832</v>
      </c>
      <c r="I145" s="3" t="n">
        <v>1</v>
      </c>
      <c r="J145" s="9" t="n">
        <f aca="false">H145*I145</f>
        <v>436.0832</v>
      </c>
      <c r="K145" s="3"/>
    </row>
    <row r="146" customFormat="false" ht="19.5" hidden="false" customHeight="false" outlineLevel="0" collapsed="false">
      <c r="A146" s="3" t="s">
        <v>72</v>
      </c>
      <c r="B146" s="3" t="s">
        <v>73</v>
      </c>
      <c r="C146" s="3" t="s">
        <v>74</v>
      </c>
      <c r="D146" s="3" t="s">
        <v>8</v>
      </c>
      <c r="E146" s="3" t="n">
        <v>1960</v>
      </c>
      <c r="F146" s="3" t="n">
        <v>602</v>
      </c>
      <c r="G146" s="3" t="n">
        <v>14</v>
      </c>
      <c r="H146" s="8" t="n">
        <f aca="false">(E146/1000)*(F146/1000)*(G146/1000)*7850</f>
        <v>129.673208</v>
      </c>
      <c r="I146" s="3" t="n">
        <v>6</v>
      </c>
      <c r="J146" s="9" t="n">
        <f aca="false">H146*I146</f>
        <v>778.039248</v>
      </c>
      <c r="K146" s="3"/>
    </row>
    <row r="147" customFormat="false" ht="19.5" hidden="false" customHeight="false" outlineLevel="0" collapsed="false">
      <c r="A147" s="3" t="s">
        <v>75</v>
      </c>
      <c r="B147" s="3" t="s">
        <v>76</v>
      </c>
      <c r="C147" s="3" t="s">
        <v>44</v>
      </c>
      <c r="D147" s="3" t="s">
        <v>9</v>
      </c>
      <c r="E147" s="3" t="n">
        <v>15550</v>
      </c>
      <c r="F147" s="3" t="n">
        <v>1000</v>
      </c>
      <c r="G147" s="3" t="n">
        <v>40</v>
      </c>
      <c r="H147" s="8" t="n">
        <f aca="false">(E147/1000)*(F147/1000)*(G147/1000)*7850</f>
        <v>4882.7</v>
      </c>
      <c r="I147" s="3" t="n">
        <v>1</v>
      </c>
      <c r="J147" s="9" t="n">
        <f aca="false">H147*I147</f>
        <v>4882.7</v>
      </c>
      <c r="K147" s="3"/>
    </row>
    <row r="148" customFormat="false" ht="19.5" hidden="false" customHeight="false" outlineLevel="0" collapsed="false">
      <c r="A148" s="3" t="s">
        <v>75</v>
      </c>
      <c r="B148" s="3" t="s">
        <v>76</v>
      </c>
      <c r="C148" s="3" t="s">
        <v>45</v>
      </c>
      <c r="D148" s="3" t="s">
        <v>9</v>
      </c>
      <c r="E148" s="3" t="n">
        <v>13820</v>
      </c>
      <c r="F148" s="3" t="n">
        <v>1000</v>
      </c>
      <c r="G148" s="3" t="n">
        <v>40</v>
      </c>
      <c r="H148" s="8" t="n">
        <f aca="false">(E148/1000)*(F148/1000)*(G148/1000)*7850</f>
        <v>4339.48</v>
      </c>
      <c r="I148" s="3" t="n">
        <v>1</v>
      </c>
      <c r="J148" s="9" t="n">
        <f aca="false">H148*I148</f>
        <v>4339.48</v>
      </c>
      <c r="K148" s="3"/>
    </row>
    <row r="149" customFormat="false" ht="19.5" hidden="false" customHeight="false" outlineLevel="0" collapsed="false">
      <c r="A149" s="3" t="s">
        <v>75</v>
      </c>
      <c r="B149" s="3" t="s">
        <v>76</v>
      </c>
      <c r="C149" s="3" t="s">
        <v>46</v>
      </c>
      <c r="D149" s="3" t="s">
        <v>9</v>
      </c>
      <c r="E149" s="3" t="n">
        <v>8039</v>
      </c>
      <c r="F149" s="3" t="n">
        <v>1200</v>
      </c>
      <c r="G149" s="3" t="n">
        <v>40</v>
      </c>
      <c r="H149" s="8" t="n">
        <f aca="false">(E149/1000)*(F149/1000)*(G149/1000)*7850</f>
        <v>3029.0952</v>
      </c>
      <c r="I149" s="3" t="n">
        <v>2</v>
      </c>
      <c r="J149" s="9" t="n">
        <f aca="false">H149*I149</f>
        <v>6058.1904</v>
      </c>
      <c r="K149" s="3"/>
    </row>
    <row r="150" customFormat="false" ht="19.5" hidden="false" customHeight="false" outlineLevel="0" collapsed="false">
      <c r="A150" s="3" t="s">
        <v>75</v>
      </c>
      <c r="B150" s="3" t="s">
        <v>76</v>
      </c>
      <c r="C150" s="3" t="s">
        <v>47</v>
      </c>
      <c r="D150" s="3" t="s">
        <v>9</v>
      </c>
      <c r="E150" s="3" t="n">
        <v>6940</v>
      </c>
      <c r="F150" s="3" t="n">
        <v>1200</v>
      </c>
      <c r="G150" s="3" t="n">
        <v>40</v>
      </c>
      <c r="H150" s="8" t="n">
        <f aca="false">(E150/1000)*(F150/1000)*(G150/1000)*7850</f>
        <v>2614.992</v>
      </c>
      <c r="I150" s="3" t="n">
        <v>1</v>
      </c>
      <c r="J150" s="9" t="n">
        <f aca="false">H150*I150</f>
        <v>2614.992</v>
      </c>
      <c r="K150" s="3"/>
    </row>
    <row r="151" customFormat="false" ht="19.5" hidden="false" customHeight="false" outlineLevel="0" collapsed="false">
      <c r="A151" s="3" t="s">
        <v>75</v>
      </c>
      <c r="B151" s="3" t="s">
        <v>76</v>
      </c>
      <c r="C151" s="3" t="s">
        <v>49</v>
      </c>
      <c r="D151" s="3" t="s">
        <v>9</v>
      </c>
      <c r="E151" s="3" t="n">
        <v>7140</v>
      </c>
      <c r="F151" s="3" t="n">
        <v>2048</v>
      </c>
      <c r="G151" s="3" t="n">
        <v>48</v>
      </c>
      <c r="H151" s="8" t="n">
        <f aca="false">(E151/1000)*(F151/1000)*(G151/1000)*7850</f>
        <v>5509.840896</v>
      </c>
      <c r="I151" s="3" t="n">
        <v>2</v>
      </c>
      <c r="J151" s="9" t="n">
        <f aca="false">H151*I151</f>
        <v>11019.681792</v>
      </c>
      <c r="K151" s="3"/>
    </row>
    <row r="152" customFormat="false" ht="19.5" hidden="false" customHeight="false" outlineLevel="0" collapsed="false">
      <c r="A152" s="3" t="s">
        <v>75</v>
      </c>
      <c r="B152" s="3" t="s">
        <v>76</v>
      </c>
      <c r="C152" s="3" t="s">
        <v>53</v>
      </c>
      <c r="D152" s="3" t="s">
        <v>9</v>
      </c>
      <c r="E152" s="3" t="n">
        <v>10910</v>
      </c>
      <c r="F152" s="3" t="n">
        <v>1000</v>
      </c>
      <c r="G152" s="3" t="n">
        <v>32</v>
      </c>
      <c r="H152" s="8" t="n">
        <f aca="false">(E152/1000)*(F152/1000)*(G152/1000)*7850</f>
        <v>2740.592</v>
      </c>
      <c r="I152" s="3" t="n">
        <v>1</v>
      </c>
      <c r="J152" s="9" t="n">
        <f aca="false">H152*I152</f>
        <v>2740.592</v>
      </c>
      <c r="K152" s="3"/>
    </row>
    <row r="153" customFormat="false" ht="19.5" hidden="false" customHeight="false" outlineLevel="0" collapsed="false">
      <c r="A153" s="3" t="s">
        <v>75</v>
      </c>
      <c r="B153" s="3" t="s">
        <v>76</v>
      </c>
      <c r="C153" s="3" t="s">
        <v>67</v>
      </c>
      <c r="D153" s="3" t="s">
        <v>9</v>
      </c>
      <c r="E153" s="3" t="n">
        <v>24210</v>
      </c>
      <c r="F153" s="3" t="n">
        <v>1000</v>
      </c>
      <c r="G153" s="3" t="n">
        <v>44</v>
      </c>
      <c r="H153" s="8" t="n">
        <f aca="false">(E153/1000)*(F153/1000)*(G153/1000)*7850</f>
        <v>8362.134</v>
      </c>
      <c r="I153" s="3" t="n">
        <v>2</v>
      </c>
      <c r="J153" s="9" t="n">
        <f aca="false">H153*I153</f>
        <v>16724.268</v>
      </c>
      <c r="K153" s="3"/>
    </row>
    <row r="154" customFormat="false" ht="19.5" hidden="false" customHeight="false" outlineLevel="0" collapsed="false">
      <c r="A154" s="3" t="s">
        <v>75</v>
      </c>
      <c r="B154" s="3" t="s">
        <v>76</v>
      </c>
      <c r="C154" s="3" t="s">
        <v>54</v>
      </c>
      <c r="D154" s="3" t="s">
        <v>9</v>
      </c>
      <c r="E154" s="3" t="n">
        <v>7141</v>
      </c>
      <c r="F154" s="3" t="n">
        <v>1880</v>
      </c>
      <c r="G154" s="3" t="n">
        <v>44</v>
      </c>
      <c r="H154" s="8" t="n">
        <f aca="false">(E154/1000)*(F154/1000)*(G154/1000)*7850</f>
        <v>4637.022632</v>
      </c>
      <c r="I154" s="3" t="n">
        <v>2</v>
      </c>
      <c r="J154" s="9" t="n">
        <f aca="false">H154*I154</f>
        <v>9274.045264</v>
      </c>
      <c r="K154" s="3"/>
    </row>
    <row r="155" customFormat="false" ht="19.5" hidden="false" customHeight="false" outlineLevel="0" collapsed="false">
      <c r="A155" s="3" t="s">
        <v>75</v>
      </c>
      <c r="B155" s="3" t="s">
        <v>76</v>
      </c>
      <c r="C155" s="3" t="s">
        <v>55</v>
      </c>
      <c r="D155" s="3" t="s">
        <v>9</v>
      </c>
      <c r="E155" s="3" t="n">
        <v>8040</v>
      </c>
      <c r="F155" s="3" t="n">
        <v>320</v>
      </c>
      <c r="G155" s="3" t="n">
        <v>32</v>
      </c>
      <c r="H155" s="8" t="n">
        <f aca="false">(E155/1000)*(F155/1000)*(G155/1000)*7850</f>
        <v>646.28736</v>
      </c>
      <c r="I155" s="3" t="n">
        <v>4</v>
      </c>
      <c r="J155" s="9" t="n">
        <f aca="false">H155*I155</f>
        <v>2585.14944</v>
      </c>
      <c r="K155" s="3"/>
    </row>
    <row r="156" customFormat="false" ht="19.5" hidden="false" customHeight="false" outlineLevel="0" collapsed="false">
      <c r="A156" s="3" t="s">
        <v>75</v>
      </c>
      <c r="B156" s="3" t="s">
        <v>76</v>
      </c>
      <c r="C156" s="3" t="s">
        <v>56</v>
      </c>
      <c r="D156" s="3" t="s">
        <v>9</v>
      </c>
      <c r="E156" s="3" t="n">
        <v>6941</v>
      </c>
      <c r="F156" s="3" t="n">
        <v>320</v>
      </c>
      <c r="G156" s="3" t="n">
        <v>32</v>
      </c>
      <c r="H156" s="8" t="n">
        <f aca="false">(E156/1000)*(F156/1000)*(G156/1000)*7850</f>
        <v>557.945344</v>
      </c>
      <c r="I156" s="3" t="n">
        <v>4</v>
      </c>
      <c r="J156" s="9" t="n">
        <f aca="false">H156*I156</f>
        <v>2231.781376</v>
      </c>
      <c r="K156" s="3"/>
    </row>
    <row r="157" customFormat="false" ht="19.5" hidden="false" customHeight="false" outlineLevel="0" collapsed="false">
      <c r="A157" s="3" t="s">
        <v>75</v>
      </c>
      <c r="B157" s="3" t="s">
        <v>76</v>
      </c>
      <c r="C157" s="3" t="s">
        <v>56</v>
      </c>
      <c r="D157" s="3" t="s">
        <v>9</v>
      </c>
      <c r="E157" s="3" t="n">
        <v>11812</v>
      </c>
      <c r="F157" s="3" t="n">
        <v>1200</v>
      </c>
      <c r="G157" s="3" t="n">
        <v>40</v>
      </c>
      <c r="H157" s="8" t="n">
        <f aca="false">(E157/1000)*(F157/1000)*(G157/1000)*7850</f>
        <v>4450.7616</v>
      </c>
      <c r="I157" s="3" t="n">
        <v>1</v>
      </c>
      <c r="J157" s="9" t="n">
        <f aca="false">H157*I157</f>
        <v>4450.7616</v>
      </c>
      <c r="K157" s="3"/>
    </row>
    <row r="158" customFormat="false" ht="19.5" hidden="false" customHeight="false" outlineLevel="0" collapsed="false">
      <c r="A158" s="3" t="s">
        <v>75</v>
      </c>
      <c r="B158" s="3" t="s">
        <v>76</v>
      </c>
      <c r="C158" s="3" t="s">
        <v>56</v>
      </c>
      <c r="D158" s="3" t="s">
        <v>9</v>
      </c>
      <c r="E158" s="3" t="n">
        <v>8212</v>
      </c>
      <c r="F158" s="3" t="n">
        <v>1760</v>
      </c>
      <c r="G158" s="3" t="n">
        <v>40</v>
      </c>
      <c r="H158" s="8" t="n">
        <f aca="false">(E158/1000)*(F158/1000)*(G158/1000)*7850</f>
        <v>4538.27968</v>
      </c>
      <c r="I158" s="3" t="n">
        <v>2</v>
      </c>
      <c r="J158" s="9" t="n">
        <f aca="false">H158*I158</f>
        <v>9076.55936</v>
      </c>
      <c r="K158" s="3"/>
    </row>
    <row r="159" customFormat="false" ht="19.5" hidden="false" customHeight="false" outlineLevel="0" collapsed="false">
      <c r="A159" s="3" t="s">
        <v>75</v>
      </c>
      <c r="B159" s="3" t="s">
        <v>76</v>
      </c>
      <c r="C159" s="3" t="s">
        <v>56</v>
      </c>
      <c r="D159" s="3" t="s">
        <v>9</v>
      </c>
      <c r="E159" s="3" t="n">
        <v>8212</v>
      </c>
      <c r="F159" s="3" t="n">
        <v>320</v>
      </c>
      <c r="G159" s="3" t="n">
        <v>32</v>
      </c>
      <c r="H159" s="8" t="n">
        <f aca="false">(E159/1000)*(F159/1000)*(G159/1000)*7850</f>
        <v>660.113408</v>
      </c>
      <c r="I159" s="3" t="n">
        <v>4</v>
      </c>
      <c r="J159" s="9" t="n">
        <f aca="false">H159*I159</f>
        <v>2640.453632</v>
      </c>
      <c r="K159" s="3"/>
    </row>
    <row r="160" customFormat="false" ht="19.5" hidden="false" customHeight="false" outlineLevel="0" collapsed="false">
      <c r="A160" s="3" t="s">
        <v>75</v>
      </c>
      <c r="B160" s="3" t="s">
        <v>76</v>
      </c>
      <c r="C160" s="3" t="s">
        <v>74</v>
      </c>
      <c r="D160" s="3" t="s">
        <v>9</v>
      </c>
      <c r="E160" s="3" t="n">
        <v>10412</v>
      </c>
      <c r="F160" s="3" t="n">
        <v>320</v>
      </c>
      <c r="G160" s="3" t="n">
        <v>32</v>
      </c>
      <c r="H160" s="8" t="n">
        <f aca="false">(E160/1000)*(F160/1000)*(G160/1000)*7850</f>
        <v>836.958208</v>
      </c>
      <c r="I160" s="3" t="n">
        <v>1</v>
      </c>
      <c r="J160" s="9" t="n">
        <f aca="false">H160*I160</f>
        <v>836.958208</v>
      </c>
      <c r="K160" s="3"/>
    </row>
    <row r="161" customFormat="false" ht="19.5" hidden="false" customHeight="false" outlineLevel="0" collapsed="false">
      <c r="A161" s="3" t="s">
        <v>75</v>
      </c>
      <c r="B161" s="3" t="s">
        <v>76</v>
      </c>
      <c r="C161" s="3" t="s">
        <v>71</v>
      </c>
      <c r="D161" s="3" t="s">
        <v>9</v>
      </c>
      <c r="E161" s="3" t="n">
        <v>10612</v>
      </c>
      <c r="F161" s="3" t="n">
        <v>320</v>
      </c>
      <c r="G161" s="3" t="n">
        <v>32</v>
      </c>
      <c r="H161" s="8" t="n">
        <f aca="false">(E161/1000)*(F161/1000)*(G161/1000)*7850</f>
        <v>853.035008</v>
      </c>
      <c r="I161" s="3" t="n">
        <v>1</v>
      </c>
      <c r="J161" s="9" t="n">
        <f aca="false">H161*I161</f>
        <v>853.035008</v>
      </c>
      <c r="K161" s="3"/>
    </row>
    <row r="162" customFormat="false" ht="19.5" hidden="false" customHeight="false" outlineLevel="0" collapsed="false">
      <c r="A162" s="3" t="s">
        <v>75</v>
      </c>
      <c r="B162" s="3" t="s">
        <v>76</v>
      </c>
      <c r="C162" s="3" t="s">
        <v>71</v>
      </c>
      <c r="D162" s="3" t="s">
        <v>9</v>
      </c>
      <c r="E162" s="3" t="n">
        <v>1600</v>
      </c>
      <c r="F162" s="3" t="n">
        <v>1200</v>
      </c>
      <c r="G162" s="3" t="n">
        <v>16</v>
      </c>
      <c r="H162" s="8" t="n">
        <f aca="false">(E162/1000)*(F162/1000)*(G162/1000)*7850</f>
        <v>241.152</v>
      </c>
      <c r="I162" s="3" t="n">
        <v>3</v>
      </c>
      <c r="J162" s="9" t="n">
        <f aca="false">H162*I162</f>
        <v>723.456</v>
      </c>
      <c r="K162" s="3"/>
    </row>
    <row r="163" customFormat="false" ht="19.5" hidden="false" customHeight="false" outlineLevel="0" collapsed="false">
      <c r="A163" s="3" t="s">
        <v>75</v>
      </c>
      <c r="B163" s="3" t="s">
        <v>76</v>
      </c>
      <c r="C163" s="3" t="s">
        <v>71</v>
      </c>
      <c r="D163" s="3" t="s">
        <v>9</v>
      </c>
      <c r="E163" s="3" t="n">
        <v>5969</v>
      </c>
      <c r="F163" s="3" t="n">
        <v>1200</v>
      </c>
      <c r="G163" s="3" t="n">
        <v>40</v>
      </c>
      <c r="H163" s="8" t="n">
        <f aca="false">(E163/1000)*(F163/1000)*(G163/1000)*7850</f>
        <v>2249.1192</v>
      </c>
      <c r="I163" s="3" t="n">
        <v>1</v>
      </c>
      <c r="J163" s="9" t="n">
        <f aca="false">H163*I163</f>
        <v>2249.1192</v>
      </c>
      <c r="K163" s="3"/>
    </row>
    <row r="164" customFormat="false" ht="19.5" hidden="false" customHeight="false" outlineLevel="0" collapsed="false">
      <c r="A164" s="3" t="s">
        <v>75</v>
      </c>
      <c r="B164" s="3" t="s">
        <v>76</v>
      </c>
      <c r="C164" s="3" t="s">
        <v>71</v>
      </c>
      <c r="D164" s="3" t="s">
        <v>9</v>
      </c>
      <c r="E164" s="3" t="n">
        <v>3969</v>
      </c>
      <c r="F164" s="3" t="n">
        <v>1760</v>
      </c>
      <c r="G164" s="3" t="n">
        <v>40</v>
      </c>
      <c r="H164" s="8" t="n">
        <f aca="false">(E164/1000)*(F164/1000)*(G164/1000)*7850</f>
        <v>2193.42816</v>
      </c>
      <c r="I164" s="3" t="n">
        <v>2</v>
      </c>
      <c r="J164" s="9" t="n">
        <f aca="false">H164*I164</f>
        <v>4386.85632</v>
      </c>
      <c r="K164" s="3"/>
    </row>
    <row r="165" customFormat="false" ht="19.5" hidden="false" customHeight="false" outlineLevel="0" collapsed="false">
      <c r="A165" s="3" t="s">
        <v>75</v>
      </c>
      <c r="B165" s="3" t="s">
        <v>76</v>
      </c>
      <c r="C165" s="3" t="s">
        <v>71</v>
      </c>
      <c r="D165" s="3" t="s">
        <v>9</v>
      </c>
      <c r="E165" s="3" t="n">
        <v>3969</v>
      </c>
      <c r="F165" s="3" t="n">
        <v>320</v>
      </c>
      <c r="G165" s="3" t="n">
        <v>32</v>
      </c>
      <c r="H165" s="8" t="n">
        <f aca="false">(E165/1000)*(F165/1000)*(G165/1000)*7850</f>
        <v>319.044096</v>
      </c>
      <c r="I165" s="3" t="n">
        <v>4</v>
      </c>
      <c r="J165" s="9" t="n">
        <f aca="false">H165*I165</f>
        <v>1276.176384</v>
      </c>
      <c r="K165" s="3"/>
    </row>
    <row r="166" customFormat="false" ht="19.5" hidden="false" customHeight="false" outlineLevel="0" collapsed="false">
      <c r="A166" s="3" t="s">
        <v>75</v>
      </c>
      <c r="B166" s="3" t="s">
        <v>76</v>
      </c>
      <c r="C166" s="3" t="s">
        <v>71</v>
      </c>
      <c r="D166" s="3" t="s">
        <v>9</v>
      </c>
      <c r="E166" s="3" t="n">
        <v>5069</v>
      </c>
      <c r="F166" s="3" t="n">
        <v>320</v>
      </c>
      <c r="G166" s="3" t="n">
        <v>32</v>
      </c>
      <c r="H166" s="8" t="n">
        <f aca="false">(E166/1000)*(F166/1000)*(G166/1000)*7850</f>
        <v>407.466496</v>
      </c>
      <c r="I166" s="3" t="n">
        <v>1</v>
      </c>
      <c r="J166" s="9" t="n">
        <f aca="false">H166*I166</f>
        <v>407.466496</v>
      </c>
      <c r="K166" s="3"/>
    </row>
    <row r="167" customFormat="false" ht="19.5" hidden="false" customHeight="false" outlineLevel="0" collapsed="false">
      <c r="A167" s="3" t="s">
        <v>75</v>
      </c>
      <c r="B167" s="3" t="s">
        <v>76</v>
      </c>
      <c r="C167" s="3" t="s">
        <v>71</v>
      </c>
      <c r="D167" s="3" t="s">
        <v>9</v>
      </c>
      <c r="E167" s="3" t="n">
        <v>5269</v>
      </c>
      <c r="F167" s="3" t="n">
        <v>320</v>
      </c>
      <c r="G167" s="3" t="n">
        <v>32</v>
      </c>
      <c r="H167" s="8" t="n">
        <f aca="false">(E167/1000)*(F167/1000)*(G167/1000)*7850</f>
        <v>423.543296</v>
      </c>
      <c r="I167" s="3" t="n">
        <v>1</v>
      </c>
      <c r="J167" s="9" t="n">
        <f aca="false">H167*I167</f>
        <v>423.543296</v>
      </c>
      <c r="K167" s="3"/>
    </row>
    <row r="168" customFormat="false" ht="19.5" hidden="false" customHeight="false" outlineLevel="0" collapsed="false">
      <c r="A168" s="3" t="s">
        <v>75</v>
      </c>
      <c r="B168" s="3" t="s">
        <v>76</v>
      </c>
      <c r="C168" s="3" t="s">
        <v>71</v>
      </c>
      <c r="D168" s="3" t="s">
        <v>9</v>
      </c>
      <c r="E168" s="3" t="n">
        <v>1600</v>
      </c>
      <c r="F168" s="3" t="n">
        <v>1200</v>
      </c>
      <c r="G168" s="3" t="n">
        <v>16</v>
      </c>
      <c r="H168" s="8" t="n">
        <f aca="false">(E168/1000)*(F168/1000)*(G168/1000)*7850</f>
        <v>241.152</v>
      </c>
      <c r="I168" s="3" t="n">
        <v>2</v>
      </c>
      <c r="J168" s="9" t="n">
        <f aca="false">H168*I168</f>
        <v>482.304</v>
      </c>
      <c r="K168" s="3"/>
    </row>
    <row r="169" customFormat="false" ht="19.5" hidden="false" customHeight="false" outlineLevel="0" collapsed="false">
      <c r="A169" s="3" t="s">
        <v>75</v>
      </c>
      <c r="B169" s="3" t="s">
        <v>76</v>
      </c>
      <c r="C169" s="3" t="s">
        <v>71</v>
      </c>
      <c r="D169" s="3" t="s">
        <v>9</v>
      </c>
      <c r="E169" s="3" t="n">
        <v>5853</v>
      </c>
      <c r="F169" s="3" t="n">
        <v>1200</v>
      </c>
      <c r="G169" s="3" t="n">
        <v>40</v>
      </c>
      <c r="H169" s="8" t="n">
        <f aca="false">(E169/1000)*(F169/1000)*(G169/1000)*7850</f>
        <v>2205.4104</v>
      </c>
      <c r="I169" s="3" t="n">
        <v>1</v>
      </c>
      <c r="J169" s="9" t="n">
        <f aca="false">H169*I169</f>
        <v>2205.4104</v>
      </c>
      <c r="K169" s="3"/>
    </row>
    <row r="170" customFormat="false" ht="19.5" hidden="false" customHeight="false" outlineLevel="0" collapsed="false">
      <c r="A170" s="3" t="s">
        <v>75</v>
      </c>
      <c r="B170" s="3" t="s">
        <v>76</v>
      </c>
      <c r="C170" s="3" t="s">
        <v>71</v>
      </c>
      <c r="D170" s="3" t="s">
        <v>9</v>
      </c>
      <c r="E170" s="3" t="n">
        <v>4053</v>
      </c>
      <c r="F170" s="3" t="n">
        <v>1760</v>
      </c>
      <c r="G170" s="3" t="n">
        <v>40</v>
      </c>
      <c r="H170" s="8" t="n">
        <f aca="false">(E170/1000)*(F170/1000)*(G170/1000)*7850</f>
        <v>2239.84992</v>
      </c>
      <c r="I170" s="3" t="n">
        <v>2</v>
      </c>
      <c r="J170" s="9" t="n">
        <f aca="false">H170*I170</f>
        <v>4479.69984</v>
      </c>
      <c r="K170" s="3"/>
    </row>
    <row r="171" customFormat="false" ht="19.5" hidden="false" customHeight="false" outlineLevel="0" collapsed="false">
      <c r="A171" s="3" t="s">
        <v>75</v>
      </c>
      <c r="B171" s="3" t="s">
        <v>76</v>
      </c>
      <c r="C171" s="3" t="s">
        <v>71</v>
      </c>
      <c r="D171" s="3" t="s">
        <v>9</v>
      </c>
      <c r="E171" s="3" t="n">
        <v>4053</v>
      </c>
      <c r="F171" s="3" t="n">
        <v>320</v>
      </c>
      <c r="G171" s="3" t="n">
        <v>32</v>
      </c>
      <c r="H171" s="8" t="n">
        <f aca="false">(E171/1000)*(F171/1000)*(G171/1000)*7850</f>
        <v>325.796352</v>
      </c>
      <c r="I171" s="3" t="n">
        <v>4</v>
      </c>
      <c r="J171" s="9" t="n">
        <f aca="false">H171*I171</f>
        <v>1303.185408</v>
      </c>
      <c r="K171" s="3"/>
    </row>
    <row r="172" customFormat="false" ht="19.5" hidden="false" customHeight="false" outlineLevel="0" collapsed="false">
      <c r="A172" s="3" t="s">
        <v>75</v>
      </c>
      <c r="B172" s="3" t="s">
        <v>76</v>
      </c>
      <c r="C172" s="3" t="s">
        <v>71</v>
      </c>
      <c r="D172" s="3" t="s">
        <v>9</v>
      </c>
      <c r="E172" s="3" t="n">
        <v>5153</v>
      </c>
      <c r="F172" s="3" t="n">
        <v>320</v>
      </c>
      <c r="G172" s="3" t="n">
        <v>32</v>
      </c>
      <c r="H172" s="8" t="n">
        <f aca="false">(E172/1000)*(F172/1000)*(G172/1000)*7850</f>
        <v>414.218752</v>
      </c>
      <c r="I172" s="3" t="n">
        <v>1</v>
      </c>
      <c r="J172" s="9" t="n">
        <f aca="false">H172*I172</f>
        <v>414.218752</v>
      </c>
      <c r="K172" s="3"/>
    </row>
    <row r="173" customFormat="false" ht="19.5" hidden="false" customHeight="false" outlineLevel="0" collapsed="false">
      <c r="A173" s="3" t="s">
        <v>75</v>
      </c>
      <c r="B173" s="3" t="s">
        <v>76</v>
      </c>
      <c r="C173" s="3" t="s">
        <v>71</v>
      </c>
      <c r="D173" s="3" t="s">
        <v>9</v>
      </c>
      <c r="E173" s="3" t="n">
        <v>5353</v>
      </c>
      <c r="F173" s="3" t="n">
        <v>320</v>
      </c>
      <c r="G173" s="3" t="n">
        <v>32</v>
      </c>
      <c r="H173" s="8" t="n">
        <f aca="false">(E173/1000)*(F173/1000)*(G173/1000)*7850</f>
        <v>430.295552</v>
      </c>
      <c r="I173" s="3" t="n">
        <v>1</v>
      </c>
      <c r="J173" s="9" t="n">
        <f aca="false">H173*I173</f>
        <v>430.295552</v>
      </c>
      <c r="K173" s="3"/>
    </row>
    <row r="174" customFormat="false" ht="19.5" hidden="false" customHeight="false" outlineLevel="0" collapsed="false">
      <c r="A174" s="3" t="s">
        <v>75</v>
      </c>
      <c r="B174" s="3" t="s">
        <v>76</v>
      </c>
      <c r="C174" s="3" t="s">
        <v>71</v>
      </c>
      <c r="D174" s="3" t="s">
        <v>9</v>
      </c>
      <c r="E174" s="3" t="n">
        <v>2100</v>
      </c>
      <c r="F174" s="3" t="n">
        <v>320</v>
      </c>
      <c r="G174" s="3" t="n">
        <v>32</v>
      </c>
      <c r="H174" s="8" t="n">
        <f aca="false">(E174/1000)*(F174/1000)*(G174/1000)*7850</f>
        <v>168.8064</v>
      </c>
      <c r="I174" s="3" t="n">
        <v>8</v>
      </c>
      <c r="J174" s="9" t="n">
        <f aca="false">H174*I174</f>
        <v>1350.4512</v>
      </c>
      <c r="K174" s="3"/>
    </row>
    <row r="175" customFormat="false" ht="19.5" hidden="false" customHeight="false" outlineLevel="0" collapsed="false">
      <c r="A175" s="3" t="s">
        <v>75</v>
      </c>
      <c r="B175" s="3" t="s">
        <v>76</v>
      </c>
      <c r="C175" s="3" t="s">
        <v>71</v>
      </c>
      <c r="D175" s="3" t="s">
        <v>9</v>
      </c>
      <c r="E175" s="3" t="n">
        <v>2000</v>
      </c>
      <c r="F175" s="3" t="n">
        <v>320</v>
      </c>
      <c r="G175" s="3" t="n">
        <v>32</v>
      </c>
      <c r="H175" s="8" t="n">
        <f aca="false">(E175/1000)*(F175/1000)*(G175/1000)*7850</f>
        <v>160.768</v>
      </c>
      <c r="I175" s="3" t="n">
        <v>8</v>
      </c>
      <c r="J175" s="9" t="n">
        <f aca="false">H175*I175</f>
        <v>1286.144</v>
      </c>
      <c r="K175" s="3"/>
    </row>
    <row r="176" customFormat="false" ht="19.5" hidden="false" customHeight="false" outlineLevel="0" collapsed="false">
      <c r="A176" s="3" t="s">
        <v>75</v>
      </c>
      <c r="B176" s="3" t="s">
        <v>76</v>
      </c>
      <c r="C176" s="3" t="s">
        <v>71</v>
      </c>
      <c r="D176" s="3" t="s">
        <v>8</v>
      </c>
      <c r="E176" s="3" t="n">
        <v>1960</v>
      </c>
      <c r="F176" s="3" t="n">
        <v>606</v>
      </c>
      <c r="G176" s="3" t="n">
        <v>14</v>
      </c>
      <c r="H176" s="8" t="n">
        <f aca="false">(E176/1000)*(F176/1000)*(G176/1000)*7850</f>
        <v>130.534824</v>
      </c>
      <c r="I176" s="3" t="n">
        <v>6</v>
      </c>
      <c r="J176" s="9" t="n">
        <f aca="false">H176*I176</f>
        <v>783.208944</v>
      </c>
      <c r="K176" s="3"/>
    </row>
    <row r="177" customFormat="false" ht="19.5" hidden="false" customHeight="false" outlineLevel="0" collapsed="false">
      <c r="A177" s="3" t="s">
        <v>75</v>
      </c>
      <c r="B177" s="3" t="s">
        <v>76</v>
      </c>
      <c r="C177" s="3" t="s">
        <v>71</v>
      </c>
      <c r="D177" s="3" t="s">
        <v>8</v>
      </c>
      <c r="E177" s="3" t="n">
        <v>1960</v>
      </c>
      <c r="F177" s="3" t="n">
        <v>602</v>
      </c>
      <c r="G177" s="3" t="n">
        <v>14</v>
      </c>
      <c r="H177" s="8" t="n">
        <f aca="false">(E177/1000)*(F177/1000)*(G177/1000)*7850</f>
        <v>129.673208</v>
      </c>
      <c r="I177" s="3" t="n">
        <v>4</v>
      </c>
      <c r="J177" s="9" t="n">
        <f aca="false">H177*I177</f>
        <v>518.692832</v>
      </c>
      <c r="K177" s="3"/>
    </row>
    <row r="178" customFormat="false" ht="19.5" hidden="false" customHeight="false" outlineLevel="0" collapsed="false">
      <c r="A178" s="3" t="s">
        <v>75</v>
      </c>
      <c r="B178" s="3" t="s">
        <v>76</v>
      </c>
      <c r="C178" s="3" t="s">
        <v>71</v>
      </c>
      <c r="D178" s="3" t="s">
        <v>8</v>
      </c>
      <c r="E178" s="3" t="n">
        <v>480</v>
      </c>
      <c r="F178" s="3" t="n">
        <v>1000</v>
      </c>
      <c r="G178" s="3" t="n">
        <v>24</v>
      </c>
      <c r="H178" s="8" t="n">
        <f aca="false">(E178/1000)*(F178/1000)*(G178/1000)*7850</f>
        <v>90.432</v>
      </c>
      <c r="I178" s="3" t="n">
        <v>4</v>
      </c>
      <c r="J178" s="9" t="n">
        <f aca="false">H178*I178</f>
        <v>361.728</v>
      </c>
      <c r="K178" s="3"/>
    </row>
    <row r="179" customFormat="false" ht="19.5" hidden="false" customHeight="false" outlineLevel="0" collapsed="false">
      <c r="A179" s="3" t="s">
        <v>77</v>
      </c>
      <c r="B179" s="3" t="s">
        <v>78</v>
      </c>
      <c r="C179" s="3" t="s">
        <v>44</v>
      </c>
      <c r="D179" s="3" t="s">
        <v>9</v>
      </c>
      <c r="E179" s="3" t="n">
        <v>15280</v>
      </c>
      <c r="F179" s="3" t="n">
        <v>1000</v>
      </c>
      <c r="G179" s="3" t="n">
        <v>40</v>
      </c>
      <c r="H179" s="8" t="n">
        <f aca="false">(E179/1000)*(F179/1000)*(G179/1000)*7850</f>
        <v>4797.92</v>
      </c>
      <c r="I179" s="3" t="n">
        <v>1</v>
      </c>
      <c r="J179" s="9" t="n">
        <f aca="false">H179*I179</f>
        <v>4797.92</v>
      </c>
      <c r="K179" s="3"/>
    </row>
    <row r="180" customFormat="false" ht="19.5" hidden="false" customHeight="false" outlineLevel="0" collapsed="false">
      <c r="A180" s="3" t="s">
        <v>77</v>
      </c>
      <c r="B180" s="3" t="s">
        <v>78</v>
      </c>
      <c r="C180" s="3" t="s">
        <v>45</v>
      </c>
      <c r="D180" s="3" t="s">
        <v>9</v>
      </c>
      <c r="E180" s="3" t="n">
        <v>13460</v>
      </c>
      <c r="F180" s="3" t="n">
        <v>1000</v>
      </c>
      <c r="G180" s="3" t="n">
        <v>40</v>
      </c>
      <c r="H180" s="8" t="n">
        <f aca="false">(E180/1000)*(F180/1000)*(G180/1000)*7850</f>
        <v>4226.44</v>
      </c>
      <c r="I180" s="3" t="n">
        <v>1</v>
      </c>
      <c r="J180" s="9" t="n">
        <f aca="false">H180*I180</f>
        <v>4226.44</v>
      </c>
      <c r="K180" s="3"/>
    </row>
    <row r="181" customFormat="false" ht="19.5" hidden="false" customHeight="false" outlineLevel="0" collapsed="false">
      <c r="A181" s="3" t="s">
        <v>77</v>
      </c>
      <c r="B181" s="3" t="s">
        <v>78</v>
      </c>
      <c r="C181" s="3" t="s">
        <v>46</v>
      </c>
      <c r="D181" s="3" t="s">
        <v>9</v>
      </c>
      <c r="E181" s="3" t="n">
        <v>7900</v>
      </c>
      <c r="F181" s="3" t="n">
        <v>1200</v>
      </c>
      <c r="G181" s="3" t="n">
        <v>40</v>
      </c>
      <c r="H181" s="8" t="n">
        <f aca="false">(E181/1000)*(F181/1000)*(G181/1000)*7850</f>
        <v>2976.72</v>
      </c>
      <c r="I181" s="3" t="n">
        <v>1</v>
      </c>
      <c r="J181" s="9" t="n">
        <f aca="false">H181*I181</f>
        <v>2976.72</v>
      </c>
      <c r="K181" s="3"/>
    </row>
    <row r="182" customFormat="false" ht="19.5" hidden="false" customHeight="false" outlineLevel="0" collapsed="false">
      <c r="A182" s="3" t="s">
        <v>77</v>
      </c>
      <c r="B182" s="3" t="s">
        <v>78</v>
      </c>
      <c r="C182" s="3" t="s">
        <v>47</v>
      </c>
      <c r="D182" s="3" t="s">
        <v>9</v>
      </c>
      <c r="E182" s="3" t="n">
        <v>6950</v>
      </c>
      <c r="F182" s="3" t="n">
        <v>1200</v>
      </c>
      <c r="G182" s="3" t="n">
        <v>40</v>
      </c>
      <c r="H182" s="8" t="n">
        <f aca="false">(E182/1000)*(F182/1000)*(G182/1000)*7850</f>
        <v>2618.76</v>
      </c>
      <c r="I182" s="3" t="n">
        <v>1</v>
      </c>
      <c r="J182" s="9" t="n">
        <f aca="false">H182*I182</f>
        <v>2618.76</v>
      </c>
      <c r="K182" s="3"/>
    </row>
    <row r="183" customFormat="false" ht="19.5" hidden="false" customHeight="false" outlineLevel="0" collapsed="false">
      <c r="A183" s="3" t="s">
        <v>77</v>
      </c>
      <c r="B183" s="3" t="s">
        <v>78</v>
      </c>
      <c r="C183" s="3" t="s">
        <v>48</v>
      </c>
      <c r="D183" s="3" t="s">
        <v>9</v>
      </c>
      <c r="E183" s="3" t="n">
        <v>25760</v>
      </c>
      <c r="F183" s="3" t="n">
        <v>1000</v>
      </c>
      <c r="G183" s="3" t="n">
        <v>44</v>
      </c>
      <c r="H183" s="8" t="n">
        <f aca="false">(E183/1000)*(F183/1000)*(G183/1000)*7850</f>
        <v>8897.504</v>
      </c>
      <c r="I183" s="3" t="n">
        <v>2</v>
      </c>
      <c r="J183" s="9" t="n">
        <f aca="false">H183*I183</f>
        <v>17795.008</v>
      </c>
      <c r="K183" s="3"/>
    </row>
    <row r="184" customFormat="false" ht="19.5" hidden="false" customHeight="false" outlineLevel="0" collapsed="false">
      <c r="A184" s="3" t="s">
        <v>77</v>
      </c>
      <c r="B184" s="3" t="s">
        <v>78</v>
      </c>
      <c r="C184" s="3" t="s">
        <v>53</v>
      </c>
      <c r="D184" s="3" t="s">
        <v>8</v>
      </c>
      <c r="E184" s="3" t="n">
        <v>11130</v>
      </c>
      <c r="F184" s="3" t="n">
        <v>1000</v>
      </c>
      <c r="G184" s="3" t="n">
        <v>24</v>
      </c>
      <c r="H184" s="8" t="n">
        <f aca="false">(E184/1000)*(F184/1000)*(G184/1000)*7850</f>
        <v>2096.892</v>
      </c>
      <c r="I184" s="3" t="n">
        <v>1</v>
      </c>
      <c r="J184" s="9" t="n">
        <f aca="false">H184*I184</f>
        <v>2096.892</v>
      </c>
      <c r="K184" s="3"/>
    </row>
    <row r="185" customFormat="false" ht="19.5" hidden="false" customHeight="false" outlineLevel="0" collapsed="false">
      <c r="A185" s="3" t="s">
        <v>77</v>
      </c>
      <c r="B185" s="3" t="s">
        <v>78</v>
      </c>
      <c r="C185" s="3" t="s">
        <v>67</v>
      </c>
      <c r="D185" s="3" t="s">
        <v>9</v>
      </c>
      <c r="E185" s="3" t="n">
        <v>24500</v>
      </c>
      <c r="F185" s="3" t="n">
        <v>1000</v>
      </c>
      <c r="G185" s="3" t="n">
        <v>44</v>
      </c>
      <c r="H185" s="8" t="n">
        <f aca="false">(E185/1000)*(F185/1000)*(G185/1000)*7850</f>
        <v>8462.3</v>
      </c>
      <c r="I185" s="3" t="n">
        <v>2</v>
      </c>
      <c r="J185" s="9" t="n">
        <f aca="false">H185*I185</f>
        <v>16924.6</v>
      </c>
      <c r="K185" s="3"/>
    </row>
    <row r="186" customFormat="false" ht="19.5" hidden="false" customHeight="false" outlineLevel="0" collapsed="false">
      <c r="A186" s="3" t="s">
        <v>77</v>
      </c>
      <c r="B186" s="3" t="s">
        <v>78</v>
      </c>
      <c r="C186" s="3" t="s">
        <v>54</v>
      </c>
      <c r="D186" s="3" t="s">
        <v>8</v>
      </c>
      <c r="E186" s="3" t="n">
        <v>7301</v>
      </c>
      <c r="F186" s="3" t="n">
        <v>1880</v>
      </c>
      <c r="G186" s="3" t="n">
        <v>32</v>
      </c>
      <c r="H186" s="8" t="n">
        <f aca="false">(E186/1000)*(F186/1000)*(G186/1000)*7850</f>
        <v>3447.941056</v>
      </c>
      <c r="I186" s="3" t="n">
        <v>2</v>
      </c>
      <c r="J186" s="9" t="n">
        <f aca="false">H186*I186</f>
        <v>6895.882112</v>
      </c>
      <c r="K186" s="3"/>
    </row>
    <row r="187" customFormat="false" ht="19.5" hidden="false" customHeight="false" outlineLevel="0" collapsed="false">
      <c r="A187" s="3" t="s">
        <v>77</v>
      </c>
      <c r="B187" s="3" t="s">
        <v>78</v>
      </c>
      <c r="C187" s="3" t="s">
        <v>55</v>
      </c>
      <c r="D187" s="3" t="s">
        <v>9</v>
      </c>
      <c r="E187" s="3" t="n">
        <v>8050</v>
      </c>
      <c r="F187" s="3" t="n">
        <v>320</v>
      </c>
      <c r="G187" s="3" t="n">
        <v>32</v>
      </c>
      <c r="H187" s="8" t="n">
        <f aca="false">(E187/1000)*(F187/1000)*(G187/1000)*7850</f>
        <v>647.0912</v>
      </c>
      <c r="I187" s="3" t="n">
        <v>4</v>
      </c>
      <c r="J187" s="9" t="n">
        <f aca="false">H187*I187</f>
        <v>2588.3648</v>
      </c>
      <c r="K187" s="3"/>
    </row>
    <row r="188" customFormat="false" ht="19.5" hidden="false" customHeight="false" outlineLevel="0" collapsed="false">
      <c r="A188" s="3" t="s">
        <v>77</v>
      </c>
      <c r="B188" s="3" t="s">
        <v>78</v>
      </c>
      <c r="C188" s="3" t="s">
        <v>56</v>
      </c>
      <c r="D188" s="3" t="s">
        <v>8</v>
      </c>
      <c r="E188" s="3" t="n">
        <v>7101</v>
      </c>
      <c r="F188" s="3" t="n">
        <v>320</v>
      </c>
      <c r="G188" s="3" t="n">
        <v>32</v>
      </c>
      <c r="H188" s="8" t="n">
        <f aca="false">(E188/1000)*(F188/1000)*(G188/1000)*7850</f>
        <v>570.806784</v>
      </c>
      <c r="I188" s="3" t="n">
        <v>4</v>
      </c>
      <c r="J188" s="9" t="n">
        <f aca="false">H188*I188</f>
        <v>2283.227136</v>
      </c>
      <c r="K188" s="3"/>
    </row>
    <row r="189" customFormat="false" ht="19.5" hidden="false" customHeight="false" outlineLevel="0" collapsed="false">
      <c r="A189" s="3" t="s">
        <v>77</v>
      </c>
      <c r="B189" s="3" t="s">
        <v>78</v>
      </c>
      <c r="C189" s="3" t="s">
        <v>56</v>
      </c>
      <c r="D189" s="3" t="s">
        <v>8</v>
      </c>
      <c r="E189" s="3" t="n">
        <v>11850</v>
      </c>
      <c r="F189" s="3" t="n">
        <v>1200</v>
      </c>
      <c r="G189" s="3" t="n">
        <v>40</v>
      </c>
      <c r="H189" s="8" t="n">
        <f aca="false">(E189/1000)*(F189/1000)*(G189/1000)*7850</f>
        <v>4465.08</v>
      </c>
      <c r="I189" s="3" t="n">
        <v>1</v>
      </c>
      <c r="J189" s="9" t="n">
        <f aca="false">H189*I189</f>
        <v>4465.08</v>
      </c>
      <c r="K189" s="3"/>
    </row>
    <row r="190" customFormat="false" ht="19.5" hidden="false" customHeight="false" outlineLevel="0" collapsed="false">
      <c r="A190" s="3" t="s">
        <v>77</v>
      </c>
      <c r="B190" s="3" t="s">
        <v>78</v>
      </c>
      <c r="C190" s="3" t="s">
        <v>56</v>
      </c>
      <c r="D190" s="3" t="s">
        <v>8</v>
      </c>
      <c r="E190" s="3" t="n">
        <v>8050</v>
      </c>
      <c r="F190" s="3" t="n">
        <v>1760</v>
      </c>
      <c r="G190" s="3" t="n">
        <v>40</v>
      </c>
      <c r="H190" s="8" t="n">
        <f aca="false">(E190/1000)*(F190/1000)*(G190/1000)*7850</f>
        <v>4448.752</v>
      </c>
      <c r="I190" s="3" t="n">
        <v>2</v>
      </c>
      <c r="J190" s="9" t="n">
        <f aca="false">H190*I190</f>
        <v>8897.504</v>
      </c>
      <c r="K190" s="3"/>
    </row>
    <row r="191" customFormat="false" ht="19.5" hidden="false" customHeight="false" outlineLevel="0" collapsed="false">
      <c r="A191" s="3" t="s">
        <v>77</v>
      </c>
      <c r="B191" s="3" t="s">
        <v>78</v>
      </c>
      <c r="C191" s="3" t="s">
        <v>56</v>
      </c>
      <c r="D191" s="3" t="s">
        <v>8</v>
      </c>
      <c r="E191" s="3" t="n">
        <v>8050</v>
      </c>
      <c r="F191" s="3" t="n">
        <v>320</v>
      </c>
      <c r="G191" s="3" t="n">
        <v>32</v>
      </c>
      <c r="H191" s="8" t="n">
        <f aca="false">(E191/1000)*(F191/1000)*(G191/1000)*7850</f>
        <v>647.0912</v>
      </c>
      <c r="I191" s="3" t="n">
        <v>4</v>
      </c>
      <c r="J191" s="9" t="n">
        <f aca="false">H191*I191</f>
        <v>2588.3648</v>
      </c>
      <c r="K191" s="3"/>
    </row>
    <row r="192" customFormat="false" ht="19.5" hidden="false" customHeight="false" outlineLevel="0" collapsed="false">
      <c r="A192" s="3" t="s">
        <v>77</v>
      </c>
      <c r="B192" s="3" t="s">
        <v>78</v>
      </c>
      <c r="C192" s="3" t="s">
        <v>74</v>
      </c>
      <c r="D192" s="3" t="s">
        <v>8</v>
      </c>
      <c r="E192" s="3" t="n">
        <v>10450</v>
      </c>
      <c r="F192" s="3" t="n">
        <v>320</v>
      </c>
      <c r="G192" s="3" t="n">
        <v>32</v>
      </c>
      <c r="H192" s="8" t="n">
        <f aca="false">(E192/1000)*(F192/1000)*(G192/1000)*7850</f>
        <v>840.0128</v>
      </c>
      <c r="I192" s="3" t="n">
        <v>1</v>
      </c>
      <c r="J192" s="9" t="n">
        <f aca="false">H192*I192</f>
        <v>840.0128</v>
      </c>
      <c r="K192" s="3"/>
    </row>
    <row r="193" customFormat="false" ht="19.5" hidden="false" customHeight="false" outlineLevel="0" collapsed="false">
      <c r="A193" s="3" t="s">
        <v>77</v>
      </c>
      <c r="B193" s="3" t="s">
        <v>78</v>
      </c>
      <c r="C193" s="3" t="s">
        <v>71</v>
      </c>
      <c r="D193" s="3" t="s">
        <v>8</v>
      </c>
      <c r="E193" s="3" t="n">
        <v>10550</v>
      </c>
      <c r="F193" s="3" t="n">
        <v>320</v>
      </c>
      <c r="G193" s="3" t="n">
        <v>32</v>
      </c>
      <c r="H193" s="8" t="n">
        <f aca="false">(E193/1000)*(F193/1000)*(G193/1000)*7850</f>
        <v>848.0512</v>
      </c>
      <c r="I193" s="3" t="n">
        <v>1</v>
      </c>
      <c r="J193" s="9" t="n">
        <f aca="false">H193*I193</f>
        <v>848.0512</v>
      </c>
      <c r="K193" s="3"/>
    </row>
    <row r="194" customFormat="false" ht="19.5" hidden="false" customHeight="false" outlineLevel="0" collapsed="false">
      <c r="A194" s="3" t="s">
        <v>77</v>
      </c>
      <c r="B194" s="3" t="s">
        <v>78</v>
      </c>
      <c r="C194" s="3" t="s">
        <v>71</v>
      </c>
      <c r="D194" s="3" t="s">
        <v>8</v>
      </c>
      <c r="E194" s="3" t="n">
        <v>1600</v>
      </c>
      <c r="F194" s="3" t="n">
        <v>1200</v>
      </c>
      <c r="G194" s="3" t="n">
        <v>16</v>
      </c>
      <c r="H194" s="8" t="n">
        <f aca="false">(E194/1000)*(F194/1000)*(G194/1000)*7850</f>
        <v>241.152</v>
      </c>
      <c r="I194" s="3" t="n">
        <v>3</v>
      </c>
      <c r="J194" s="9" t="n">
        <f aca="false">H194*I194</f>
        <v>723.456</v>
      </c>
      <c r="K194" s="3"/>
    </row>
    <row r="195" customFormat="false" ht="19.5" hidden="false" customHeight="false" outlineLevel="0" collapsed="false">
      <c r="A195" s="3" t="s">
        <v>77</v>
      </c>
      <c r="B195" s="3" t="s">
        <v>78</v>
      </c>
      <c r="C195" s="3" t="s">
        <v>71</v>
      </c>
      <c r="D195" s="3" t="s">
        <v>8</v>
      </c>
      <c r="E195" s="3" t="n">
        <v>6011</v>
      </c>
      <c r="F195" s="3" t="n">
        <v>1200</v>
      </c>
      <c r="G195" s="3" t="n">
        <v>36</v>
      </c>
      <c r="H195" s="8" t="n">
        <f aca="false">(E195/1000)*(F195/1000)*(G195/1000)*7850</f>
        <v>2038.45032</v>
      </c>
      <c r="I195" s="3" t="n">
        <v>1</v>
      </c>
      <c r="J195" s="9" t="n">
        <f aca="false">H195*I195</f>
        <v>2038.45032</v>
      </c>
      <c r="K195" s="3"/>
    </row>
    <row r="196" customFormat="false" ht="19.5" hidden="false" customHeight="false" outlineLevel="0" collapsed="false">
      <c r="A196" s="3" t="s">
        <v>77</v>
      </c>
      <c r="B196" s="3" t="s">
        <v>78</v>
      </c>
      <c r="C196" s="3" t="s">
        <v>71</v>
      </c>
      <c r="D196" s="3" t="s">
        <v>8</v>
      </c>
      <c r="E196" s="3" t="n">
        <v>3911</v>
      </c>
      <c r="F196" s="3" t="n">
        <v>320</v>
      </c>
      <c r="G196" s="3" t="n">
        <v>32</v>
      </c>
      <c r="H196" s="8" t="n">
        <f aca="false">(E196/1000)*(F196/1000)*(G196/1000)*7850</f>
        <v>314.381824</v>
      </c>
      <c r="I196" s="3" t="n">
        <v>2</v>
      </c>
      <c r="J196" s="9" t="n">
        <f aca="false">H196*I196</f>
        <v>628.763648</v>
      </c>
      <c r="K196" s="3"/>
    </row>
    <row r="197" customFormat="false" ht="19.5" hidden="false" customHeight="false" outlineLevel="0" collapsed="false">
      <c r="A197" s="3" t="s">
        <v>77</v>
      </c>
      <c r="B197" s="3" t="s">
        <v>78</v>
      </c>
      <c r="C197" s="3" t="s">
        <v>71</v>
      </c>
      <c r="D197" s="3" t="s">
        <v>8</v>
      </c>
      <c r="E197" s="3" t="n">
        <v>5011</v>
      </c>
      <c r="F197" s="3" t="n">
        <v>320</v>
      </c>
      <c r="G197" s="3" t="n">
        <v>32</v>
      </c>
      <c r="H197" s="8" t="n">
        <f aca="false">(E197/1000)*(F197/1000)*(G197/1000)*7850</f>
        <v>402.804224</v>
      </c>
      <c r="I197" s="3" t="n">
        <v>1</v>
      </c>
      <c r="J197" s="9" t="n">
        <f aca="false">H197*I197</f>
        <v>402.804224</v>
      </c>
      <c r="K197" s="3"/>
    </row>
    <row r="198" customFormat="false" ht="19.5" hidden="false" customHeight="false" outlineLevel="0" collapsed="false">
      <c r="A198" s="3" t="s">
        <v>77</v>
      </c>
      <c r="B198" s="3" t="s">
        <v>78</v>
      </c>
      <c r="C198" s="3" t="s">
        <v>71</v>
      </c>
      <c r="D198" s="3" t="s">
        <v>8</v>
      </c>
      <c r="E198" s="3" t="n">
        <v>5311</v>
      </c>
      <c r="F198" s="3" t="n">
        <v>320</v>
      </c>
      <c r="G198" s="3" t="n">
        <v>32</v>
      </c>
      <c r="H198" s="8" t="n">
        <f aca="false">(E198/1000)*(F198/1000)*(G198/1000)*7850</f>
        <v>426.919424</v>
      </c>
      <c r="I198" s="3" t="n">
        <v>1</v>
      </c>
      <c r="J198" s="9" t="n">
        <f aca="false">H198*I198</f>
        <v>426.919424</v>
      </c>
      <c r="K198" s="3"/>
    </row>
    <row r="199" customFormat="false" ht="19.5" hidden="false" customHeight="false" outlineLevel="0" collapsed="false">
      <c r="A199" s="3" t="s">
        <v>77</v>
      </c>
      <c r="B199" s="3" t="s">
        <v>78</v>
      </c>
      <c r="C199" s="3" t="s">
        <v>71</v>
      </c>
      <c r="D199" s="3" t="s">
        <v>8</v>
      </c>
      <c r="E199" s="3" t="n">
        <v>5779</v>
      </c>
      <c r="F199" s="3" t="n">
        <v>1200</v>
      </c>
      <c r="G199" s="3" t="n">
        <v>36</v>
      </c>
      <c r="H199" s="8" t="n">
        <f aca="false">(E199/1000)*(F199/1000)*(G199/1000)*7850</f>
        <v>1959.77448</v>
      </c>
      <c r="I199" s="3" t="n">
        <v>1</v>
      </c>
      <c r="J199" s="9" t="n">
        <f aca="false">H199*I199</f>
        <v>1959.77448</v>
      </c>
      <c r="K199" s="3"/>
    </row>
    <row r="200" customFormat="false" ht="19.5" hidden="false" customHeight="false" outlineLevel="0" collapsed="false">
      <c r="A200" s="3" t="s">
        <v>77</v>
      </c>
      <c r="B200" s="3" t="s">
        <v>78</v>
      </c>
      <c r="C200" s="3" t="s">
        <v>71</v>
      </c>
      <c r="D200" s="3" t="s">
        <v>8</v>
      </c>
      <c r="E200" s="3" t="n">
        <v>3979</v>
      </c>
      <c r="F200" s="3" t="n">
        <v>320</v>
      </c>
      <c r="G200" s="3" t="n">
        <v>32</v>
      </c>
      <c r="H200" s="8" t="n">
        <f aca="false">(E200/1000)*(F200/1000)*(G200/1000)*7850</f>
        <v>319.847936</v>
      </c>
      <c r="I200" s="3" t="n">
        <v>4</v>
      </c>
      <c r="J200" s="9" t="n">
        <f aca="false">H200*I200</f>
        <v>1279.391744</v>
      </c>
      <c r="K200" s="3"/>
    </row>
    <row r="201" customFormat="false" ht="19.5" hidden="false" customHeight="false" outlineLevel="0" collapsed="false">
      <c r="A201" s="3" t="s">
        <v>77</v>
      </c>
      <c r="B201" s="3" t="s">
        <v>78</v>
      </c>
      <c r="C201" s="3" t="s">
        <v>71</v>
      </c>
      <c r="D201" s="3" t="s">
        <v>8</v>
      </c>
      <c r="E201" s="3" t="n">
        <v>5279</v>
      </c>
      <c r="F201" s="3" t="n">
        <v>320</v>
      </c>
      <c r="G201" s="3" t="n">
        <v>32</v>
      </c>
      <c r="H201" s="8" t="n">
        <f aca="false">(E201/1000)*(F201/1000)*(G201/1000)*7850</f>
        <v>424.347136</v>
      </c>
      <c r="I201" s="3" t="n">
        <v>1</v>
      </c>
      <c r="J201" s="9" t="n">
        <f aca="false">H201*I201</f>
        <v>424.347136</v>
      </c>
      <c r="K201" s="3"/>
    </row>
    <row r="202" customFormat="false" ht="19.5" hidden="false" customHeight="false" outlineLevel="0" collapsed="false">
      <c r="A202" s="3" t="s">
        <v>77</v>
      </c>
      <c r="B202" s="3" t="s">
        <v>78</v>
      </c>
      <c r="C202" s="3" t="s">
        <v>71</v>
      </c>
      <c r="D202" s="3" t="s">
        <v>8</v>
      </c>
      <c r="E202" s="3" t="n">
        <v>5079</v>
      </c>
      <c r="F202" s="3" t="n">
        <v>320</v>
      </c>
      <c r="G202" s="3" t="n">
        <v>32</v>
      </c>
      <c r="H202" s="8" t="n">
        <f aca="false">(E202/1000)*(F202/1000)*(G202/1000)*7850</f>
        <v>408.270336</v>
      </c>
      <c r="I202" s="3" t="n">
        <v>1</v>
      </c>
      <c r="J202" s="9" t="n">
        <f aca="false">H202*I202</f>
        <v>408.270336</v>
      </c>
      <c r="K202" s="3"/>
    </row>
    <row r="203" customFormat="false" ht="19.5" hidden="false" customHeight="false" outlineLevel="0" collapsed="false">
      <c r="A203" s="3" t="s">
        <v>77</v>
      </c>
      <c r="B203" s="3" t="s">
        <v>78</v>
      </c>
      <c r="C203" s="3" t="s">
        <v>71</v>
      </c>
      <c r="D203" s="3" t="s">
        <v>8</v>
      </c>
      <c r="E203" s="3" t="n">
        <v>1600</v>
      </c>
      <c r="F203" s="3" t="n">
        <v>1200</v>
      </c>
      <c r="G203" s="3" t="n">
        <v>16</v>
      </c>
      <c r="H203" s="8" t="n">
        <f aca="false">(E203/1000)*(F203/1000)*(G203/1000)*7850</f>
        <v>241.152</v>
      </c>
      <c r="I203" s="3" t="n">
        <v>2</v>
      </c>
      <c r="J203" s="9" t="n">
        <f aca="false">H203*I203</f>
        <v>482.304</v>
      </c>
      <c r="K203" s="3"/>
    </row>
    <row r="204" customFormat="false" ht="19.5" hidden="false" customHeight="false" outlineLevel="0" collapsed="false">
      <c r="A204" s="3" t="s">
        <v>77</v>
      </c>
      <c r="B204" s="3" t="s">
        <v>78</v>
      </c>
      <c r="C204" s="3" t="s">
        <v>71</v>
      </c>
      <c r="D204" s="3" t="s">
        <v>8</v>
      </c>
      <c r="E204" s="3" t="n">
        <v>1960</v>
      </c>
      <c r="F204" s="3" t="n">
        <v>606</v>
      </c>
      <c r="G204" s="3" t="n">
        <v>14</v>
      </c>
      <c r="H204" s="8" t="n">
        <f aca="false">(E204/1000)*(F204/1000)*(G204/1000)*7850</f>
        <v>130.534824</v>
      </c>
      <c r="I204" s="3" t="n">
        <v>6</v>
      </c>
      <c r="J204" s="9" t="n">
        <f aca="false">H204*I204</f>
        <v>783.208944</v>
      </c>
      <c r="K204" s="3"/>
    </row>
    <row r="205" customFormat="false" ht="19.5" hidden="false" customHeight="false" outlineLevel="0" collapsed="false">
      <c r="A205" s="3" t="s">
        <v>77</v>
      </c>
      <c r="B205" s="3" t="s">
        <v>78</v>
      </c>
      <c r="C205" s="3" t="s">
        <v>71</v>
      </c>
      <c r="D205" s="3" t="s">
        <v>8</v>
      </c>
      <c r="E205" s="3" t="n">
        <v>1960</v>
      </c>
      <c r="F205" s="3" t="n">
        <v>602</v>
      </c>
      <c r="G205" s="3" t="n">
        <v>14</v>
      </c>
      <c r="H205" s="8" t="n">
        <f aca="false">(E205/1000)*(F205/1000)*(G205/1000)*7850</f>
        <v>129.673208</v>
      </c>
      <c r="I205" s="3" t="n">
        <v>4</v>
      </c>
      <c r="J205" s="9" t="n">
        <f aca="false">H205*I205</f>
        <v>518.692832</v>
      </c>
      <c r="K205" s="3"/>
    </row>
    <row r="206" customFormat="false" ht="19.5" hidden="false" customHeight="false" outlineLevel="0" collapsed="false">
      <c r="A206" s="3" t="s">
        <v>77</v>
      </c>
      <c r="B206" s="3" t="s">
        <v>78</v>
      </c>
      <c r="C206" s="3" t="s">
        <v>71</v>
      </c>
      <c r="D206" s="3" t="s">
        <v>8</v>
      </c>
      <c r="E206" s="3" t="n">
        <v>470</v>
      </c>
      <c r="F206" s="3" t="n">
        <v>1000</v>
      </c>
      <c r="G206" s="3" t="n">
        <v>24</v>
      </c>
      <c r="H206" s="8" t="n">
        <f aca="false">(E206/1000)*(F206/1000)*(G206/1000)*7850</f>
        <v>88.548</v>
      </c>
      <c r="I206" s="3" t="n">
        <v>6</v>
      </c>
      <c r="J206" s="9" t="n">
        <f aca="false">H206*I206</f>
        <v>531.288</v>
      </c>
      <c r="K206" s="3"/>
    </row>
    <row r="207" customFormat="false" ht="19.5" hidden="false" customHeight="false" outlineLevel="0" collapsed="false">
      <c r="A207" s="3" t="s">
        <v>79</v>
      </c>
      <c r="B207" s="3" t="s">
        <v>80</v>
      </c>
      <c r="C207" s="3" t="s">
        <v>44</v>
      </c>
      <c r="D207" s="3" t="s">
        <v>8</v>
      </c>
      <c r="E207" s="3" t="n">
        <v>15280</v>
      </c>
      <c r="F207" s="3" t="n">
        <v>1000</v>
      </c>
      <c r="G207" s="3" t="n">
        <v>20</v>
      </c>
      <c r="H207" s="8" t="n">
        <f aca="false">(E207/1000)*(F207/1000)*(G207/1000)*7850</f>
        <v>2398.96</v>
      </c>
      <c r="I207" s="3" t="n">
        <v>1</v>
      </c>
      <c r="J207" s="9" t="n">
        <f aca="false">H207*I207</f>
        <v>2398.96</v>
      </c>
      <c r="K207" s="3"/>
    </row>
    <row r="208" customFormat="false" ht="19.5" hidden="false" customHeight="false" outlineLevel="0" collapsed="false">
      <c r="A208" s="3" t="s">
        <v>79</v>
      </c>
      <c r="B208" s="3" t="s">
        <v>80</v>
      </c>
      <c r="C208" s="3" t="s">
        <v>45</v>
      </c>
      <c r="D208" s="3" t="s">
        <v>8</v>
      </c>
      <c r="E208" s="3" t="n">
        <v>13730</v>
      </c>
      <c r="F208" s="3" t="n">
        <v>1000</v>
      </c>
      <c r="G208" s="3" t="n">
        <v>24</v>
      </c>
      <c r="H208" s="8" t="n">
        <f aca="false">(E208/1000)*(F208/1000)*(G208/1000)*7850</f>
        <v>2586.732</v>
      </c>
      <c r="I208" s="3" t="n">
        <v>1</v>
      </c>
      <c r="J208" s="9" t="n">
        <f aca="false">H208*I208</f>
        <v>2586.732</v>
      </c>
      <c r="K208" s="3"/>
    </row>
    <row r="209" customFormat="false" ht="19.5" hidden="false" customHeight="false" outlineLevel="0" collapsed="false">
      <c r="A209" s="3" t="s">
        <v>79</v>
      </c>
      <c r="B209" s="3" t="s">
        <v>80</v>
      </c>
      <c r="C209" s="3" t="s">
        <v>46</v>
      </c>
      <c r="D209" s="3" t="s">
        <v>8</v>
      </c>
      <c r="E209" s="3" t="n">
        <v>7900</v>
      </c>
      <c r="F209" s="3" t="n">
        <v>1200</v>
      </c>
      <c r="G209" s="3" t="n">
        <v>20</v>
      </c>
      <c r="H209" s="8" t="n">
        <f aca="false">(E209/1000)*(F209/1000)*(G209/1000)*7850</f>
        <v>1488.36</v>
      </c>
      <c r="I209" s="3" t="n">
        <v>1</v>
      </c>
      <c r="J209" s="9" t="n">
        <f aca="false">H209*I209</f>
        <v>1488.36</v>
      </c>
      <c r="K209" s="3"/>
    </row>
    <row r="210" customFormat="false" ht="19.5" hidden="false" customHeight="false" outlineLevel="0" collapsed="false">
      <c r="A210" s="3" t="s">
        <v>79</v>
      </c>
      <c r="B210" s="3" t="s">
        <v>80</v>
      </c>
      <c r="C210" s="3" t="s">
        <v>47</v>
      </c>
      <c r="D210" s="3" t="s">
        <v>8</v>
      </c>
      <c r="E210" s="3" t="n">
        <v>7100</v>
      </c>
      <c r="F210" s="3" t="n">
        <v>1200</v>
      </c>
      <c r="G210" s="3" t="n">
        <v>24</v>
      </c>
      <c r="H210" s="8" t="n">
        <f aca="false">(E210/1000)*(F210/1000)*(G210/1000)*7850</f>
        <v>1605.168</v>
      </c>
      <c r="I210" s="3" t="n">
        <v>1</v>
      </c>
      <c r="J210" s="9" t="n">
        <f aca="false">H210*I210</f>
        <v>1605.168</v>
      </c>
      <c r="K210" s="3"/>
    </row>
    <row r="211" customFormat="false" ht="19.5" hidden="false" customHeight="false" outlineLevel="0" collapsed="false">
      <c r="A211" s="3" t="s">
        <v>79</v>
      </c>
      <c r="B211" s="3" t="s">
        <v>80</v>
      </c>
      <c r="C211" s="3" t="s">
        <v>49</v>
      </c>
      <c r="D211" s="3" t="s">
        <v>8</v>
      </c>
      <c r="E211" s="3" t="n">
        <v>24540</v>
      </c>
      <c r="F211" s="3" t="n">
        <v>1000</v>
      </c>
      <c r="G211" s="3" t="n">
        <v>40</v>
      </c>
      <c r="H211" s="8" t="n">
        <f aca="false">(E211/1000)*(F211/1000)*(G211/1000)*7850</f>
        <v>7705.56</v>
      </c>
      <c r="I211" s="3" t="n">
        <v>2</v>
      </c>
      <c r="J211" s="9" t="n">
        <f aca="false">H211*I211</f>
        <v>15411.12</v>
      </c>
      <c r="K211" s="3"/>
    </row>
    <row r="212" customFormat="false" ht="19.5" hidden="false" customHeight="false" outlineLevel="0" collapsed="false">
      <c r="A212" s="3" t="s">
        <v>79</v>
      </c>
      <c r="B212" s="3" t="s">
        <v>80</v>
      </c>
      <c r="C212" s="3" t="s">
        <v>50</v>
      </c>
      <c r="D212" s="3" t="s">
        <v>8</v>
      </c>
      <c r="E212" s="3" t="n">
        <v>7900</v>
      </c>
      <c r="F212" s="3" t="n">
        <v>280</v>
      </c>
      <c r="G212" s="3" t="n">
        <v>24</v>
      </c>
      <c r="H212" s="8" t="n">
        <f aca="false">(E212/1000)*(F212/1000)*(G212/1000)*7850</f>
        <v>416.7408</v>
      </c>
      <c r="I212" s="3" t="n">
        <v>6</v>
      </c>
      <c r="J212" s="9" t="n">
        <f aca="false">H212*I212</f>
        <v>2500.4448</v>
      </c>
      <c r="K212" s="3"/>
    </row>
    <row r="213" customFormat="false" ht="19.5" hidden="false" customHeight="false" outlineLevel="0" collapsed="false">
      <c r="A213" s="3" t="s">
        <v>79</v>
      </c>
      <c r="B213" s="3" t="s">
        <v>80</v>
      </c>
      <c r="C213" s="3" t="s">
        <v>66</v>
      </c>
      <c r="D213" s="3" t="s">
        <v>8</v>
      </c>
      <c r="E213" s="3" t="n">
        <v>7100</v>
      </c>
      <c r="F213" s="3" t="n">
        <v>320</v>
      </c>
      <c r="G213" s="3" t="n">
        <v>32</v>
      </c>
      <c r="H213" s="8" t="n">
        <f aca="false">(E213/1000)*(F213/1000)*(G213/1000)*7850</f>
        <v>570.7264</v>
      </c>
      <c r="I213" s="3" t="n">
        <v>6</v>
      </c>
      <c r="J213" s="9" t="n">
        <f aca="false">H213*I213</f>
        <v>3424.3584</v>
      </c>
      <c r="K213" s="3"/>
    </row>
    <row r="214" customFormat="false" ht="19.5" hidden="false" customHeight="false" outlineLevel="0" collapsed="false">
      <c r="A214" s="3" t="s">
        <v>79</v>
      </c>
      <c r="B214" s="3" t="s">
        <v>80</v>
      </c>
      <c r="C214" s="3" t="s">
        <v>51</v>
      </c>
      <c r="D214" s="3" t="s">
        <v>8</v>
      </c>
      <c r="E214" s="3" t="n">
        <v>7901</v>
      </c>
      <c r="F214" s="3" t="n">
        <v>2500</v>
      </c>
      <c r="G214" s="3" t="n">
        <v>24</v>
      </c>
      <c r="H214" s="8" t="n">
        <f aca="false">(E214/1000)*(F214/1000)*(G214/1000)*7850</f>
        <v>3721.371</v>
      </c>
      <c r="I214" s="3" t="n">
        <v>1</v>
      </c>
      <c r="J214" s="9" t="n">
        <f aca="false">H214*I214</f>
        <v>3721.371</v>
      </c>
      <c r="K214" s="3"/>
    </row>
    <row r="215" customFormat="false" ht="19.5" hidden="false" customHeight="false" outlineLevel="0" collapsed="false">
      <c r="A215" s="3" t="s">
        <v>79</v>
      </c>
      <c r="B215" s="3" t="s">
        <v>80</v>
      </c>
      <c r="C215" s="3" t="s">
        <v>53</v>
      </c>
      <c r="D215" s="3" t="s">
        <v>8</v>
      </c>
      <c r="E215" s="3" t="n">
        <v>11130</v>
      </c>
      <c r="F215" s="3" t="n">
        <v>1000</v>
      </c>
      <c r="G215" s="3" t="n">
        <v>24</v>
      </c>
      <c r="H215" s="8" t="n">
        <f aca="false">(E215/1000)*(F215/1000)*(G215/1000)*7850</f>
        <v>2096.892</v>
      </c>
      <c r="I215" s="3" t="n">
        <v>1</v>
      </c>
      <c r="J215" s="9" t="n">
        <f aca="false">H215*I215</f>
        <v>2096.892</v>
      </c>
      <c r="K215" s="3"/>
    </row>
    <row r="216" customFormat="false" ht="19.5" hidden="false" customHeight="false" outlineLevel="0" collapsed="false">
      <c r="A216" s="3" t="s">
        <v>79</v>
      </c>
      <c r="B216" s="3" t="s">
        <v>80</v>
      </c>
      <c r="C216" s="3" t="s">
        <v>67</v>
      </c>
      <c r="D216" s="3" t="s">
        <v>8</v>
      </c>
      <c r="E216" s="3" t="n">
        <v>22530</v>
      </c>
      <c r="F216" s="3" t="n">
        <v>1000</v>
      </c>
      <c r="G216" s="3" t="n">
        <v>48</v>
      </c>
      <c r="H216" s="8" t="n">
        <f aca="false">(E216/1000)*(F216/1000)*(G216/1000)*7850</f>
        <v>8489.304</v>
      </c>
      <c r="I216" s="3" t="n">
        <v>2</v>
      </c>
      <c r="J216" s="9" t="n">
        <f aca="false">H216*I216</f>
        <v>16978.608</v>
      </c>
      <c r="K216" s="3"/>
    </row>
    <row r="217" customFormat="false" ht="19.5" hidden="false" customHeight="false" outlineLevel="0" collapsed="false">
      <c r="A217" s="3" t="s">
        <v>79</v>
      </c>
      <c r="B217" s="3" t="s">
        <v>80</v>
      </c>
      <c r="C217" s="3" t="s">
        <v>54</v>
      </c>
      <c r="D217" s="3" t="s">
        <v>8</v>
      </c>
      <c r="E217" s="3" t="n">
        <v>7301</v>
      </c>
      <c r="F217" s="3" t="n">
        <v>1880</v>
      </c>
      <c r="G217" s="3" t="n">
        <v>32</v>
      </c>
      <c r="H217" s="8" t="n">
        <f aca="false">(E217/1000)*(F217/1000)*(G217/1000)*7850</f>
        <v>3447.941056</v>
      </c>
      <c r="I217" s="3" t="n">
        <v>2</v>
      </c>
      <c r="J217" s="9" t="n">
        <f aca="false">H217*I217</f>
        <v>6895.882112</v>
      </c>
      <c r="K217" s="3"/>
    </row>
    <row r="218" customFormat="false" ht="19.5" hidden="false" customHeight="false" outlineLevel="0" collapsed="false">
      <c r="A218" s="3" t="s">
        <v>79</v>
      </c>
      <c r="B218" s="3" t="s">
        <v>80</v>
      </c>
      <c r="C218" s="3" t="s">
        <v>55</v>
      </c>
      <c r="D218" s="3" t="s">
        <v>8</v>
      </c>
      <c r="E218" s="3" t="n">
        <v>7901</v>
      </c>
      <c r="F218" s="3" t="n">
        <v>320</v>
      </c>
      <c r="G218" s="3" t="n">
        <v>32</v>
      </c>
      <c r="H218" s="8" t="n">
        <f aca="false">(E218/1000)*(F218/1000)*(G218/1000)*7850</f>
        <v>635.113984</v>
      </c>
      <c r="I218" s="3" t="n">
        <v>4</v>
      </c>
      <c r="J218" s="9" t="n">
        <f aca="false">H218*I218</f>
        <v>2540.455936</v>
      </c>
      <c r="K218" s="3"/>
    </row>
    <row r="219" customFormat="false" ht="19.5" hidden="false" customHeight="false" outlineLevel="0" collapsed="false">
      <c r="A219" s="3" t="s">
        <v>79</v>
      </c>
      <c r="B219" s="3" t="s">
        <v>80</v>
      </c>
      <c r="C219" s="3" t="s">
        <v>56</v>
      </c>
      <c r="D219" s="3" t="s">
        <v>8</v>
      </c>
      <c r="E219" s="3" t="n">
        <v>7101</v>
      </c>
      <c r="F219" s="3" t="n">
        <v>280</v>
      </c>
      <c r="G219" s="3" t="n">
        <v>24</v>
      </c>
      <c r="H219" s="8" t="n">
        <f aca="false">(E219/1000)*(F219/1000)*(G219/1000)*7850</f>
        <v>374.591952</v>
      </c>
      <c r="I219" s="3" t="n">
        <v>4</v>
      </c>
      <c r="J219" s="9" t="n">
        <f aca="false">H219*I219</f>
        <v>1498.367808</v>
      </c>
      <c r="K219" s="3"/>
    </row>
    <row r="220" customFormat="false" ht="19.5" hidden="false" customHeight="false" outlineLevel="0" collapsed="false">
      <c r="A220" s="3" t="s">
        <v>79</v>
      </c>
      <c r="B220" s="3" t="s">
        <v>80</v>
      </c>
      <c r="C220" s="3" t="s">
        <v>57</v>
      </c>
      <c r="D220" s="3" t="s">
        <v>8</v>
      </c>
      <c r="E220" s="3" t="n">
        <v>15002</v>
      </c>
      <c r="F220" s="3" t="n">
        <v>170</v>
      </c>
      <c r="G220" s="3" t="n">
        <v>14</v>
      </c>
      <c r="H220" s="8" t="n">
        <f aca="false">(E220/1000)*(F220/1000)*(G220/1000)*7850</f>
        <v>280.282366</v>
      </c>
      <c r="I220" s="3" t="n">
        <v>2</v>
      </c>
      <c r="J220" s="9" t="n">
        <f aca="false">H220*I220</f>
        <v>560.564732</v>
      </c>
      <c r="K220" s="3"/>
    </row>
    <row r="221" customFormat="false" ht="19.5" hidden="false" customHeight="false" outlineLevel="0" collapsed="false">
      <c r="A221" s="3" t="s">
        <v>79</v>
      </c>
      <c r="B221" s="3" t="s">
        <v>80</v>
      </c>
      <c r="C221" s="3" t="s">
        <v>81</v>
      </c>
      <c r="D221" s="3" t="s">
        <v>8</v>
      </c>
      <c r="E221" s="3" t="n">
        <v>11803</v>
      </c>
      <c r="F221" s="3" t="n">
        <v>1200</v>
      </c>
      <c r="G221" s="3" t="n">
        <v>36</v>
      </c>
      <c r="H221" s="8" t="n">
        <f aca="false">(E221/1000)*(F221/1000)*(G221/1000)*7850</f>
        <v>4002.63336</v>
      </c>
      <c r="I221" s="3" t="n">
        <v>1</v>
      </c>
      <c r="J221" s="9" t="n">
        <f aca="false">H221*I221</f>
        <v>4002.63336</v>
      </c>
      <c r="K221" s="3"/>
    </row>
    <row r="222" customFormat="false" ht="19.5" hidden="false" customHeight="false" outlineLevel="0" collapsed="false">
      <c r="A222" s="3" t="s">
        <v>79</v>
      </c>
      <c r="B222" s="3" t="s">
        <v>80</v>
      </c>
      <c r="C222" s="3" t="s">
        <v>59</v>
      </c>
      <c r="D222" s="3" t="s">
        <v>8</v>
      </c>
      <c r="E222" s="3" t="n">
        <v>7903</v>
      </c>
      <c r="F222" s="3" t="n">
        <v>1360</v>
      </c>
      <c r="G222" s="3" t="n">
        <v>36</v>
      </c>
      <c r="H222" s="8" t="n">
        <f aca="false">(E222/1000)*(F222/1000)*(G222/1000)*7850</f>
        <v>3037.407408</v>
      </c>
      <c r="I222" s="3" t="n">
        <v>2</v>
      </c>
      <c r="J222" s="9" t="n">
        <f aca="false">H222*I222</f>
        <v>6074.814816</v>
      </c>
      <c r="K222" s="3"/>
    </row>
    <row r="223" customFormat="false" ht="19.5" hidden="false" customHeight="false" outlineLevel="0" collapsed="false">
      <c r="A223" s="3" t="s">
        <v>79</v>
      </c>
      <c r="B223" s="3" t="s">
        <v>80</v>
      </c>
      <c r="C223" s="3" t="s">
        <v>60</v>
      </c>
      <c r="D223" s="3" t="s">
        <v>8</v>
      </c>
      <c r="E223" s="3" t="n">
        <v>7903</v>
      </c>
      <c r="F223" s="3" t="n">
        <v>320</v>
      </c>
      <c r="G223" s="3" t="n">
        <v>32</v>
      </c>
      <c r="H223" s="8" t="n">
        <f aca="false">(E223/1000)*(F223/1000)*(G223/1000)*7850</f>
        <v>635.274752</v>
      </c>
      <c r="I223" s="3" t="n">
        <v>2</v>
      </c>
      <c r="J223" s="9" t="n">
        <f aca="false">H223*I223</f>
        <v>1270.549504</v>
      </c>
      <c r="K223" s="3"/>
    </row>
    <row r="224" customFormat="false" ht="19.5" hidden="false" customHeight="false" outlineLevel="0" collapsed="false">
      <c r="A224" s="3" t="s">
        <v>79</v>
      </c>
      <c r="B224" s="3" t="s">
        <v>80</v>
      </c>
      <c r="C224" s="3" t="s">
        <v>71</v>
      </c>
      <c r="D224" s="3" t="s">
        <v>8</v>
      </c>
      <c r="E224" s="3" t="n">
        <v>10403</v>
      </c>
      <c r="F224" s="3" t="n">
        <v>320</v>
      </c>
      <c r="G224" s="3" t="n">
        <v>32</v>
      </c>
      <c r="H224" s="8" t="n">
        <f aca="false">(E224/1000)*(F224/1000)*(G224/1000)*7850</f>
        <v>836.234752</v>
      </c>
      <c r="I224" s="3" t="n">
        <v>1</v>
      </c>
      <c r="J224" s="9" t="n">
        <f aca="false">H224*I224</f>
        <v>836.234752</v>
      </c>
      <c r="K224" s="3"/>
    </row>
    <row r="225" customFormat="false" ht="19.5" hidden="false" customHeight="false" outlineLevel="0" collapsed="false">
      <c r="A225" s="3" t="s">
        <v>79</v>
      </c>
      <c r="B225" s="3" t="s">
        <v>80</v>
      </c>
      <c r="C225" s="3" t="s">
        <v>82</v>
      </c>
      <c r="D225" s="3" t="s">
        <v>8</v>
      </c>
      <c r="E225" s="3" t="n">
        <v>1200</v>
      </c>
      <c r="F225" s="3" t="n">
        <v>1200</v>
      </c>
      <c r="G225" s="3" t="n">
        <v>16</v>
      </c>
      <c r="H225" s="8" t="n">
        <f aca="false">(E225/1000)*(F225/1000)*(G225/1000)*7850</f>
        <v>180.864</v>
      </c>
      <c r="I225" s="3" t="n">
        <v>3</v>
      </c>
      <c r="J225" s="9" t="n">
        <f aca="false">H225*I225</f>
        <v>542.592</v>
      </c>
      <c r="K225" s="3"/>
    </row>
    <row r="226" customFormat="false" ht="19.5" hidden="false" customHeight="false" outlineLevel="0" collapsed="false">
      <c r="A226" s="3" t="s">
        <v>79</v>
      </c>
      <c r="B226" s="3" t="s">
        <v>80</v>
      </c>
      <c r="C226" s="3" t="s">
        <v>82</v>
      </c>
      <c r="D226" s="3" t="s">
        <v>8</v>
      </c>
      <c r="E226" s="3" t="n">
        <v>5651</v>
      </c>
      <c r="F226" s="3" t="n">
        <v>1200</v>
      </c>
      <c r="G226" s="3" t="n">
        <v>36</v>
      </c>
      <c r="H226" s="8" t="n">
        <f aca="false">(E226/1000)*(F226/1000)*(G226/1000)*7850</f>
        <v>1916.36712</v>
      </c>
      <c r="I226" s="3" t="n">
        <v>1</v>
      </c>
      <c r="J226" s="9" t="n">
        <f aca="false">H226*I226</f>
        <v>1916.36712</v>
      </c>
      <c r="K226" s="3"/>
    </row>
    <row r="227" customFormat="false" ht="19.5" hidden="false" customHeight="false" outlineLevel="0" collapsed="false">
      <c r="A227" s="3" t="s">
        <v>79</v>
      </c>
      <c r="B227" s="3" t="s">
        <v>80</v>
      </c>
      <c r="C227" s="3" t="s">
        <v>82</v>
      </c>
      <c r="D227" s="3" t="s">
        <v>8</v>
      </c>
      <c r="E227" s="3" t="n">
        <v>5951</v>
      </c>
      <c r="F227" s="3" t="n">
        <v>1200</v>
      </c>
      <c r="G227" s="3" t="n">
        <v>36</v>
      </c>
      <c r="H227" s="8" t="n">
        <f aca="false">(E227/1000)*(F227/1000)*(G227/1000)*7850</f>
        <v>2018.10312</v>
      </c>
      <c r="I227" s="3" t="n">
        <v>1</v>
      </c>
      <c r="J227" s="9" t="n">
        <f aca="false">H227*I227</f>
        <v>2018.10312</v>
      </c>
      <c r="K227" s="3"/>
    </row>
    <row r="228" customFormat="false" ht="19.5" hidden="false" customHeight="false" outlineLevel="0" collapsed="false">
      <c r="A228" s="3" t="s">
        <v>79</v>
      </c>
      <c r="B228" s="3" t="s">
        <v>80</v>
      </c>
      <c r="C228" s="3" t="s">
        <v>82</v>
      </c>
      <c r="D228" s="3" t="s">
        <v>8</v>
      </c>
      <c r="E228" s="3" t="n">
        <v>3851</v>
      </c>
      <c r="F228" s="3" t="n">
        <v>1360</v>
      </c>
      <c r="G228" s="3" t="n">
        <v>36</v>
      </c>
      <c r="H228" s="8" t="n">
        <f aca="false">(E228/1000)*(F228/1000)*(G228/1000)*7850</f>
        <v>1480.077936</v>
      </c>
      <c r="I228" s="3" t="n">
        <v>2</v>
      </c>
      <c r="J228" s="9" t="n">
        <f aca="false">H228*I228</f>
        <v>2960.155872</v>
      </c>
      <c r="K228" s="3"/>
    </row>
    <row r="229" customFormat="false" ht="19.5" hidden="false" customHeight="false" outlineLevel="0" collapsed="false">
      <c r="A229" s="3" t="s">
        <v>79</v>
      </c>
      <c r="B229" s="3" t="s">
        <v>80</v>
      </c>
      <c r="C229" s="3" t="s">
        <v>82</v>
      </c>
      <c r="D229" s="3" t="s">
        <v>8</v>
      </c>
      <c r="E229" s="3" t="n">
        <v>3851</v>
      </c>
      <c r="F229" s="3" t="n">
        <v>320</v>
      </c>
      <c r="G229" s="3" t="n">
        <v>32</v>
      </c>
      <c r="H229" s="8" t="n">
        <f aca="false">(E229/1000)*(F229/1000)*(G229/1000)*7850</f>
        <v>309.558784</v>
      </c>
      <c r="I229" s="3" t="n">
        <v>2</v>
      </c>
      <c r="J229" s="9" t="n">
        <f aca="false">H229*I229</f>
        <v>619.117568</v>
      </c>
      <c r="K229" s="3"/>
    </row>
    <row r="230" customFormat="false" ht="19.5" hidden="false" customHeight="false" outlineLevel="0" collapsed="false">
      <c r="A230" s="3" t="s">
        <v>79</v>
      </c>
      <c r="B230" s="3" t="s">
        <v>80</v>
      </c>
      <c r="C230" s="3" t="s">
        <v>82</v>
      </c>
      <c r="D230" s="3" t="s">
        <v>8</v>
      </c>
      <c r="E230" s="3" t="n">
        <v>4951</v>
      </c>
      <c r="F230" s="3" t="n">
        <v>320</v>
      </c>
      <c r="G230" s="3" t="n">
        <v>32</v>
      </c>
      <c r="H230" s="8" t="n">
        <f aca="false">(E230/1000)*(F230/1000)*(G230/1000)*7850</f>
        <v>397.981184</v>
      </c>
      <c r="I230" s="3" t="n">
        <v>1</v>
      </c>
      <c r="J230" s="9" t="n">
        <f aca="false">H230*I230</f>
        <v>397.981184</v>
      </c>
      <c r="K230" s="3"/>
    </row>
    <row r="231" customFormat="false" ht="19.5" hidden="false" customHeight="false" outlineLevel="0" collapsed="false">
      <c r="A231" s="3" t="s">
        <v>79</v>
      </c>
      <c r="B231" s="3" t="s">
        <v>80</v>
      </c>
      <c r="C231" s="3" t="s">
        <v>82</v>
      </c>
      <c r="D231" s="3" t="s">
        <v>8</v>
      </c>
      <c r="E231" s="3" t="n">
        <v>5251</v>
      </c>
      <c r="F231" s="3" t="n">
        <v>320</v>
      </c>
      <c r="G231" s="3" t="n">
        <v>32</v>
      </c>
      <c r="H231" s="8" t="n">
        <f aca="false">(E231/1000)*(F231/1000)*(G231/1000)*7850</f>
        <v>422.096384</v>
      </c>
      <c r="I231" s="3" t="n">
        <v>1</v>
      </c>
      <c r="J231" s="9" t="n">
        <f aca="false">H231*I231</f>
        <v>422.096384</v>
      </c>
      <c r="K231" s="3"/>
    </row>
    <row r="232" customFormat="false" ht="19.5" hidden="false" customHeight="false" outlineLevel="0" collapsed="false">
      <c r="A232" s="3" t="s">
        <v>79</v>
      </c>
      <c r="B232" s="3" t="s">
        <v>80</v>
      </c>
      <c r="C232" s="3" t="s">
        <v>82</v>
      </c>
      <c r="D232" s="3" t="s">
        <v>8</v>
      </c>
      <c r="E232" s="3" t="n">
        <v>6111</v>
      </c>
      <c r="F232" s="3" t="n">
        <v>1200</v>
      </c>
      <c r="G232" s="3" t="n">
        <v>36</v>
      </c>
      <c r="H232" s="8" t="n">
        <f aca="false">(E232/1000)*(F232/1000)*(G232/1000)*7850</f>
        <v>2072.36232</v>
      </c>
      <c r="I232" s="3" t="n">
        <v>1</v>
      </c>
      <c r="J232" s="9" t="n">
        <f aca="false">H232*I232</f>
        <v>2072.36232</v>
      </c>
      <c r="K232" s="3"/>
    </row>
    <row r="233" customFormat="false" ht="19.5" hidden="false" customHeight="false" outlineLevel="0" collapsed="false">
      <c r="A233" s="3" t="s">
        <v>79</v>
      </c>
      <c r="B233" s="3" t="s">
        <v>80</v>
      </c>
      <c r="C233" s="3" t="s">
        <v>82</v>
      </c>
      <c r="D233" s="3" t="s">
        <v>8</v>
      </c>
      <c r="E233" s="3" t="n">
        <v>5711</v>
      </c>
      <c r="F233" s="3" t="n">
        <v>1200</v>
      </c>
      <c r="G233" s="3" t="n">
        <v>36</v>
      </c>
      <c r="H233" s="8" t="n">
        <f aca="false">(E233/1000)*(F233/1000)*(G233/1000)*7850</f>
        <v>1936.71432</v>
      </c>
      <c r="I233" s="3" t="n">
        <v>1</v>
      </c>
      <c r="J233" s="9" t="n">
        <f aca="false">H233*I233</f>
        <v>1936.71432</v>
      </c>
      <c r="K233" s="3"/>
    </row>
    <row r="234" customFormat="false" ht="19.5" hidden="false" customHeight="false" outlineLevel="0" collapsed="false">
      <c r="A234" s="3" t="s">
        <v>79</v>
      </c>
      <c r="B234" s="3" t="s">
        <v>80</v>
      </c>
      <c r="C234" s="3" t="s">
        <v>82</v>
      </c>
      <c r="D234" s="3" t="s">
        <v>8</v>
      </c>
      <c r="E234" s="3" t="n">
        <v>3911</v>
      </c>
      <c r="F234" s="3" t="n">
        <v>1360</v>
      </c>
      <c r="G234" s="3" t="n">
        <v>36</v>
      </c>
      <c r="H234" s="8" t="n">
        <f aca="false">(E234/1000)*(F234/1000)*(G234/1000)*7850</f>
        <v>1503.138096</v>
      </c>
      <c r="I234" s="3" t="n">
        <v>2</v>
      </c>
      <c r="J234" s="9" t="n">
        <f aca="false">H234*I234</f>
        <v>3006.276192</v>
      </c>
      <c r="K234" s="3"/>
    </row>
    <row r="235" customFormat="false" ht="19.5" hidden="false" customHeight="false" outlineLevel="0" collapsed="false">
      <c r="A235" s="3" t="s">
        <v>79</v>
      </c>
      <c r="B235" s="3" t="s">
        <v>80</v>
      </c>
      <c r="C235" s="3" t="s">
        <v>82</v>
      </c>
      <c r="D235" s="3" t="s">
        <v>8</v>
      </c>
      <c r="E235" s="3" t="n">
        <v>3911</v>
      </c>
      <c r="F235" s="3" t="n">
        <v>320</v>
      </c>
      <c r="G235" s="3" t="n">
        <v>32</v>
      </c>
      <c r="H235" s="8" t="n">
        <f aca="false">(E235/1000)*(F235/1000)*(G235/1000)*7850</f>
        <v>314.381824</v>
      </c>
      <c r="I235" s="3" t="n">
        <v>2</v>
      </c>
      <c r="J235" s="9" t="n">
        <f aca="false">H235*I235</f>
        <v>628.763648</v>
      </c>
      <c r="K235" s="3"/>
    </row>
    <row r="236" customFormat="false" ht="19.5" hidden="false" customHeight="false" outlineLevel="0" collapsed="false">
      <c r="A236" s="3" t="s">
        <v>79</v>
      </c>
      <c r="B236" s="3" t="s">
        <v>80</v>
      </c>
      <c r="C236" s="3" t="s">
        <v>82</v>
      </c>
      <c r="D236" s="3" t="s">
        <v>8</v>
      </c>
      <c r="E236" s="3" t="n">
        <v>5411</v>
      </c>
      <c r="F236" s="3" t="n">
        <v>320</v>
      </c>
      <c r="G236" s="3" t="n">
        <v>32</v>
      </c>
      <c r="H236" s="8" t="n">
        <f aca="false">(E236/1000)*(F236/1000)*(G236/1000)*7850</f>
        <v>434.957824</v>
      </c>
      <c r="I236" s="3" t="n">
        <v>1</v>
      </c>
      <c r="J236" s="9" t="n">
        <f aca="false">H236*I236</f>
        <v>434.957824</v>
      </c>
      <c r="K236" s="3"/>
    </row>
    <row r="237" customFormat="false" ht="19.5" hidden="false" customHeight="false" outlineLevel="0" collapsed="false">
      <c r="A237" s="3" t="s">
        <v>79</v>
      </c>
      <c r="B237" s="3" t="s">
        <v>80</v>
      </c>
      <c r="C237" s="3" t="s">
        <v>82</v>
      </c>
      <c r="D237" s="3" t="s">
        <v>8</v>
      </c>
      <c r="E237" s="3" t="n">
        <v>1200</v>
      </c>
      <c r="F237" s="3" t="n">
        <v>1200</v>
      </c>
      <c r="G237" s="3" t="n">
        <v>16</v>
      </c>
      <c r="H237" s="8" t="n">
        <f aca="false">(E237/1000)*(F237/1000)*(G237/1000)*7850</f>
        <v>180.864</v>
      </c>
      <c r="I237" s="3" t="n">
        <v>2</v>
      </c>
      <c r="J237" s="9" t="n">
        <f aca="false">H237*I237</f>
        <v>361.728</v>
      </c>
      <c r="K237" s="3"/>
    </row>
    <row r="238" customFormat="false" ht="19.5" hidden="false" customHeight="false" outlineLevel="0" collapsed="false">
      <c r="A238" s="3" t="s">
        <v>79</v>
      </c>
      <c r="B238" s="3" t="s">
        <v>80</v>
      </c>
      <c r="C238" s="3" t="s">
        <v>82</v>
      </c>
      <c r="D238" s="3" t="s">
        <v>8</v>
      </c>
      <c r="E238" s="3" t="n">
        <v>2300</v>
      </c>
      <c r="F238" s="3" t="n">
        <v>320</v>
      </c>
      <c r="G238" s="3" t="n">
        <v>32</v>
      </c>
      <c r="H238" s="8" t="n">
        <f aca="false">(E238/1000)*(F238/1000)*(G238/1000)*7850</f>
        <v>184.8832</v>
      </c>
      <c r="I238" s="3" t="n">
        <v>4</v>
      </c>
      <c r="J238" s="9" t="n">
        <f aca="false">H238*I238</f>
        <v>739.5328</v>
      </c>
      <c r="K238" s="3"/>
    </row>
    <row r="239" customFormat="false" ht="19.5" hidden="false" customHeight="false" outlineLevel="0" collapsed="false">
      <c r="A239" s="3" t="s">
        <v>79</v>
      </c>
      <c r="B239" s="3" t="s">
        <v>80</v>
      </c>
      <c r="C239" s="3" t="s">
        <v>82</v>
      </c>
      <c r="D239" s="3" t="s">
        <v>8</v>
      </c>
      <c r="E239" s="3" t="n">
        <v>2200</v>
      </c>
      <c r="F239" s="3" t="n">
        <v>320</v>
      </c>
      <c r="G239" s="3" t="n">
        <v>32</v>
      </c>
      <c r="H239" s="8" t="n">
        <f aca="false">(E239/1000)*(F239/1000)*(G239/1000)*7850</f>
        <v>176.8448</v>
      </c>
      <c r="I239" s="3" t="n">
        <v>4</v>
      </c>
      <c r="J239" s="9" t="n">
        <f aca="false">H239*I239</f>
        <v>707.3792</v>
      </c>
      <c r="K239" s="3"/>
    </row>
    <row r="240" customFormat="false" ht="19.5" hidden="false" customHeight="false" outlineLevel="0" collapsed="false">
      <c r="A240" s="3" t="s">
        <v>79</v>
      </c>
      <c r="B240" s="3" t="s">
        <v>80</v>
      </c>
      <c r="C240" s="3" t="s">
        <v>82</v>
      </c>
      <c r="D240" s="3" t="s">
        <v>8</v>
      </c>
      <c r="E240" s="3" t="n">
        <v>1980</v>
      </c>
      <c r="F240" s="3" t="n">
        <v>610</v>
      </c>
      <c r="G240" s="3" t="n">
        <v>14</v>
      </c>
      <c r="H240" s="8" t="n">
        <f aca="false">(E240/1000)*(F240/1000)*(G240/1000)*7850</f>
        <v>132.73722</v>
      </c>
      <c r="I240" s="3" t="n">
        <v>6</v>
      </c>
      <c r="J240" s="9" t="n">
        <f aca="false">H240*I240</f>
        <v>796.42332</v>
      </c>
      <c r="K240" s="3"/>
    </row>
    <row r="241" customFormat="false" ht="19.5" hidden="false" customHeight="false" outlineLevel="0" collapsed="false">
      <c r="A241" s="3" t="s">
        <v>79</v>
      </c>
      <c r="B241" s="3" t="s">
        <v>80</v>
      </c>
      <c r="C241" s="3" t="s">
        <v>82</v>
      </c>
      <c r="D241" s="3" t="s">
        <v>8</v>
      </c>
      <c r="E241" s="3" t="n">
        <v>1976</v>
      </c>
      <c r="F241" s="3" t="n">
        <v>618</v>
      </c>
      <c r="G241" s="3" t="n">
        <v>14</v>
      </c>
      <c r="H241" s="8" t="n">
        <f aca="false">(E241/1000)*(F241/1000)*(G241/1000)*7850</f>
        <v>134.2063632</v>
      </c>
      <c r="I241" s="3" t="n">
        <v>4</v>
      </c>
      <c r="J241" s="9" t="n">
        <f aca="false">H241*I241</f>
        <v>536.8254528</v>
      </c>
      <c r="K241" s="3"/>
    </row>
    <row r="242" customFormat="false" ht="19.5" hidden="false" customHeight="false" outlineLevel="0" collapsed="false">
      <c r="A242" s="3" t="s">
        <v>79</v>
      </c>
      <c r="B242" s="3" t="s">
        <v>80</v>
      </c>
      <c r="C242" s="3" t="s">
        <v>82</v>
      </c>
      <c r="D242" s="3" t="s">
        <v>8</v>
      </c>
      <c r="E242" s="3" t="n">
        <v>470</v>
      </c>
      <c r="F242" s="3" t="n">
        <v>1000</v>
      </c>
      <c r="G242" s="3" t="n">
        <v>24</v>
      </c>
      <c r="H242" s="8" t="n">
        <f aca="false">(E242/1000)*(F242/1000)*(G242/1000)*7850</f>
        <v>88.548</v>
      </c>
      <c r="I242" s="3" t="n">
        <v>6</v>
      </c>
      <c r="J242" s="9" t="n">
        <f aca="false">H242*I242</f>
        <v>531.288</v>
      </c>
      <c r="K242" s="3"/>
    </row>
    <row r="243" customFormat="false" ht="19.5" hidden="false" customHeight="false" outlineLevel="0" collapsed="false">
      <c r="A243" s="3" t="s">
        <v>79</v>
      </c>
      <c r="B243" s="3" t="s">
        <v>80</v>
      </c>
      <c r="C243" s="3" t="s">
        <v>82</v>
      </c>
      <c r="D243" s="3" t="s">
        <v>8</v>
      </c>
      <c r="E243" s="3" t="n">
        <v>1800</v>
      </c>
      <c r="F243" s="3" t="n">
        <v>602</v>
      </c>
      <c r="G243" s="3" t="n">
        <v>14</v>
      </c>
      <c r="H243" s="8" t="n">
        <f aca="false">(E243/1000)*(F243/1000)*(G243/1000)*7850</f>
        <v>119.08764</v>
      </c>
      <c r="I243" s="3" t="n">
        <v>6</v>
      </c>
      <c r="J243" s="9" t="n">
        <f aca="false">H243*I243</f>
        <v>714.52584</v>
      </c>
      <c r="K243" s="3"/>
    </row>
    <row r="244" customFormat="false" ht="19.5" hidden="false" customHeight="false" outlineLevel="0" collapsed="false">
      <c r="A244" s="3" t="s">
        <v>83</v>
      </c>
      <c r="B244" s="3" t="s">
        <v>84</v>
      </c>
      <c r="C244" s="3" t="s">
        <v>44</v>
      </c>
      <c r="D244" s="3" t="s">
        <v>8</v>
      </c>
      <c r="E244" s="3" t="n">
        <v>15280</v>
      </c>
      <c r="F244" s="3" t="n">
        <v>1000</v>
      </c>
      <c r="G244" s="3" t="n">
        <v>20</v>
      </c>
      <c r="H244" s="8" t="n">
        <f aca="false">(E244/1000)*(F244/1000)*(G244/1000)*7850</f>
        <v>2398.96</v>
      </c>
      <c r="I244" s="3" t="n">
        <v>1</v>
      </c>
      <c r="J244" s="9" t="n">
        <f aca="false">H244*I244</f>
        <v>2398.96</v>
      </c>
      <c r="K244" s="3"/>
    </row>
    <row r="245" customFormat="false" ht="19.5" hidden="false" customHeight="false" outlineLevel="0" collapsed="false">
      <c r="A245" s="3" t="s">
        <v>83</v>
      </c>
      <c r="B245" s="3" t="s">
        <v>84</v>
      </c>
      <c r="C245" s="3" t="s">
        <v>45</v>
      </c>
      <c r="D245" s="3" t="s">
        <v>8</v>
      </c>
      <c r="E245" s="3" t="n">
        <v>13730</v>
      </c>
      <c r="F245" s="3" t="n">
        <v>1000</v>
      </c>
      <c r="G245" s="3" t="n">
        <v>20</v>
      </c>
      <c r="H245" s="8" t="n">
        <f aca="false">(E245/1000)*(F245/1000)*(G245/1000)*7850</f>
        <v>2155.61</v>
      </c>
      <c r="I245" s="3" t="n">
        <v>1</v>
      </c>
      <c r="J245" s="9" t="n">
        <f aca="false">H245*I245</f>
        <v>2155.61</v>
      </c>
      <c r="K245" s="3"/>
    </row>
    <row r="246" customFormat="false" ht="19.5" hidden="false" customHeight="false" outlineLevel="0" collapsed="false">
      <c r="A246" s="3" t="s">
        <v>83</v>
      </c>
      <c r="B246" s="3" t="s">
        <v>84</v>
      </c>
      <c r="C246" s="3" t="s">
        <v>47</v>
      </c>
      <c r="D246" s="3" t="s">
        <v>8</v>
      </c>
      <c r="E246" s="3" t="n">
        <v>7100</v>
      </c>
      <c r="F246" s="3" t="n">
        <v>1200</v>
      </c>
      <c r="G246" s="3" t="n">
        <v>20</v>
      </c>
      <c r="H246" s="8" t="n">
        <f aca="false">(E246/1000)*(F246/1000)*(G246/1000)*7850</f>
        <v>1337.64</v>
      </c>
      <c r="I246" s="3" t="n">
        <v>1</v>
      </c>
      <c r="J246" s="9" t="n">
        <f aca="false">H246*I246</f>
        <v>1337.64</v>
      </c>
      <c r="K246" s="3"/>
    </row>
    <row r="247" customFormat="false" ht="19.5" hidden="false" customHeight="false" outlineLevel="0" collapsed="false">
      <c r="A247" s="3" t="s">
        <v>83</v>
      </c>
      <c r="B247" s="3" t="s">
        <v>84</v>
      </c>
      <c r="C247" s="3" t="s">
        <v>50</v>
      </c>
      <c r="D247" s="3" t="s">
        <v>8</v>
      </c>
      <c r="E247" s="3" t="n">
        <v>7900</v>
      </c>
      <c r="F247" s="3" t="n">
        <v>280</v>
      </c>
      <c r="G247" s="3" t="n">
        <v>24</v>
      </c>
      <c r="H247" s="8" t="n">
        <f aca="false">(E247/1000)*(F247/1000)*(G247/1000)*7850</f>
        <v>416.7408</v>
      </c>
      <c r="I247" s="3" t="n">
        <v>6</v>
      </c>
      <c r="J247" s="9" t="n">
        <f aca="false">H247*I247</f>
        <v>2500.4448</v>
      </c>
      <c r="K247" s="3"/>
    </row>
    <row r="248" customFormat="false" ht="19.5" hidden="false" customHeight="false" outlineLevel="0" collapsed="false">
      <c r="A248" s="3" t="s">
        <v>83</v>
      </c>
      <c r="B248" s="3" t="s">
        <v>84</v>
      </c>
      <c r="C248" s="3" t="s">
        <v>66</v>
      </c>
      <c r="D248" s="3" t="s">
        <v>8</v>
      </c>
      <c r="E248" s="3" t="n">
        <v>7100</v>
      </c>
      <c r="F248" s="3" t="n">
        <v>280</v>
      </c>
      <c r="G248" s="3" t="n">
        <v>24</v>
      </c>
      <c r="H248" s="8" t="n">
        <f aca="false">(E248/1000)*(F248/1000)*(G248/1000)*7850</f>
        <v>374.5392</v>
      </c>
      <c r="I248" s="3" t="n">
        <v>6</v>
      </c>
      <c r="J248" s="9" t="n">
        <f aca="false">H248*I248</f>
        <v>2247.2352</v>
      </c>
      <c r="K248" s="3"/>
    </row>
    <row r="249" customFormat="false" ht="19.5" hidden="false" customHeight="false" outlineLevel="0" collapsed="false">
      <c r="A249" s="3" t="s">
        <v>83</v>
      </c>
      <c r="B249" s="3" t="s">
        <v>84</v>
      </c>
      <c r="C249" s="3" t="s">
        <v>51</v>
      </c>
      <c r="D249" s="3" t="s">
        <v>8</v>
      </c>
      <c r="E249" s="3" t="n">
        <v>7901</v>
      </c>
      <c r="F249" s="3" t="n">
        <v>2500</v>
      </c>
      <c r="G249" s="3" t="n">
        <v>24</v>
      </c>
      <c r="H249" s="8" t="n">
        <f aca="false">(E249/1000)*(F249/1000)*(G249/1000)*7850</f>
        <v>3721.371</v>
      </c>
      <c r="I249" s="3" t="n">
        <v>1</v>
      </c>
      <c r="J249" s="9" t="n">
        <f aca="false">H249*I249</f>
        <v>3721.371</v>
      </c>
      <c r="K249" s="3"/>
    </row>
    <row r="250" customFormat="false" ht="19.5" hidden="false" customHeight="false" outlineLevel="0" collapsed="false">
      <c r="A250" s="3" t="s">
        <v>83</v>
      </c>
      <c r="B250" s="3" t="s">
        <v>84</v>
      </c>
      <c r="C250" s="3" t="s">
        <v>70</v>
      </c>
      <c r="D250" s="3" t="s">
        <v>8</v>
      </c>
      <c r="E250" s="3" t="n">
        <v>7101</v>
      </c>
      <c r="F250" s="3" t="n">
        <v>2500</v>
      </c>
      <c r="G250" s="3" t="n">
        <v>24</v>
      </c>
      <c r="H250" s="8" t="n">
        <f aca="false">(E250/1000)*(F250/1000)*(G250/1000)*7850</f>
        <v>3344.571</v>
      </c>
      <c r="I250" s="3" t="n">
        <v>1</v>
      </c>
      <c r="J250" s="9" t="n">
        <f aca="false">H250*I250</f>
        <v>3344.571</v>
      </c>
      <c r="K250" s="3"/>
    </row>
    <row r="251" customFormat="false" ht="19.5" hidden="false" customHeight="false" outlineLevel="0" collapsed="false">
      <c r="A251" s="3" t="s">
        <v>83</v>
      </c>
      <c r="B251" s="3" t="s">
        <v>84</v>
      </c>
      <c r="C251" s="3" t="s">
        <v>70</v>
      </c>
      <c r="D251" s="3" t="s">
        <v>8</v>
      </c>
      <c r="E251" s="3" t="n">
        <v>11130</v>
      </c>
      <c r="F251" s="3" t="n">
        <v>1000</v>
      </c>
      <c r="G251" s="3" t="n">
        <v>24</v>
      </c>
      <c r="H251" s="8" t="n">
        <f aca="false">(E251/1000)*(F251/1000)*(G251/1000)*7850</f>
        <v>2096.892</v>
      </c>
      <c r="I251" s="3" t="n">
        <v>1</v>
      </c>
      <c r="J251" s="9" t="n">
        <f aca="false">H251*I251</f>
        <v>2096.892</v>
      </c>
      <c r="K251" s="3"/>
    </row>
    <row r="252" customFormat="false" ht="19.5" hidden="false" customHeight="false" outlineLevel="0" collapsed="false">
      <c r="A252" s="3" t="s">
        <v>83</v>
      </c>
      <c r="B252" s="3" t="s">
        <v>84</v>
      </c>
      <c r="C252" s="3" t="s">
        <v>67</v>
      </c>
      <c r="D252" s="3" t="s">
        <v>8</v>
      </c>
      <c r="E252" s="3" t="n">
        <v>22520</v>
      </c>
      <c r="F252" s="3" t="n">
        <v>1000</v>
      </c>
      <c r="G252" s="3" t="n">
        <v>44</v>
      </c>
      <c r="H252" s="8" t="n">
        <f aca="false">(E252/1000)*(F252/1000)*(G252/1000)*7850</f>
        <v>7778.408</v>
      </c>
      <c r="I252" s="3" t="n">
        <v>2</v>
      </c>
      <c r="J252" s="9" t="n">
        <f aca="false">H252*I252</f>
        <v>15556.816</v>
      </c>
      <c r="K252" s="3"/>
    </row>
    <row r="253" customFormat="false" ht="19.5" hidden="false" customHeight="false" outlineLevel="0" collapsed="false">
      <c r="A253" s="3" t="s">
        <v>83</v>
      </c>
      <c r="B253" s="3" t="s">
        <v>84</v>
      </c>
      <c r="C253" s="3" t="s">
        <v>54</v>
      </c>
      <c r="D253" s="3" t="s">
        <v>8</v>
      </c>
      <c r="E253" s="3" t="n">
        <v>7301</v>
      </c>
      <c r="F253" s="3" t="n">
        <v>1880</v>
      </c>
      <c r="G253" s="3" t="n">
        <v>32</v>
      </c>
      <c r="H253" s="8" t="n">
        <f aca="false">(E253/1000)*(F253/1000)*(G253/1000)*7850</f>
        <v>3447.941056</v>
      </c>
      <c r="I253" s="3" t="n">
        <v>2</v>
      </c>
      <c r="J253" s="9" t="n">
        <f aca="false">H253*I253</f>
        <v>6895.882112</v>
      </c>
      <c r="K253" s="3"/>
    </row>
    <row r="254" customFormat="false" ht="19.5" hidden="false" customHeight="false" outlineLevel="0" collapsed="false">
      <c r="A254" s="3" t="s">
        <v>83</v>
      </c>
      <c r="B254" s="3" t="s">
        <v>84</v>
      </c>
      <c r="C254" s="3" t="s">
        <v>56</v>
      </c>
      <c r="D254" s="3" t="s">
        <v>8</v>
      </c>
      <c r="E254" s="3" t="n">
        <v>7101</v>
      </c>
      <c r="F254" s="3" t="n">
        <v>280</v>
      </c>
      <c r="G254" s="3" t="n">
        <v>24</v>
      </c>
      <c r="H254" s="8" t="n">
        <f aca="false">(E254/1000)*(F254/1000)*(G254/1000)*7850</f>
        <v>374.591952</v>
      </c>
      <c r="I254" s="3" t="n">
        <v>4</v>
      </c>
      <c r="J254" s="9" t="n">
        <f aca="false">H254*I254</f>
        <v>1498.367808</v>
      </c>
      <c r="K254" s="3"/>
    </row>
    <row r="255" customFormat="false" ht="19.5" hidden="false" customHeight="false" outlineLevel="0" collapsed="false">
      <c r="A255" s="3" t="s">
        <v>83</v>
      </c>
      <c r="B255" s="3" t="s">
        <v>84</v>
      </c>
      <c r="C255" s="3" t="s">
        <v>57</v>
      </c>
      <c r="D255" s="3" t="s">
        <v>8</v>
      </c>
      <c r="E255" s="3" t="n">
        <v>15002</v>
      </c>
      <c r="F255" s="3" t="n">
        <v>170</v>
      </c>
      <c r="G255" s="3" t="n">
        <v>14</v>
      </c>
      <c r="H255" s="8" t="n">
        <f aca="false">(E255/1000)*(F255/1000)*(G255/1000)*7850</f>
        <v>280.282366</v>
      </c>
      <c r="I255" s="3" t="n">
        <v>2</v>
      </c>
      <c r="J255" s="9" t="n">
        <f aca="false">H255*I255</f>
        <v>560.564732</v>
      </c>
      <c r="K255" s="3"/>
    </row>
    <row r="256" customFormat="false" ht="19.5" hidden="false" customHeight="false" outlineLevel="0" collapsed="false">
      <c r="A256" s="3" t="s">
        <v>83</v>
      </c>
      <c r="B256" s="3" t="s">
        <v>84</v>
      </c>
      <c r="C256" s="3" t="s">
        <v>58</v>
      </c>
      <c r="D256" s="3" t="s">
        <v>8</v>
      </c>
      <c r="E256" s="3" t="n">
        <v>11770</v>
      </c>
      <c r="F256" s="3" t="n">
        <v>1200</v>
      </c>
      <c r="G256" s="3" t="n">
        <v>36</v>
      </c>
      <c r="H256" s="8" t="n">
        <f aca="false">(E256/1000)*(F256/1000)*(G256/1000)*7850</f>
        <v>3991.4424</v>
      </c>
      <c r="I256" s="3" t="n">
        <v>1</v>
      </c>
      <c r="J256" s="9" t="n">
        <f aca="false">H256*I256</f>
        <v>3991.4424</v>
      </c>
      <c r="K256" s="3"/>
    </row>
    <row r="257" customFormat="false" ht="19.5" hidden="false" customHeight="false" outlineLevel="0" collapsed="false">
      <c r="A257" s="3" t="s">
        <v>83</v>
      </c>
      <c r="B257" s="3" t="s">
        <v>84</v>
      </c>
      <c r="C257" s="3" t="s">
        <v>81</v>
      </c>
      <c r="D257" s="3" t="s">
        <v>8</v>
      </c>
      <c r="E257" s="3" t="n">
        <v>11670</v>
      </c>
      <c r="F257" s="3" t="n">
        <v>1200</v>
      </c>
      <c r="G257" s="3" t="n">
        <v>36</v>
      </c>
      <c r="H257" s="8" t="n">
        <f aca="false">(E257/1000)*(F257/1000)*(G257/1000)*7850</f>
        <v>3957.5304</v>
      </c>
      <c r="I257" s="3" t="n">
        <v>1</v>
      </c>
      <c r="J257" s="9" t="n">
        <f aca="false">H257*I257</f>
        <v>3957.5304</v>
      </c>
      <c r="K257" s="3"/>
    </row>
    <row r="258" customFormat="false" ht="19.5" hidden="false" customHeight="false" outlineLevel="0" collapsed="false">
      <c r="A258" s="3" t="s">
        <v>83</v>
      </c>
      <c r="B258" s="3" t="s">
        <v>84</v>
      </c>
      <c r="C258" s="3" t="s">
        <v>81</v>
      </c>
      <c r="D258" s="3" t="s">
        <v>8</v>
      </c>
      <c r="E258" s="3" t="n">
        <v>7770</v>
      </c>
      <c r="F258" s="3" t="n">
        <v>1360</v>
      </c>
      <c r="G258" s="3" t="n">
        <v>36</v>
      </c>
      <c r="H258" s="8" t="n">
        <f aca="false">(E258/1000)*(F258/1000)*(G258/1000)*7850</f>
        <v>2986.29072</v>
      </c>
      <c r="I258" s="3" t="n">
        <v>2</v>
      </c>
      <c r="J258" s="9" t="n">
        <f aca="false">H258*I258</f>
        <v>5972.58144</v>
      </c>
      <c r="K258" s="3"/>
    </row>
    <row r="259" customFormat="false" ht="19.5" hidden="false" customHeight="false" outlineLevel="0" collapsed="false">
      <c r="A259" s="3" t="s">
        <v>83</v>
      </c>
      <c r="B259" s="3" t="s">
        <v>84</v>
      </c>
      <c r="C259" s="3" t="s">
        <v>81</v>
      </c>
      <c r="D259" s="3" t="s">
        <v>8</v>
      </c>
      <c r="E259" s="3" t="n">
        <v>7770</v>
      </c>
      <c r="F259" s="3" t="n">
        <v>320</v>
      </c>
      <c r="G259" s="3" t="n">
        <v>32</v>
      </c>
      <c r="H259" s="8" t="n">
        <f aca="false">(E259/1000)*(F259/1000)*(G259/1000)*7850</f>
        <v>624.58368</v>
      </c>
      <c r="I259" s="3" t="n">
        <v>2</v>
      </c>
      <c r="J259" s="9" t="n">
        <f aca="false">H259*I259</f>
        <v>1249.16736</v>
      </c>
      <c r="K259" s="3"/>
    </row>
    <row r="260" customFormat="false" ht="19.5" hidden="false" customHeight="false" outlineLevel="0" collapsed="false">
      <c r="A260" s="3" t="s">
        <v>83</v>
      </c>
      <c r="B260" s="3" t="s">
        <v>84</v>
      </c>
      <c r="C260" s="3" t="s">
        <v>74</v>
      </c>
      <c r="D260" s="3" t="s">
        <v>8</v>
      </c>
      <c r="E260" s="3" t="n">
        <v>10370</v>
      </c>
      <c r="F260" s="3" t="n">
        <v>320</v>
      </c>
      <c r="G260" s="3" t="n">
        <v>32</v>
      </c>
      <c r="H260" s="8" t="n">
        <f aca="false">(E260/1000)*(F260/1000)*(G260/1000)*7850</f>
        <v>833.58208</v>
      </c>
      <c r="I260" s="3" t="n">
        <v>1</v>
      </c>
      <c r="J260" s="9" t="n">
        <f aca="false">H260*I260</f>
        <v>833.58208</v>
      </c>
      <c r="K260" s="3"/>
    </row>
    <row r="261" customFormat="false" ht="19.5" hidden="false" customHeight="false" outlineLevel="0" collapsed="false">
      <c r="A261" s="3" t="s">
        <v>83</v>
      </c>
      <c r="B261" s="3" t="s">
        <v>84</v>
      </c>
      <c r="C261" s="3" t="s">
        <v>71</v>
      </c>
      <c r="D261" s="3" t="s">
        <v>8</v>
      </c>
      <c r="E261" s="3" t="n">
        <v>10270</v>
      </c>
      <c r="F261" s="3" t="n">
        <v>320</v>
      </c>
      <c r="G261" s="3" t="n">
        <v>32</v>
      </c>
      <c r="H261" s="8" t="n">
        <f aca="false">(E261/1000)*(F261/1000)*(G261/1000)*7850</f>
        <v>825.54368</v>
      </c>
      <c r="I261" s="3" t="n">
        <v>1</v>
      </c>
      <c r="J261" s="9" t="n">
        <f aca="false">H261*I261</f>
        <v>825.54368</v>
      </c>
      <c r="K261" s="3"/>
    </row>
    <row r="262" customFormat="false" ht="19.5" hidden="false" customHeight="false" outlineLevel="0" collapsed="false">
      <c r="A262" s="3" t="s">
        <v>83</v>
      </c>
      <c r="B262" s="3" t="s">
        <v>84</v>
      </c>
      <c r="C262" s="3" t="s">
        <v>82</v>
      </c>
      <c r="D262" s="3" t="s">
        <v>8</v>
      </c>
      <c r="E262" s="3" t="n">
        <v>1200</v>
      </c>
      <c r="F262" s="3" t="n">
        <v>1200</v>
      </c>
      <c r="G262" s="3" t="n">
        <v>16</v>
      </c>
      <c r="H262" s="8" t="n">
        <f aca="false">(E262/1000)*(F262/1000)*(G262/1000)*7850</f>
        <v>180.864</v>
      </c>
      <c r="I262" s="3" t="n">
        <v>3</v>
      </c>
      <c r="J262" s="9" t="n">
        <f aca="false">H262*I262</f>
        <v>542.592</v>
      </c>
      <c r="K262" s="3"/>
    </row>
    <row r="263" customFormat="false" ht="19.5" hidden="false" customHeight="false" outlineLevel="0" collapsed="false">
      <c r="A263" s="3" t="s">
        <v>83</v>
      </c>
      <c r="B263" s="3" t="s">
        <v>84</v>
      </c>
      <c r="C263" s="3" t="s">
        <v>61</v>
      </c>
      <c r="D263" s="3" t="s">
        <v>8</v>
      </c>
      <c r="E263" s="3" t="n">
        <v>3798</v>
      </c>
      <c r="F263" s="3" t="n">
        <v>900</v>
      </c>
      <c r="G263" s="3" t="n">
        <v>36</v>
      </c>
      <c r="H263" s="8" t="n">
        <f aca="false">(E263/1000)*(F263/1000)*(G263/1000)*7850</f>
        <v>965.98332</v>
      </c>
      <c r="I263" s="3" t="n">
        <v>2</v>
      </c>
      <c r="J263" s="9" t="n">
        <f aca="false">H263*I263</f>
        <v>1931.96664</v>
      </c>
      <c r="K263" s="3"/>
    </row>
    <row r="264" customFormat="false" ht="19.5" hidden="false" customHeight="false" outlineLevel="0" collapsed="false">
      <c r="A264" s="3" t="s">
        <v>83</v>
      </c>
      <c r="B264" s="3" t="s">
        <v>84</v>
      </c>
      <c r="C264" s="3" t="s">
        <v>85</v>
      </c>
      <c r="D264" s="3" t="s">
        <v>8</v>
      </c>
      <c r="E264" s="3" t="n">
        <v>6098</v>
      </c>
      <c r="F264" s="3" t="n">
        <v>1200</v>
      </c>
      <c r="G264" s="3" t="n">
        <v>32</v>
      </c>
      <c r="H264" s="8" t="n">
        <f aca="false">(E264/1000)*(F264/1000)*(G264/1000)*7850</f>
        <v>1838.18112</v>
      </c>
      <c r="I264" s="3" t="n">
        <v>1</v>
      </c>
      <c r="J264" s="9" t="n">
        <f aca="false">H264*I264</f>
        <v>1838.18112</v>
      </c>
      <c r="K264" s="3"/>
    </row>
    <row r="265" customFormat="false" ht="19.5" hidden="false" customHeight="false" outlineLevel="0" collapsed="false">
      <c r="A265" s="3" t="s">
        <v>83</v>
      </c>
      <c r="B265" s="3" t="s">
        <v>84</v>
      </c>
      <c r="C265" s="3" t="s">
        <v>86</v>
      </c>
      <c r="D265" s="3" t="s">
        <v>8</v>
      </c>
      <c r="E265" s="3" t="n">
        <v>5398</v>
      </c>
      <c r="F265" s="3" t="n">
        <v>240</v>
      </c>
      <c r="G265" s="3" t="n">
        <v>24</v>
      </c>
      <c r="H265" s="8" t="n">
        <f aca="false">(E265/1000)*(F265/1000)*(G265/1000)*7850</f>
        <v>244.075968</v>
      </c>
      <c r="I265" s="3" t="n">
        <v>2</v>
      </c>
      <c r="J265" s="9" t="n">
        <f aca="false">H265*I265</f>
        <v>488.151936</v>
      </c>
      <c r="K265" s="3"/>
    </row>
    <row r="266" customFormat="false" ht="19.5" hidden="false" customHeight="false" outlineLevel="0" collapsed="false">
      <c r="A266" s="3" t="s">
        <v>83</v>
      </c>
      <c r="B266" s="3" t="s">
        <v>84</v>
      </c>
      <c r="C266" s="3" t="s">
        <v>87</v>
      </c>
      <c r="D266" s="3" t="s">
        <v>8</v>
      </c>
      <c r="E266" s="3" t="n">
        <v>4651</v>
      </c>
      <c r="F266" s="3" t="n">
        <v>1200</v>
      </c>
      <c r="G266" s="3" t="n">
        <v>36</v>
      </c>
      <c r="H266" s="8" t="n">
        <f aca="false">(E266/1000)*(F266/1000)*(G266/1000)*7850</f>
        <v>1577.24712</v>
      </c>
      <c r="I266" s="3" t="n">
        <v>1</v>
      </c>
      <c r="J266" s="9" t="n">
        <f aca="false">H266*I266</f>
        <v>1577.24712</v>
      </c>
      <c r="K266" s="3"/>
    </row>
    <row r="267" customFormat="false" ht="19.5" hidden="false" customHeight="false" outlineLevel="0" collapsed="false">
      <c r="A267" s="3" t="s">
        <v>83</v>
      </c>
      <c r="B267" s="3" t="s">
        <v>84</v>
      </c>
      <c r="C267" s="3" t="s">
        <v>88</v>
      </c>
      <c r="D267" s="3" t="s">
        <v>8</v>
      </c>
      <c r="E267" s="3" t="n">
        <v>3851</v>
      </c>
      <c r="F267" s="3" t="n">
        <v>1360</v>
      </c>
      <c r="G267" s="3" t="n">
        <v>36</v>
      </c>
      <c r="H267" s="8" t="n">
        <f aca="false">(E267/1000)*(F267/1000)*(G267/1000)*7850</f>
        <v>1480.077936</v>
      </c>
      <c r="I267" s="3" t="n">
        <v>2</v>
      </c>
      <c r="J267" s="9" t="n">
        <f aca="false">H267*I267</f>
        <v>2960.155872</v>
      </c>
      <c r="K267" s="3"/>
    </row>
    <row r="268" customFormat="false" ht="19.5" hidden="false" customHeight="false" outlineLevel="0" collapsed="false">
      <c r="A268" s="3" t="s">
        <v>83</v>
      </c>
      <c r="B268" s="3" t="s">
        <v>84</v>
      </c>
      <c r="C268" s="3" t="s">
        <v>89</v>
      </c>
      <c r="D268" s="3" t="s">
        <v>8</v>
      </c>
      <c r="E268" s="3" t="n">
        <v>3851</v>
      </c>
      <c r="F268" s="3" t="n">
        <v>320</v>
      </c>
      <c r="G268" s="3" t="n">
        <v>32</v>
      </c>
      <c r="H268" s="8" t="n">
        <f aca="false">(E268/1000)*(F268/1000)*(G268/1000)*7850</f>
        <v>309.558784</v>
      </c>
      <c r="I268" s="3" t="n">
        <v>2</v>
      </c>
      <c r="J268" s="9" t="n">
        <f aca="false">H268*I268</f>
        <v>619.117568</v>
      </c>
      <c r="K268" s="3"/>
    </row>
    <row r="269" customFormat="false" ht="19.5" hidden="false" customHeight="false" outlineLevel="0" collapsed="false">
      <c r="A269" s="3" t="s">
        <v>83</v>
      </c>
      <c r="B269" s="3" t="s">
        <v>84</v>
      </c>
      <c r="C269" s="3" t="s">
        <v>90</v>
      </c>
      <c r="D269" s="3" t="s">
        <v>8</v>
      </c>
      <c r="E269" s="3" t="n">
        <v>4651</v>
      </c>
      <c r="F269" s="3" t="n">
        <v>320</v>
      </c>
      <c r="G269" s="3" t="n">
        <v>32</v>
      </c>
      <c r="H269" s="8" t="n">
        <f aca="false">(E269/1000)*(F269/1000)*(G269/1000)*7850</f>
        <v>373.865984</v>
      </c>
      <c r="I269" s="3" t="n">
        <v>1</v>
      </c>
      <c r="J269" s="9" t="n">
        <f aca="false">H269*I269</f>
        <v>373.865984</v>
      </c>
      <c r="K269" s="3"/>
    </row>
    <row r="270" customFormat="false" ht="19.5" hidden="false" customHeight="false" outlineLevel="0" collapsed="false">
      <c r="A270" s="3" t="s">
        <v>83</v>
      </c>
      <c r="B270" s="3" t="s">
        <v>84</v>
      </c>
      <c r="C270" s="3" t="s">
        <v>91</v>
      </c>
      <c r="D270" s="3" t="s">
        <v>8</v>
      </c>
      <c r="E270" s="3" t="n">
        <v>3251</v>
      </c>
      <c r="F270" s="3" t="n">
        <v>320</v>
      </c>
      <c r="G270" s="3" t="n">
        <v>32</v>
      </c>
      <c r="H270" s="8" t="n">
        <f aca="false">(E270/1000)*(F270/1000)*(G270/1000)*7850</f>
        <v>261.328384</v>
      </c>
      <c r="I270" s="3" t="n">
        <v>1</v>
      </c>
      <c r="J270" s="9" t="n">
        <f aca="false">H270*I270</f>
        <v>261.328384</v>
      </c>
      <c r="K270" s="3"/>
    </row>
    <row r="271" customFormat="false" ht="19.5" hidden="false" customHeight="false" outlineLevel="0" collapsed="false">
      <c r="A271" s="3" t="s">
        <v>83</v>
      </c>
      <c r="B271" s="3" t="s">
        <v>84</v>
      </c>
      <c r="C271" s="3" t="s">
        <v>92</v>
      </c>
      <c r="D271" s="3" t="s">
        <v>8</v>
      </c>
      <c r="E271" s="3" t="n">
        <v>1200</v>
      </c>
      <c r="F271" s="3" t="n">
        <v>1200</v>
      </c>
      <c r="G271" s="3" t="n">
        <v>16</v>
      </c>
      <c r="H271" s="8" t="n">
        <f aca="false">(E271/1000)*(F271/1000)*(G271/1000)*7850</f>
        <v>180.864</v>
      </c>
      <c r="I271" s="3" t="n">
        <v>2</v>
      </c>
      <c r="J271" s="9" t="n">
        <f aca="false">H271*I271</f>
        <v>361.728</v>
      </c>
      <c r="K271" s="3"/>
    </row>
    <row r="272" customFormat="false" ht="19.5" hidden="false" customHeight="false" outlineLevel="0" collapsed="false">
      <c r="A272" s="3" t="s">
        <v>83</v>
      </c>
      <c r="B272" s="3" t="s">
        <v>84</v>
      </c>
      <c r="C272" s="3" t="s">
        <v>93</v>
      </c>
      <c r="D272" s="3" t="s">
        <v>8</v>
      </c>
      <c r="E272" s="3" t="n">
        <v>2300</v>
      </c>
      <c r="F272" s="3" t="n">
        <v>320</v>
      </c>
      <c r="G272" s="3" t="n">
        <v>32</v>
      </c>
      <c r="H272" s="8" t="n">
        <f aca="false">(E272/1000)*(F272/1000)*(G272/1000)*7850</f>
        <v>184.8832</v>
      </c>
      <c r="I272" s="3" t="n">
        <v>2</v>
      </c>
      <c r="J272" s="9" t="n">
        <f aca="false">H272*I272</f>
        <v>369.7664</v>
      </c>
      <c r="K272" s="3"/>
    </row>
    <row r="273" customFormat="false" ht="19.5" hidden="false" customHeight="false" outlineLevel="0" collapsed="false">
      <c r="A273" s="3" t="s">
        <v>83</v>
      </c>
      <c r="B273" s="3" t="s">
        <v>84</v>
      </c>
      <c r="C273" s="3" t="s">
        <v>94</v>
      </c>
      <c r="D273" s="3" t="s">
        <v>8</v>
      </c>
      <c r="E273" s="3" t="n">
        <v>2200</v>
      </c>
      <c r="F273" s="3" t="n">
        <v>320</v>
      </c>
      <c r="G273" s="3" t="n">
        <v>32</v>
      </c>
      <c r="H273" s="8" t="n">
        <f aca="false">(E273/1000)*(F273/1000)*(G273/1000)*7850</f>
        <v>176.8448</v>
      </c>
      <c r="I273" s="3" t="n">
        <v>4</v>
      </c>
      <c r="J273" s="9" t="n">
        <f aca="false">H273*I273</f>
        <v>707.3792</v>
      </c>
      <c r="K273" s="3"/>
    </row>
    <row r="274" customFormat="false" ht="19.5" hidden="false" customHeight="false" outlineLevel="0" collapsed="false">
      <c r="A274" s="3" t="s">
        <v>95</v>
      </c>
      <c r="B274" s="3" t="s">
        <v>96</v>
      </c>
      <c r="C274" s="3" t="s">
        <v>44</v>
      </c>
      <c r="D274" s="3" t="s">
        <v>8</v>
      </c>
      <c r="E274" s="3" t="n">
        <v>15280</v>
      </c>
      <c r="F274" s="3" t="n">
        <v>1000</v>
      </c>
      <c r="G274" s="3" t="n">
        <v>20</v>
      </c>
      <c r="H274" s="8" t="n">
        <f aca="false">(E274/1000)*(F274/1000)*(G274/1000)*7850</f>
        <v>2398.96</v>
      </c>
      <c r="I274" s="3" t="n">
        <v>1</v>
      </c>
      <c r="J274" s="9" t="n">
        <f aca="false">H274*I274</f>
        <v>2398.96</v>
      </c>
      <c r="K274" s="3"/>
    </row>
    <row r="275" customFormat="false" ht="19.5" hidden="false" customHeight="false" outlineLevel="0" collapsed="false">
      <c r="A275" s="3" t="s">
        <v>95</v>
      </c>
      <c r="B275" s="3" t="s">
        <v>96</v>
      </c>
      <c r="C275" s="3" t="s">
        <v>45</v>
      </c>
      <c r="D275" s="3" t="s">
        <v>8</v>
      </c>
      <c r="E275" s="3" t="n">
        <v>13730</v>
      </c>
      <c r="F275" s="3" t="n">
        <v>1000</v>
      </c>
      <c r="G275" s="3" t="n">
        <v>20</v>
      </c>
      <c r="H275" s="8" t="n">
        <f aca="false">(E275/1000)*(F275/1000)*(G275/1000)*7850</f>
        <v>2155.61</v>
      </c>
      <c r="I275" s="3" t="n">
        <v>1</v>
      </c>
      <c r="J275" s="9" t="n">
        <f aca="false">H275*I275</f>
        <v>2155.61</v>
      </c>
      <c r="K275" s="3"/>
    </row>
    <row r="276" customFormat="false" ht="19.5" hidden="false" customHeight="false" outlineLevel="0" collapsed="false">
      <c r="A276" s="3" t="s">
        <v>95</v>
      </c>
      <c r="B276" s="3" t="s">
        <v>96</v>
      </c>
      <c r="C276" s="3" t="s">
        <v>46</v>
      </c>
      <c r="D276" s="3" t="s">
        <v>8</v>
      </c>
      <c r="E276" s="3" t="n">
        <v>7900</v>
      </c>
      <c r="F276" s="3" t="n">
        <v>1200</v>
      </c>
      <c r="G276" s="3" t="n">
        <v>20</v>
      </c>
      <c r="H276" s="8" t="n">
        <f aca="false">(E276/1000)*(F276/1000)*(G276/1000)*7850</f>
        <v>1488.36</v>
      </c>
      <c r="I276" s="3" t="n">
        <v>1</v>
      </c>
      <c r="J276" s="9" t="n">
        <f aca="false">H276*I276</f>
        <v>1488.36</v>
      </c>
      <c r="K276" s="3"/>
    </row>
    <row r="277" customFormat="false" ht="19.5" hidden="false" customHeight="false" outlineLevel="0" collapsed="false">
      <c r="A277" s="3" t="s">
        <v>95</v>
      </c>
      <c r="B277" s="3" t="s">
        <v>96</v>
      </c>
      <c r="C277" s="3" t="s">
        <v>47</v>
      </c>
      <c r="D277" s="3" t="s">
        <v>8</v>
      </c>
      <c r="E277" s="3" t="n">
        <v>7100</v>
      </c>
      <c r="F277" s="3" t="n">
        <v>1200</v>
      </c>
      <c r="G277" s="3" t="n">
        <v>20</v>
      </c>
      <c r="H277" s="8" t="n">
        <f aca="false">(E277/1000)*(F277/1000)*(G277/1000)*7850</f>
        <v>1337.64</v>
      </c>
      <c r="I277" s="3" t="n">
        <v>1</v>
      </c>
      <c r="J277" s="9" t="n">
        <f aca="false">H277*I277</f>
        <v>1337.64</v>
      </c>
      <c r="K277" s="3"/>
    </row>
    <row r="278" customFormat="false" ht="19.5" hidden="false" customHeight="false" outlineLevel="0" collapsed="false">
      <c r="A278" s="3" t="s">
        <v>95</v>
      </c>
      <c r="B278" s="3" t="s">
        <v>96</v>
      </c>
      <c r="C278" s="3" t="s">
        <v>48</v>
      </c>
      <c r="D278" s="3" t="s">
        <v>8</v>
      </c>
      <c r="E278" s="3" t="n">
        <v>22620</v>
      </c>
      <c r="F278" s="3" t="n">
        <v>1000</v>
      </c>
      <c r="G278" s="3" t="n">
        <v>40</v>
      </c>
      <c r="H278" s="8" t="n">
        <f aca="false">(E278/1000)*(F278/1000)*(G278/1000)*7850</f>
        <v>7102.68</v>
      </c>
      <c r="I278" s="3" t="n">
        <v>2</v>
      </c>
      <c r="J278" s="9" t="n">
        <f aca="false">H278*I278</f>
        <v>14205.36</v>
      </c>
      <c r="K278" s="3"/>
    </row>
    <row r="279" customFormat="false" ht="19.5" hidden="false" customHeight="false" outlineLevel="0" collapsed="false">
      <c r="A279" s="3" t="s">
        <v>95</v>
      </c>
      <c r="B279" s="3" t="s">
        <v>96</v>
      </c>
      <c r="C279" s="3" t="s">
        <v>49</v>
      </c>
      <c r="D279" s="3" t="s">
        <v>8</v>
      </c>
      <c r="E279" s="3" t="n">
        <v>7300</v>
      </c>
      <c r="F279" s="3" t="n">
        <v>2048</v>
      </c>
      <c r="G279" s="3" t="n">
        <v>28</v>
      </c>
      <c r="H279" s="8" t="n">
        <f aca="false">(E279/1000)*(F279/1000)*(G279/1000)*7850</f>
        <v>3286.09792</v>
      </c>
      <c r="I279" s="3" t="n">
        <v>2</v>
      </c>
      <c r="J279" s="9" t="n">
        <f aca="false">H279*I279</f>
        <v>6572.19584</v>
      </c>
      <c r="K279" s="3"/>
    </row>
    <row r="280" customFormat="false" ht="19.5" hidden="false" customHeight="false" outlineLevel="0" collapsed="false">
      <c r="A280" s="3" t="s">
        <v>95</v>
      </c>
      <c r="B280" s="3" t="s">
        <v>96</v>
      </c>
      <c r="C280" s="3" t="s">
        <v>50</v>
      </c>
      <c r="D280" s="3" t="s">
        <v>8</v>
      </c>
      <c r="E280" s="3" t="n">
        <v>7900</v>
      </c>
      <c r="F280" s="3" t="n">
        <v>280</v>
      </c>
      <c r="G280" s="3" t="n">
        <v>24</v>
      </c>
      <c r="H280" s="8" t="n">
        <f aca="false">(E280/1000)*(F280/1000)*(G280/1000)*7850</f>
        <v>416.7408</v>
      </c>
      <c r="I280" s="3" t="n">
        <v>6</v>
      </c>
      <c r="J280" s="9" t="n">
        <f aca="false">H280*I280</f>
        <v>2500.4448</v>
      </c>
      <c r="K280" s="3"/>
    </row>
    <row r="281" customFormat="false" ht="19.5" hidden="false" customHeight="false" outlineLevel="0" collapsed="false">
      <c r="A281" s="3" t="s">
        <v>95</v>
      </c>
      <c r="B281" s="3" t="s">
        <v>96</v>
      </c>
      <c r="C281" s="3" t="s">
        <v>66</v>
      </c>
      <c r="D281" s="3" t="s">
        <v>8</v>
      </c>
      <c r="E281" s="3" t="n">
        <v>7100</v>
      </c>
      <c r="F281" s="3" t="n">
        <v>280</v>
      </c>
      <c r="G281" s="3" t="n">
        <v>24</v>
      </c>
      <c r="H281" s="8" t="n">
        <f aca="false">(E281/1000)*(F281/1000)*(G281/1000)*7850</f>
        <v>374.5392</v>
      </c>
      <c r="I281" s="3" t="n">
        <v>6</v>
      </c>
      <c r="J281" s="9" t="n">
        <f aca="false">H281*I281</f>
        <v>2247.2352</v>
      </c>
      <c r="K281" s="3"/>
    </row>
    <row r="282" customFormat="false" ht="19.5" hidden="false" customHeight="false" outlineLevel="0" collapsed="false">
      <c r="A282" s="3" t="s">
        <v>95</v>
      </c>
      <c r="B282" s="3" t="s">
        <v>96</v>
      </c>
      <c r="C282" s="3" t="s">
        <v>51</v>
      </c>
      <c r="D282" s="3" t="s">
        <v>8</v>
      </c>
      <c r="E282" s="3" t="n">
        <v>7901</v>
      </c>
      <c r="F282" s="3" t="n">
        <v>2500</v>
      </c>
      <c r="G282" s="3" t="n">
        <v>24</v>
      </c>
      <c r="H282" s="8" t="n">
        <f aca="false">(E282/1000)*(F282/1000)*(G282/1000)*7850</f>
        <v>3721.371</v>
      </c>
      <c r="I282" s="3" t="n">
        <v>1</v>
      </c>
      <c r="J282" s="9" t="n">
        <f aca="false">H282*I282</f>
        <v>3721.371</v>
      </c>
      <c r="K282" s="3"/>
    </row>
    <row r="283" customFormat="false" ht="19.5" hidden="false" customHeight="false" outlineLevel="0" collapsed="false">
      <c r="A283" s="3" t="s">
        <v>95</v>
      </c>
      <c r="B283" s="3" t="s">
        <v>96</v>
      </c>
      <c r="C283" s="3" t="s">
        <v>70</v>
      </c>
      <c r="D283" s="3" t="s">
        <v>8</v>
      </c>
      <c r="E283" s="3" t="n">
        <v>7101</v>
      </c>
      <c r="F283" s="3" t="n">
        <v>2500</v>
      </c>
      <c r="G283" s="3" t="n">
        <v>24</v>
      </c>
      <c r="H283" s="8" t="n">
        <f aca="false">(E283/1000)*(F283/1000)*(G283/1000)*7850</f>
        <v>3344.571</v>
      </c>
      <c r="I283" s="3" t="n">
        <v>1</v>
      </c>
      <c r="J283" s="9" t="n">
        <f aca="false">H283*I283</f>
        <v>3344.571</v>
      </c>
      <c r="K283" s="3"/>
    </row>
    <row r="284" customFormat="false" ht="19.5" hidden="false" customHeight="false" outlineLevel="0" collapsed="false">
      <c r="A284" s="3" t="s">
        <v>95</v>
      </c>
      <c r="B284" s="3" t="s">
        <v>96</v>
      </c>
      <c r="C284" s="3" t="s">
        <v>52</v>
      </c>
      <c r="D284" s="3" t="s">
        <v>8</v>
      </c>
      <c r="E284" s="3" t="n">
        <v>12960</v>
      </c>
      <c r="F284" s="3" t="n">
        <v>1000</v>
      </c>
      <c r="G284" s="3" t="n">
        <v>24</v>
      </c>
      <c r="H284" s="8" t="n">
        <f aca="false">(E284/1000)*(F284/1000)*(G284/1000)*7850</f>
        <v>2441.664</v>
      </c>
      <c r="I284" s="3" t="n">
        <v>1</v>
      </c>
      <c r="J284" s="9" t="n">
        <f aca="false">H284*I284</f>
        <v>2441.664</v>
      </c>
      <c r="K284" s="3"/>
    </row>
    <row r="285" customFormat="false" ht="19.5" hidden="false" customHeight="false" outlineLevel="0" collapsed="false">
      <c r="A285" s="3" t="s">
        <v>95</v>
      </c>
      <c r="B285" s="3" t="s">
        <v>96</v>
      </c>
      <c r="C285" s="3" t="s">
        <v>53</v>
      </c>
      <c r="D285" s="3" t="s">
        <v>8</v>
      </c>
      <c r="E285" s="3" t="n">
        <v>11130</v>
      </c>
      <c r="F285" s="3" t="n">
        <v>1000</v>
      </c>
      <c r="G285" s="3" t="n">
        <v>24</v>
      </c>
      <c r="H285" s="8" t="n">
        <f aca="false">(E285/1000)*(F285/1000)*(G285/1000)*7850</f>
        <v>2096.892</v>
      </c>
      <c r="I285" s="3" t="n">
        <v>1</v>
      </c>
      <c r="J285" s="9" t="n">
        <f aca="false">H285*I285</f>
        <v>2096.892</v>
      </c>
      <c r="K285" s="3"/>
    </row>
    <row r="286" customFormat="false" ht="19.5" hidden="false" customHeight="false" outlineLevel="0" collapsed="false">
      <c r="A286" s="3" t="s">
        <v>95</v>
      </c>
      <c r="B286" s="3" t="s">
        <v>96</v>
      </c>
      <c r="C286" s="3" t="s">
        <v>67</v>
      </c>
      <c r="D286" s="3" t="s">
        <v>8</v>
      </c>
      <c r="E286" s="3" t="n">
        <v>20790</v>
      </c>
      <c r="F286" s="3" t="n">
        <v>1000</v>
      </c>
      <c r="G286" s="3" t="n">
        <v>44</v>
      </c>
      <c r="H286" s="8" t="n">
        <f aca="false">(E286/1000)*(F286/1000)*(G286/1000)*7850</f>
        <v>7180.866</v>
      </c>
      <c r="I286" s="3" t="n">
        <v>2</v>
      </c>
      <c r="J286" s="9" t="n">
        <f aca="false">H286*I286</f>
        <v>14361.732</v>
      </c>
      <c r="K286" s="3"/>
    </row>
    <row r="287" customFormat="false" ht="19.5" hidden="false" customHeight="false" outlineLevel="0" collapsed="false">
      <c r="A287" s="3" t="s">
        <v>95</v>
      </c>
      <c r="B287" s="3" t="s">
        <v>96</v>
      </c>
      <c r="C287" s="3" t="s">
        <v>54</v>
      </c>
      <c r="D287" s="3" t="s">
        <v>8</v>
      </c>
      <c r="E287" s="3" t="n">
        <v>7301</v>
      </c>
      <c r="F287" s="3" t="n">
        <v>1880</v>
      </c>
      <c r="G287" s="3" t="n">
        <v>32</v>
      </c>
      <c r="H287" s="8" t="n">
        <f aca="false">(E287/1000)*(F287/1000)*(G287/1000)*7850</f>
        <v>3447.941056</v>
      </c>
      <c r="I287" s="3" t="n">
        <v>2</v>
      </c>
      <c r="J287" s="9" t="n">
        <f aca="false">H287*I287</f>
        <v>6895.882112</v>
      </c>
      <c r="K287" s="3"/>
    </row>
    <row r="288" customFormat="false" ht="19.5" hidden="false" customHeight="false" outlineLevel="0" collapsed="false">
      <c r="A288" s="3" t="s">
        <v>95</v>
      </c>
      <c r="B288" s="3" t="s">
        <v>96</v>
      </c>
      <c r="C288" s="3" t="s">
        <v>55</v>
      </c>
      <c r="D288" s="3" t="s">
        <v>8</v>
      </c>
      <c r="E288" s="3" t="n">
        <v>7901</v>
      </c>
      <c r="F288" s="3" t="n">
        <v>280</v>
      </c>
      <c r="G288" s="3" t="n">
        <v>24</v>
      </c>
      <c r="H288" s="8" t="n">
        <f aca="false">(E288/1000)*(F288/1000)*(G288/1000)*7850</f>
        <v>416.793552</v>
      </c>
      <c r="I288" s="3" t="n">
        <v>4</v>
      </c>
      <c r="J288" s="9" t="n">
        <f aca="false">H288*I288</f>
        <v>1667.174208</v>
      </c>
      <c r="K288" s="3"/>
    </row>
    <row r="289" customFormat="false" ht="19.5" hidden="false" customHeight="false" outlineLevel="0" collapsed="false">
      <c r="A289" s="3" t="s">
        <v>95</v>
      </c>
      <c r="B289" s="3" t="s">
        <v>96</v>
      </c>
      <c r="C289" s="3" t="s">
        <v>56</v>
      </c>
      <c r="D289" s="3" t="s">
        <v>8</v>
      </c>
      <c r="E289" s="3" t="n">
        <v>7101</v>
      </c>
      <c r="F289" s="3" t="n">
        <v>280</v>
      </c>
      <c r="G289" s="3" t="n">
        <v>24</v>
      </c>
      <c r="H289" s="8" t="n">
        <f aca="false">(E289/1000)*(F289/1000)*(G289/1000)*7850</f>
        <v>374.591952</v>
      </c>
      <c r="I289" s="3" t="n">
        <v>4</v>
      </c>
      <c r="J289" s="9" t="n">
        <f aca="false">H289*I289</f>
        <v>1498.367808</v>
      </c>
      <c r="K289" s="3"/>
    </row>
    <row r="290" customFormat="false" ht="19.5" hidden="false" customHeight="false" outlineLevel="0" collapsed="false">
      <c r="A290" s="3" t="s">
        <v>95</v>
      </c>
      <c r="B290" s="3" t="s">
        <v>96</v>
      </c>
      <c r="C290" s="3" t="s">
        <v>57</v>
      </c>
      <c r="D290" s="3" t="s">
        <v>8</v>
      </c>
      <c r="E290" s="3" t="n">
        <v>15002</v>
      </c>
      <c r="F290" s="3" t="n">
        <v>170</v>
      </c>
      <c r="G290" s="3" t="n">
        <v>14</v>
      </c>
      <c r="H290" s="8" t="n">
        <f aca="false">(E290/1000)*(F290/1000)*(G290/1000)*7850</f>
        <v>280.282366</v>
      </c>
      <c r="I290" s="3" t="n">
        <v>2</v>
      </c>
      <c r="J290" s="9" t="n">
        <f aca="false">H290*I290</f>
        <v>560.564732</v>
      </c>
      <c r="K290" s="3"/>
    </row>
    <row r="291" customFormat="false" ht="19.5" hidden="false" customHeight="false" outlineLevel="0" collapsed="false">
      <c r="A291" s="3" t="s">
        <v>95</v>
      </c>
      <c r="B291" s="3" t="s">
        <v>96</v>
      </c>
      <c r="C291" s="3" t="s">
        <v>58</v>
      </c>
      <c r="D291" s="3" t="s">
        <v>8</v>
      </c>
      <c r="E291" s="3" t="n">
        <v>7651</v>
      </c>
      <c r="F291" s="3" t="n">
        <v>900</v>
      </c>
      <c r="G291" s="3" t="n">
        <v>36</v>
      </c>
      <c r="H291" s="8" t="n">
        <f aca="false">(E291/1000)*(F291/1000)*(G291/1000)*7850</f>
        <v>1945.95534</v>
      </c>
      <c r="I291" s="3" t="n">
        <v>2</v>
      </c>
      <c r="J291" s="9" t="n">
        <f aca="false">H291*I291</f>
        <v>3891.91068</v>
      </c>
      <c r="K291" s="3"/>
    </row>
    <row r="292" customFormat="false" ht="19.5" hidden="false" customHeight="false" outlineLevel="0" collapsed="false">
      <c r="A292" s="3" t="s">
        <v>95</v>
      </c>
      <c r="B292" s="3" t="s">
        <v>96</v>
      </c>
      <c r="C292" s="3" t="s">
        <v>59</v>
      </c>
      <c r="D292" s="3" t="s">
        <v>8</v>
      </c>
      <c r="E292" s="3" t="n">
        <v>12151</v>
      </c>
      <c r="F292" s="3" t="n">
        <v>1200</v>
      </c>
      <c r="G292" s="3" t="n">
        <v>32</v>
      </c>
      <c r="H292" s="8" t="n">
        <f aca="false">(E292/1000)*(F292/1000)*(G292/1000)*7850</f>
        <v>3662.79744</v>
      </c>
      <c r="I292" s="3" t="n">
        <v>1</v>
      </c>
      <c r="J292" s="9" t="n">
        <f aca="false">H292*I292</f>
        <v>3662.79744</v>
      </c>
      <c r="K292" s="3"/>
    </row>
    <row r="293" customFormat="false" ht="19.5" hidden="false" customHeight="false" outlineLevel="0" collapsed="false">
      <c r="A293" s="3" t="s">
        <v>95</v>
      </c>
      <c r="B293" s="3" t="s">
        <v>96</v>
      </c>
      <c r="C293" s="3" t="s">
        <v>60</v>
      </c>
      <c r="D293" s="3" t="s">
        <v>8</v>
      </c>
      <c r="E293" s="3" t="n">
        <v>10751</v>
      </c>
      <c r="F293" s="3" t="n">
        <v>240</v>
      </c>
      <c r="G293" s="3" t="n">
        <v>24</v>
      </c>
      <c r="H293" s="8" t="n">
        <f aca="false">(E293/1000)*(F293/1000)*(G293/1000)*7850</f>
        <v>486.117216</v>
      </c>
      <c r="I293" s="3" t="n">
        <v>2</v>
      </c>
      <c r="J293" s="9" t="n">
        <f aca="false">H293*I293</f>
        <v>972.234432</v>
      </c>
      <c r="K293" s="3"/>
    </row>
    <row r="294" customFormat="false" ht="19.5" hidden="false" customHeight="false" outlineLevel="0" collapsed="false">
      <c r="A294" s="3" t="s">
        <v>95</v>
      </c>
      <c r="B294" s="3" t="s">
        <v>96</v>
      </c>
      <c r="C294" s="3" t="s">
        <v>61</v>
      </c>
      <c r="D294" s="3" t="s">
        <v>8</v>
      </c>
      <c r="E294" s="3" t="n">
        <v>3752</v>
      </c>
      <c r="F294" s="3" t="n">
        <v>900</v>
      </c>
      <c r="G294" s="3" t="n">
        <v>36</v>
      </c>
      <c r="H294" s="8" t="n">
        <f aca="false">(E294/1000)*(F294/1000)*(G294/1000)*7850</f>
        <v>954.28368</v>
      </c>
      <c r="I294" s="3" t="n">
        <v>2</v>
      </c>
      <c r="J294" s="9" t="n">
        <f aca="false">H294*I294</f>
        <v>1908.56736</v>
      </c>
      <c r="K294" s="3"/>
    </row>
    <row r="295" customFormat="false" ht="19.5" hidden="false" customHeight="false" outlineLevel="0" collapsed="false">
      <c r="A295" s="3" t="s">
        <v>95</v>
      </c>
      <c r="B295" s="3" t="s">
        <v>96</v>
      </c>
      <c r="C295" s="3" t="s">
        <v>85</v>
      </c>
      <c r="D295" s="3" t="s">
        <v>8</v>
      </c>
      <c r="E295" s="3" t="n">
        <v>6052</v>
      </c>
      <c r="F295" s="3" t="n">
        <v>1200</v>
      </c>
      <c r="G295" s="3" t="n">
        <v>32</v>
      </c>
      <c r="H295" s="8" t="n">
        <f aca="false">(E295/1000)*(F295/1000)*(G295/1000)*7850</f>
        <v>1824.31488</v>
      </c>
      <c r="I295" s="3" t="n">
        <v>1</v>
      </c>
      <c r="J295" s="9" t="n">
        <f aca="false">H295*I295</f>
        <v>1824.31488</v>
      </c>
      <c r="K295" s="3"/>
    </row>
    <row r="296" customFormat="false" ht="19.5" hidden="false" customHeight="false" outlineLevel="0" collapsed="false">
      <c r="A296" s="3" t="s">
        <v>95</v>
      </c>
      <c r="B296" s="3" t="s">
        <v>96</v>
      </c>
      <c r="C296" s="3" t="s">
        <v>86</v>
      </c>
      <c r="D296" s="3" t="s">
        <v>8</v>
      </c>
      <c r="E296" s="3" t="n">
        <v>5352</v>
      </c>
      <c r="F296" s="3" t="n">
        <v>240</v>
      </c>
      <c r="G296" s="3" t="n">
        <v>24</v>
      </c>
      <c r="H296" s="8" t="n">
        <f aca="false">(E296/1000)*(F296/1000)*(G296/1000)*7850</f>
        <v>241.996032</v>
      </c>
      <c r="I296" s="3" t="n">
        <v>2</v>
      </c>
      <c r="J296" s="9" t="n">
        <f aca="false">H296*I296</f>
        <v>483.992064</v>
      </c>
      <c r="K296" s="3"/>
    </row>
    <row r="297" customFormat="false" ht="19.5" hidden="false" customHeight="false" outlineLevel="0" collapsed="false">
      <c r="A297" s="3" t="s">
        <v>95</v>
      </c>
      <c r="B297" s="3" t="s">
        <v>96</v>
      </c>
      <c r="C297" s="3" t="s">
        <v>97</v>
      </c>
      <c r="D297" s="3" t="s">
        <v>8</v>
      </c>
      <c r="E297" s="3" t="n">
        <v>3789</v>
      </c>
      <c r="F297" s="3" t="n">
        <v>900</v>
      </c>
      <c r="G297" s="3" t="n">
        <v>36</v>
      </c>
      <c r="H297" s="8" t="n">
        <f aca="false">(E297/1000)*(F297/1000)*(G297/1000)*7850</f>
        <v>963.69426</v>
      </c>
      <c r="I297" s="3" t="n">
        <v>2</v>
      </c>
      <c r="J297" s="9" t="n">
        <f aca="false">H297*I297</f>
        <v>1927.38852</v>
      </c>
      <c r="K297" s="3"/>
    </row>
    <row r="298" customFormat="false" ht="19.5" hidden="false" customHeight="false" outlineLevel="0" collapsed="false">
      <c r="A298" s="3" t="s">
        <v>95</v>
      </c>
      <c r="B298" s="3" t="s">
        <v>96</v>
      </c>
      <c r="C298" s="3" t="s">
        <v>88</v>
      </c>
      <c r="D298" s="3" t="s">
        <v>8</v>
      </c>
      <c r="E298" s="3" t="n">
        <v>5989</v>
      </c>
      <c r="F298" s="3" t="n">
        <v>1200</v>
      </c>
      <c r="G298" s="3" t="n">
        <v>32</v>
      </c>
      <c r="H298" s="8" t="n">
        <f aca="false">(E298/1000)*(F298/1000)*(G298/1000)*7850</f>
        <v>1805.32416</v>
      </c>
      <c r="I298" s="3" t="n">
        <v>1</v>
      </c>
      <c r="J298" s="9" t="n">
        <f aca="false">H298*I298</f>
        <v>1805.32416</v>
      </c>
      <c r="K298" s="3"/>
    </row>
    <row r="299" customFormat="false" ht="19.5" hidden="false" customHeight="false" outlineLevel="0" collapsed="false">
      <c r="A299" s="3" t="s">
        <v>95</v>
      </c>
      <c r="B299" s="3" t="s">
        <v>96</v>
      </c>
      <c r="C299" s="3" t="s">
        <v>89</v>
      </c>
      <c r="D299" s="3" t="s">
        <v>8</v>
      </c>
      <c r="E299" s="3" t="n">
        <v>5289</v>
      </c>
      <c r="F299" s="3" t="n">
        <v>240</v>
      </c>
      <c r="G299" s="3" t="n">
        <v>24</v>
      </c>
      <c r="H299" s="8" t="n">
        <f aca="false">(E299/1000)*(F299/1000)*(G299/1000)*7850</f>
        <v>239.147424</v>
      </c>
      <c r="I299" s="3" t="n">
        <v>2</v>
      </c>
      <c r="J299" s="9" t="n">
        <f aca="false">H299*I299</f>
        <v>478.294848</v>
      </c>
      <c r="K299" s="3"/>
    </row>
    <row r="300" customFormat="false" ht="19.5" hidden="false" customHeight="false" outlineLevel="0" collapsed="false">
      <c r="A300" s="3" t="s">
        <v>95</v>
      </c>
      <c r="B300" s="3" t="s">
        <v>96</v>
      </c>
      <c r="C300" s="3" t="s">
        <v>92</v>
      </c>
      <c r="D300" s="3" t="s">
        <v>8</v>
      </c>
      <c r="E300" s="3" t="n">
        <v>1200</v>
      </c>
      <c r="F300" s="3" t="n">
        <v>1123</v>
      </c>
      <c r="G300" s="3" t="n">
        <v>20</v>
      </c>
      <c r="H300" s="8" t="n">
        <f aca="false">(E300/1000)*(F300/1000)*(G300/1000)*7850</f>
        <v>211.5732</v>
      </c>
      <c r="I300" s="3" t="n">
        <v>1</v>
      </c>
      <c r="J300" s="9" t="n">
        <f aca="false">H300*I300</f>
        <v>211.5732</v>
      </c>
      <c r="K300" s="3"/>
    </row>
    <row r="301" customFormat="false" ht="19.5" hidden="false" customHeight="false" outlineLevel="0" collapsed="false">
      <c r="A301" s="3" t="s">
        <v>95</v>
      </c>
      <c r="B301" s="3" t="s">
        <v>96</v>
      </c>
      <c r="C301" s="3" t="s">
        <v>93</v>
      </c>
      <c r="D301" s="3" t="s">
        <v>8</v>
      </c>
      <c r="E301" s="3" t="n">
        <v>1200</v>
      </c>
      <c r="F301" s="3" t="n">
        <v>1032</v>
      </c>
      <c r="G301" s="3" t="n">
        <v>20</v>
      </c>
      <c r="H301" s="8" t="n">
        <f aca="false">(E301/1000)*(F301/1000)*(G301/1000)*7850</f>
        <v>194.4288</v>
      </c>
      <c r="I301" s="3" t="n">
        <v>2</v>
      </c>
      <c r="J301" s="9" t="n">
        <f aca="false">H301*I301</f>
        <v>388.8576</v>
      </c>
      <c r="K301" s="3"/>
    </row>
    <row r="302" customFormat="false" ht="19.5" hidden="false" customHeight="false" outlineLevel="0" collapsed="false">
      <c r="A302" s="3" t="s">
        <v>98</v>
      </c>
      <c r="B302" s="3" t="s">
        <v>99</v>
      </c>
      <c r="C302" s="3" t="s">
        <v>44</v>
      </c>
      <c r="D302" s="3" t="s">
        <v>8</v>
      </c>
      <c r="E302" s="3" t="n">
        <v>15280</v>
      </c>
      <c r="F302" s="3" t="n">
        <v>1000</v>
      </c>
      <c r="G302" s="3" t="n">
        <v>20</v>
      </c>
      <c r="H302" s="8" t="n">
        <f aca="false">(E302/1000)*(F302/1000)*(G302/1000)*7850</f>
        <v>2398.96</v>
      </c>
      <c r="I302" s="3" t="n">
        <v>1</v>
      </c>
      <c r="J302" s="9" t="n">
        <f aca="false">H302*I302</f>
        <v>2398.96</v>
      </c>
      <c r="K302" s="3"/>
    </row>
    <row r="303" customFormat="false" ht="19.5" hidden="false" customHeight="false" outlineLevel="0" collapsed="false">
      <c r="A303" s="3" t="s">
        <v>98</v>
      </c>
      <c r="B303" s="3" t="s">
        <v>99</v>
      </c>
      <c r="C303" s="3" t="s">
        <v>45</v>
      </c>
      <c r="D303" s="3" t="s">
        <v>8</v>
      </c>
      <c r="E303" s="3" t="n">
        <v>13730</v>
      </c>
      <c r="F303" s="3" t="n">
        <v>1000</v>
      </c>
      <c r="G303" s="3" t="n">
        <v>20</v>
      </c>
      <c r="H303" s="8" t="n">
        <f aca="false">(E303/1000)*(F303/1000)*(G303/1000)*7850</f>
        <v>2155.61</v>
      </c>
      <c r="I303" s="3" t="n">
        <v>1</v>
      </c>
      <c r="J303" s="9" t="n">
        <f aca="false">H303*I303</f>
        <v>2155.61</v>
      </c>
      <c r="K303" s="3"/>
    </row>
    <row r="304" customFormat="false" ht="19.5" hidden="false" customHeight="false" outlineLevel="0" collapsed="false">
      <c r="A304" s="3" t="s">
        <v>98</v>
      </c>
      <c r="B304" s="3" t="s">
        <v>99</v>
      </c>
      <c r="C304" s="3" t="s">
        <v>46</v>
      </c>
      <c r="D304" s="3" t="s">
        <v>8</v>
      </c>
      <c r="E304" s="3" t="n">
        <v>7900</v>
      </c>
      <c r="F304" s="3" t="n">
        <v>1200</v>
      </c>
      <c r="G304" s="3" t="n">
        <v>20</v>
      </c>
      <c r="H304" s="8" t="n">
        <f aca="false">(E304/1000)*(F304/1000)*(G304/1000)*7850</f>
        <v>1488.36</v>
      </c>
      <c r="I304" s="3" t="n">
        <v>1</v>
      </c>
      <c r="J304" s="9" t="n">
        <f aca="false">H304*I304</f>
        <v>1488.36</v>
      </c>
      <c r="K304" s="3"/>
    </row>
    <row r="305" customFormat="false" ht="19.5" hidden="false" customHeight="false" outlineLevel="0" collapsed="false">
      <c r="A305" s="3" t="s">
        <v>98</v>
      </c>
      <c r="B305" s="3" t="s">
        <v>99</v>
      </c>
      <c r="C305" s="3" t="s">
        <v>47</v>
      </c>
      <c r="D305" s="3" t="s">
        <v>8</v>
      </c>
      <c r="E305" s="3" t="n">
        <v>7100</v>
      </c>
      <c r="F305" s="3" t="n">
        <v>1200</v>
      </c>
      <c r="G305" s="3" t="n">
        <v>20</v>
      </c>
      <c r="H305" s="8" t="n">
        <f aca="false">(E305/1000)*(F305/1000)*(G305/1000)*7850</f>
        <v>1337.64</v>
      </c>
      <c r="I305" s="3" t="n">
        <v>1</v>
      </c>
      <c r="J305" s="9" t="n">
        <f aca="false">H305*I305</f>
        <v>1337.64</v>
      </c>
      <c r="K305" s="3"/>
    </row>
    <row r="306" customFormat="false" ht="19.5" hidden="false" customHeight="false" outlineLevel="0" collapsed="false">
      <c r="A306" s="3" t="s">
        <v>98</v>
      </c>
      <c r="B306" s="3" t="s">
        <v>99</v>
      </c>
      <c r="C306" s="3" t="s">
        <v>48</v>
      </c>
      <c r="D306" s="3" t="s">
        <v>8</v>
      </c>
      <c r="E306" s="3" t="n">
        <v>22580</v>
      </c>
      <c r="F306" s="3" t="n">
        <v>1000</v>
      </c>
      <c r="G306" s="3" t="n">
        <v>40</v>
      </c>
      <c r="H306" s="8" t="n">
        <f aca="false">(E306/1000)*(F306/1000)*(G306/1000)*7850</f>
        <v>7090.12</v>
      </c>
      <c r="I306" s="3" t="n">
        <v>2</v>
      </c>
      <c r="J306" s="9" t="n">
        <f aca="false">H306*I306</f>
        <v>14180.24</v>
      </c>
      <c r="K306" s="3"/>
    </row>
    <row r="307" customFormat="false" ht="19.5" hidden="false" customHeight="false" outlineLevel="0" collapsed="false">
      <c r="A307" s="3" t="s">
        <v>98</v>
      </c>
      <c r="B307" s="3" t="s">
        <v>99</v>
      </c>
      <c r="C307" s="3" t="s">
        <v>49</v>
      </c>
      <c r="D307" s="3" t="s">
        <v>8</v>
      </c>
      <c r="E307" s="3" t="n">
        <v>7300</v>
      </c>
      <c r="F307" s="3" t="n">
        <v>2048</v>
      </c>
      <c r="G307" s="3" t="n">
        <v>28</v>
      </c>
      <c r="H307" s="8" t="n">
        <f aca="false">(E307/1000)*(F307/1000)*(G307/1000)*7850</f>
        <v>3286.09792</v>
      </c>
      <c r="I307" s="3" t="n">
        <v>2</v>
      </c>
      <c r="J307" s="9" t="n">
        <f aca="false">H307*I307</f>
        <v>6572.19584</v>
      </c>
      <c r="K307" s="3"/>
    </row>
    <row r="308" customFormat="false" ht="19.5" hidden="false" customHeight="false" outlineLevel="0" collapsed="false">
      <c r="A308" s="3" t="s">
        <v>98</v>
      </c>
      <c r="B308" s="3" t="s">
        <v>99</v>
      </c>
      <c r="C308" s="3" t="s">
        <v>50</v>
      </c>
      <c r="D308" s="3" t="s">
        <v>8</v>
      </c>
      <c r="E308" s="3" t="n">
        <v>7900</v>
      </c>
      <c r="F308" s="3" t="n">
        <v>280</v>
      </c>
      <c r="G308" s="3" t="n">
        <v>24</v>
      </c>
      <c r="H308" s="8" t="n">
        <f aca="false">(E308/1000)*(F308/1000)*(G308/1000)*7850</f>
        <v>416.7408</v>
      </c>
      <c r="I308" s="3" t="n">
        <v>6</v>
      </c>
      <c r="J308" s="9" t="n">
        <f aca="false">H308*I308</f>
        <v>2500.4448</v>
      </c>
      <c r="K308" s="3"/>
    </row>
    <row r="309" customFormat="false" ht="19.5" hidden="false" customHeight="false" outlineLevel="0" collapsed="false">
      <c r="A309" s="3" t="s">
        <v>98</v>
      </c>
      <c r="B309" s="3" t="s">
        <v>99</v>
      </c>
      <c r="C309" s="3" t="s">
        <v>66</v>
      </c>
      <c r="D309" s="3" t="s">
        <v>8</v>
      </c>
      <c r="E309" s="3" t="n">
        <v>7100</v>
      </c>
      <c r="F309" s="3" t="n">
        <v>280</v>
      </c>
      <c r="G309" s="3" t="n">
        <v>24</v>
      </c>
      <c r="H309" s="8" t="n">
        <f aca="false">(E309/1000)*(F309/1000)*(G309/1000)*7850</f>
        <v>374.5392</v>
      </c>
      <c r="I309" s="3" t="n">
        <v>6</v>
      </c>
      <c r="J309" s="9" t="n">
        <f aca="false">H309*I309</f>
        <v>2247.2352</v>
      </c>
      <c r="K309" s="3"/>
    </row>
    <row r="310" customFormat="false" ht="19.5" hidden="false" customHeight="false" outlineLevel="0" collapsed="false">
      <c r="A310" s="3" t="s">
        <v>98</v>
      </c>
      <c r="B310" s="3" t="s">
        <v>99</v>
      </c>
      <c r="C310" s="3" t="s">
        <v>51</v>
      </c>
      <c r="D310" s="3" t="s">
        <v>8</v>
      </c>
      <c r="E310" s="3" t="n">
        <v>7901</v>
      </c>
      <c r="F310" s="3" t="n">
        <v>2500</v>
      </c>
      <c r="G310" s="3" t="n">
        <v>24</v>
      </c>
      <c r="H310" s="8" t="n">
        <f aca="false">(E310/1000)*(F310/1000)*(G310/1000)*7850</f>
        <v>3721.371</v>
      </c>
      <c r="I310" s="3" t="n">
        <v>1</v>
      </c>
      <c r="J310" s="9" t="n">
        <f aca="false">H310*I310</f>
        <v>3721.371</v>
      </c>
      <c r="K310" s="3"/>
    </row>
    <row r="311" customFormat="false" ht="19.5" hidden="false" customHeight="false" outlineLevel="0" collapsed="false">
      <c r="A311" s="3" t="s">
        <v>98</v>
      </c>
      <c r="B311" s="3" t="s">
        <v>99</v>
      </c>
      <c r="C311" s="3" t="s">
        <v>52</v>
      </c>
      <c r="D311" s="3" t="s">
        <v>8</v>
      </c>
      <c r="E311" s="3" t="n">
        <v>12960</v>
      </c>
      <c r="F311" s="3" t="n">
        <v>1000</v>
      </c>
      <c r="G311" s="3" t="n">
        <v>24</v>
      </c>
      <c r="H311" s="8" t="n">
        <f aca="false">(E311/1000)*(F311/1000)*(G311/1000)*7850</f>
        <v>2441.664</v>
      </c>
      <c r="I311" s="3" t="n">
        <v>1</v>
      </c>
      <c r="J311" s="9" t="n">
        <f aca="false">H311*I311</f>
        <v>2441.664</v>
      </c>
      <c r="K311" s="3"/>
    </row>
    <row r="312" customFormat="false" ht="19.5" hidden="false" customHeight="false" outlineLevel="0" collapsed="false">
      <c r="A312" s="3" t="s">
        <v>98</v>
      </c>
      <c r="B312" s="3" t="s">
        <v>99</v>
      </c>
      <c r="C312" s="3" t="s">
        <v>53</v>
      </c>
      <c r="D312" s="3" t="s">
        <v>8</v>
      </c>
      <c r="E312" s="3" t="n">
        <v>11130</v>
      </c>
      <c r="F312" s="3" t="n">
        <v>1000</v>
      </c>
      <c r="G312" s="3" t="n">
        <v>24</v>
      </c>
      <c r="H312" s="8" t="n">
        <f aca="false">(E312/1000)*(F312/1000)*(G312/1000)*7850</f>
        <v>2096.892</v>
      </c>
      <c r="I312" s="3" t="n">
        <v>1</v>
      </c>
      <c r="J312" s="9" t="n">
        <f aca="false">H312*I312</f>
        <v>2096.892</v>
      </c>
      <c r="K312" s="3"/>
    </row>
    <row r="313" customFormat="false" ht="19.5" hidden="false" customHeight="false" outlineLevel="0" collapsed="false">
      <c r="A313" s="3" t="s">
        <v>98</v>
      </c>
      <c r="B313" s="3" t="s">
        <v>99</v>
      </c>
      <c r="C313" s="3" t="s">
        <v>67</v>
      </c>
      <c r="D313" s="3" t="s">
        <v>8</v>
      </c>
      <c r="E313" s="3" t="n">
        <v>20810</v>
      </c>
      <c r="F313" s="3" t="n">
        <v>1000</v>
      </c>
      <c r="G313" s="3" t="n">
        <v>44</v>
      </c>
      <c r="H313" s="8" t="n">
        <f aca="false">(E313/1000)*(F313/1000)*(G313/1000)*7850</f>
        <v>7187.774</v>
      </c>
      <c r="I313" s="3" t="n">
        <v>2</v>
      </c>
      <c r="J313" s="9" t="n">
        <f aca="false">H313*I313</f>
        <v>14375.548</v>
      </c>
      <c r="K313" s="3"/>
    </row>
    <row r="314" customFormat="false" ht="19.5" hidden="false" customHeight="false" outlineLevel="0" collapsed="false">
      <c r="A314" s="3" t="s">
        <v>98</v>
      </c>
      <c r="B314" s="3" t="s">
        <v>99</v>
      </c>
      <c r="C314" s="3" t="s">
        <v>54</v>
      </c>
      <c r="D314" s="3" t="s">
        <v>8</v>
      </c>
      <c r="E314" s="3" t="n">
        <v>7301</v>
      </c>
      <c r="F314" s="3" t="n">
        <v>1880</v>
      </c>
      <c r="G314" s="3" t="n">
        <v>32</v>
      </c>
      <c r="H314" s="8" t="n">
        <f aca="false">(E314/1000)*(F314/1000)*(G314/1000)*7850</f>
        <v>3447.941056</v>
      </c>
      <c r="I314" s="3" t="n">
        <v>2</v>
      </c>
      <c r="J314" s="9" t="n">
        <f aca="false">H314*I314</f>
        <v>6895.882112</v>
      </c>
      <c r="K314" s="3"/>
    </row>
    <row r="315" customFormat="false" ht="19.5" hidden="false" customHeight="false" outlineLevel="0" collapsed="false">
      <c r="A315" s="3" t="s">
        <v>98</v>
      </c>
      <c r="B315" s="3" t="s">
        <v>99</v>
      </c>
      <c r="C315" s="3" t="s">
        <v>55</v>
      </c>
      <c r="D315" s="3" t="s">
        <v>8</v>
      </c>
      <c r="E315" s="3" t="n">
        <v>7901</v>
      </c>
      <c r="F315" s="3" t="n">
        <v>280</v>
      </c>
      <c r="G315" s="3" t="n">
        <v>24</v>
      </c>
      <c r="H315" s="8" t="n">
        <f aca="false">(E315/1000)*(F315/1000)*(G315/1000)*7850</f>
        <v>416.793552</v>
      </c>
      <c r="I315" s="3" t="n">
        <v>4</v>
      </c>
      <c r="J315" s="9" t="n">
        <f aca="false">H315*I315</f>
        <v>1667.174208</v>
      </c>
      <c r="K315" s="3"/>
    </row>
    <row r="316" customFormat="false" ht="19.5" hidden="false" customHeight="false" outlineLevel="0" collapsed="false">
      <c r="A316" s="3" t="s">
        <v>98</v>
      </c>
      <c r="B316" s="3" t="s">
        <v>99</v>
      </c>
      <c r="C316" s="3" t="s">
        <v>56</v>
      </c>
      <c r="D316" s="3" t="s">
        <v>8</v>
      </c>
      <c r="E316" s="3" t="n">
        <v>7101</v>
      </c>
      <c r="F316" s="3" t="n">
        <v>280</v>
      </c>
      <c r="G316" s="3" t="n">
        <v>24</v>
      </c>
      <c r="H316" s="8" t="n">
        <f aca="false">(E316/1000)*(F316/1000)*(G316/1000)*7850</f>
        <v>374.591952</v>
      </c>
      <c r="I316" s="3" t="n">
        <v>4</v>
      </c>
      <c r="J316" s="9" t="n">
        <f aca="false">H316*I316</f>
        <v>1498.367808</v>
      </c>
      <c r="K316" s="3"/>
    </row>
    <row r="317" customFormat="false" ht="19.5" hidden="false" customHeight="false" outlineLevel="0" collapsed="false">
      <c r="A317" s="3" t="s">
        <v>98</v>
      </c>
      <c r="B317" s="3" t="s">
        <v>99</v>
      </c>
      <c r="C317" s="3" t="s">
        <v>57</v>
      </c>
      <c r="D317" s="3" t="s">
        <v>8</v>
      </c>
      <c r="E317" s="3" t="n">
        <v>15002</v>
      </c>
      <c r="F317" s="3" t="n">
        <v>170</v>
      </c>
      <c r="G317" s="3" t="n">
        <v>14</v>
      </c>
      <c r="H317" s="8" t="n">
        <f aca="false">(E317/1000)*(F317/1000)*(G317/1000)*7850</f>
        <v>280.282366</v>
      </c>
      <c r="I317" s="3" t="n">
        <v>2</v>
      </c>
      <c r="J317" s="9" t="n">
        <f aca="false">H317*I317</f>
        <v>560.564732</v>
      </c>
      <c r="K317" s="3"/>
    </row>
    <row r="318" customFormat="false" ht="19.5" hidden="false" customHeight="false" outlineLevel="0" collapsed="false">
      <c r="A318" s="3" t="s">
        <v>98</v>
      </c>
      <c r="B318" s="3" t="s">
        <v>99</v>
      </c>
      <c r="C318" s="3" t="s">
        <v>58</v>
      </c>
      <c r="D318" s="3" t="s">
        <v>8</v>
      </c>
      <c r="E318" s="3" t="n">
        <v>7548</v>
      </c>
      <c r="F318" s="3" t="n">
        <v>900</v>
      </c>
      <c r="G318" s="3" t="n">
        <v>36</v>
      </c>
      <c r="H318" s="8" t="n">
        <f aca="false">(E318/1000)*(F318/1000)*(G318/1000)*7850</f>
        <v>1919.75832</v>
      </c>
      <c r="I318" s="3" t="n">
        <v>2</v>
      </c>
      <c r="J318" s="9" t="n">
        <f aca="false">H318*I318</f>
        <v>3839.51664</v>
      </c>
      <c r="K318" s="3"/>
    </row>
    <row r="319" customFormat="false" ht="19.5" hidden="false" customHeight="false" outlineLevel="0" collapsed="false">
      <c r="A319" s="3" t="s">
        <v>98</v>
      </c>
      <c r="B319" s="3" t="s">
        <v>99</v>
      </c>
      <c r="C319" s="3" t="s">
        <v>59</v>
      </c>
      <c r="D319" s="3" t="s">
        <v>8</v>
      </c>
      <c r="E319" s="3" t="n">
        <v>12048</v>
      </c>
      <c r="F319" s="3" t="n">
        <v>1200</v>
      </c>
      <c r="G319" s="3" t="n">
        <v>32</v>
      </c>
      <c r="H319" s="8" t="n">
        <f aca="false">(E319/1000)*(F319/1000)*(G319/1000)*7850</f>
        <v>3631.74912</v>
      </c>
      <c r="I319" s="3" t="n">
        <v>1</v>
      </c>
      <c r="J319" s="9" t="n">
        <f aca="false">H319*I319</f>
        <v>3631.74912</v>
      </c>
      <c r="K319" s="3"/>
    </row>
    <row r="320" customFormat="false" ht="19.5" hidden="false" customHeight="false" outlineLevel="0" collapsed="false">
      <c r="A320" s="3" t="s">
        <v>98</v>
      </c>
      <c r="B320" s="3" t="s">
        <v>99</v>
      </c>
      <c r="C320" s="3" t="s">
        <v>60</v>
      </c>
      <c r="D320" s="3" t="s">
        <v>8</v>
      </c>
      <c r="E320" s="3" t="n">
        <v>10648</v>
      </c>
      <c r="F320" s="3" t="n">
        <v>240</v>
      </c>
      <c r="G320" s="3" t="n">
        <v>24</v>
      </c>
      <c r="H320" s="8" t="n">
        <f aca="false">(E320/1000)*(F320/1000)*(G320/1000)*7850</f>
        <v>481.459968</v>
      </c>
      <c r="I320" s="3" t="n">
        <v>2</v>
      </c>
      <c r="J320" s="9" t="n">
        <f aca="false">H320*I320</f>
        <v>962.919936</v>
      </c>
      <c r="K320" s="3"/>
    </row>
    <row r="321" customFormat="false" ht="19.5" hidden="false" customHeight="false" outlineLevel="0" collapsed="false">
      <c r="A321" s="3" t="s">
        <v>98</v>
      </c>
      <c r="B321" s="3" t="s">
        <v>99</v>
      </c>
      <c r="C321" s="3" t="s">
        <v>61</v>
      </c>
      <c r="D321" s="3" t="s">
        <v>8</v>
      </c>
      <c r="E321" s="3" t="n">
        <v>3714</v>
      </c>
      <c r="F321" s="3" t="n">
        <v>900</v>
      </c>
      <c r="G321" s="3" t="n">
        <v>36</v>
      </c>
      <c r="H321" s="8" t="n">
        <f aca="false">(E321/1000)*(F321/1000)*(G321/1000)*7850</f>
        <v>944.61876</v>
      </c>
      <c r="I321" s="3" t="n">
        <v>2</v>
      </c>
      <c r="J321" s="9" t="n">
        <f aca="false">H321*I321</f>
        <v>1889.23752</v>
      </c>
      <c r="K321" s="3"/>
    </row>
    <row r="322" customFormat="false" ht="19.5" hidden="false" customHeight="false" outlineLevel="0" collapsed="false">
      <c r="A322" s="3" t="s">
        <v>98</v>
      </c>
      <c r="B322" s="3" t="s">
        <v>99</v>
      </c>
      <c r="C322" s="3" t="s">
        <v>85</v>
      </c>
      <c r="D322" s="3" t="s">
        <v>8</v>
      </c>
      <c r="E322" s="3" t="n">
        <v>6014</v>
      </c>
      <c r="F322" s="3" t="n">
        <v>1200</v>
      </c>
      <c r="G322" s="3" t="n">
        <v>32</v>
      </c>
      <c r="H322" s="8" t="n">
        <f aca="false">(E322/1000)*(F322/1000)*(G322/1000)*7850</f>
        <v>1812.86016</v>
      </c>
      <c r="I322" s="3" t="n">
        <v>1</v>
      </c>
      <c r="J322" s="9" t="n">
        <f aca="false">H322*I322</f>
        <v>1812.86016</v>
      </c>
      <c r="K322" s="3"/>
    </row>
    <row r="323" customFormat="false" ht="19.5" hidden="false" customHeight="false" outlineLevel="0" collapsed="false">
      <c r="A323" s="3" t="s">
        <v>98</v>
      </c>
      <c r="B323" s="3" t="s">
        <v>99</v>
      </c>
      <c r="C323" s="3" t="s">
        <v>86</v>
      </c>
      <c r="D323" s="3" t="s">
        <v>8</v>
      </c>
      <c r="E323" s="3" t="n">
        <v>5314</v>
      </c>
      <c r="F323" s="3" t="n">
        <v>240</v>
      </c>
      <c r="G323" s="3" t="n">
        <v>24</v>
      </c>
      <c r="H323" s="8" t="n">
        <f aca="false">(E323/1000)*(F323/1000)*(G323/1000)*7850</f>
        <v>240.277824</v>
      </c>
      <c r="I323" s="3" t="n">
        <v>2</v>
      </c>
      <c r="J323" s="9" t="n">
        <f aca="false">H323*I323</f>
        <v>480.555648</v>
      </c>
      <c r="K323" s="3"/>
    </row>
    <row r="324" customFormat="false" ht="19.5" hidden="false" customHeight="false" outlineLevel="0" collapsed="false">
      <c r="A324" s="3" t="s">
        <v>98</v>
      </c>
      <c r="B324" s="3" t="s">
        <v>99</v>
      </c>
      <c r="C324" s="3" t="s">
        <v>97</v>
      </c>
      <c r="D324" s="3" t="s">
        <v>8</v>
      </c>
      <c r="E324" s="3" t="n">
        <v>3752</v>
      </c>
      <c r="F324" s="3" t="n">
        <v>900</v>
      </c>
      <c r="G324" s="3" t="n">
        <v>36</v>
      </c>
      <c r="H324" s="8" t="n">
        <f aca="false">(E324/1000)*(F324/1000)*(G324/1000)*7850</f>
        <v>954.28368</v>
      </c>
      <c r="I324" s="3" t="n">
        <v>2</v>
      </c>
      <c r="J324" s="9" t="n">
        <f aca="false">H324*I324</f>
        <v>1908.56736</v>
      </c>
      <c r="K324" s="3"/>
    </row>
    <row r="325" customFormat="false" ht="19.5" hidden="false" customHeight="false" outlineLevel="0" collapsed="false">
      <c r="A325" s="3" t="s">
        <v>98</v>
      </c>
      <c r="B325" s="3" t="s">
        <v>99</v>
      </c>
      <c r="C325" s="3" t="s">
        <v>89</v>
      </c>
      <c r="D325" s="3" t="s">
        <v>8</v>
      </c>
      <c r="E325" s="3" t="n">
        <v>5252</v>
      </c>
      <c r="F325" s="3" t="n">
        <v>240</v>
      </c>
      <c r="G325" s="3" t="n">
        <v>24</v>
      </c>
      <c r="H325" s="8" t="n">
        <f aca="false">(E325/1000)*(F325/1000)*(G325/1000)*7850</f>
        <v>237.474432</v>
      </c>
      <c r="I325" s="3" t="n">
        <v>2</v>
      </c>
      <c r="J325" s="9" t="n">
        <f aca="false">H325*I325</f>
        <v>474.948864</v>
      </c>
      <c r="K325" s="3"/>
    </row>
    <row r="326" customFormat="false" ht="19.5" hidden="false" customHeight="false" outlineLevel="0" collapsed="false">
      <c r="A326" s="3" t="s">
        <v>98</v>
      </c>
      <c r="B326" s="3" t="s">
        <v>99</v>
      </c>
      <c r="C326" s="3" t="s">
        <v>92</v>
      </c>
      <c r="D326" s="3" t="s">
        <v>8</v>
      </c>
      <c r="E326" s="3" t="n">
        <v>1200</v>
      </c>
      <c r="F326" s="3" t="n">
        <v>1100</v>
      </c>
      <c r="G326" s="3" t="n">
        <v>20</v>
      </c>
      <c r="H326" s="8" t="n">
        <f aca="false">(E326/1000)*(F326/1000)*(G326/1000)*7850</f>
        <v>207.24</v>
      </c>
      <c r="I326" s="3" t="n">
        <v>1</v>
      </c>
      <c r="J326" s="9" t="n">
        <f aca="false">H326*I326</f>
        <v>207.24</v>
      </c>
      <c r="K326" s="3"/>
    </row>
    <row r="327" customFormat="false" ht="19.5" hidden="false" customHeight="false" outlineLevel="0" collapsed="false">
      <c r="A327" s="3" t="s">
        <v>98</v>
      </c>
      <c r="B327" s="3" t="s">
        <v>99</v>
      </c>
      <c r="C327" s="3" t="s">
        <v>93</v>
      </c>
      <c r="D327" s="3" t="s">
        <v>8</v>
      </c>
      <c r="E327" s="3" t="n">
        <v>1200</v>
      </c>
      <c r="F327" s="3" t="n">
        <v>1010</v>
      </c>
      <c r="G327" s="3" t="n">
        <v>20</v>
      </c>
      <c r="H327" s="8" t="n">
        <f aca="false">(E327/1000)*(F327/1000)*(G327/1000)*7850</f>
        <v>190.284</v>
      </c>
      <c r="I327" s="3" t="n">
        <v>1</v>
      </c>
      <c r="J327" s="9" t="n">
        <f aca="false">H327*I327</f>
        <v>190.284</v>
      </c>
      <c r="K327" s="3"/>
    </row>
    <row r="328" customFormat="false" ht="19.5" hidden="false" customHeight="false" outlineLevel="0" collapsed="false">
      <c r="A328" s="3" t="s">
        <v>100</v>
      </c>
      <c r="B328" s="3" t="s">
        <v>101</v>
      </c>
      <c r="C328" s="3" t="s">
        <v>44</v>
      </c>
      <c r="D328" s="3" t="s">
        <v>8</v>
      </c>
      <c r="E328" s="3" t="n">
        <v>15280</v>
      </c>
      <c r="F328" s="3" t="n">
        <v>1000</v>
      </c>
      <c r="G328" s="3" t="n">
        <v>20</v>
      </c>
      <c r="H328" s="8" t="n">
        <f aca="false">(E328/1000)*(F328/1000)*(G328/1000)*7850</f>
        <v>2398.96</v>
      </c>
      <c r="I328" s="3" t="n">
        <v>1</v>
      </c>
      <c r="J328" s="9" t="n">
        <f aca="false">H328*I328</f>
        <v>2398.96</v>
      </c>
      <c r="K328" s="3"/>
    </row>
    <row r="329" customFormat="false" ht="19.5" hidden="false" customHeight="false" outlineLevel="0" collapsed="false">
      <c r="A329" s="3" t="s">
        <v>100</v>
      </c>
      <c r="B329" s="3" t="s">
        <v>101</v>
      </c>
      <c r="C329" s="3" t="s">
        <v>45</v>
      </c>
      <c r="D329" s="3" t="s">
        <v>8</v>
      </c>
      <c r="E329" s="3" t="n">
        <v>13730</v>
      </c>
      <c r="F329" s="3" t="n">
        <v>1000</v>
      </c>
      <c r="G329" s="3" t="n">
        <v>20</v>
      </c>
      <c r="H329" s="8" t="n">
        <f aca="false">(E329/1000)*(F329/1000)*(G329/1000)*7850</f>
        <v>2155.61</v>
      </c>
      <c r="I329" s="3" t="n">
        <v>1</v>
      </c>
      <c r="J329" s="9" t="n">
        <f aca="false">H329*I329</f>
        <v>2155.61</v>
      </c>
      <c r="K329" s="3"/>
    </row>
    <row r="330" customFormat="false" ht="19.5" hidden="false" customHeight="false" outlineLevel="0" collapsed="false">
      <c r="A330" s="3" t="s">
        <v>100</v>
      </c>
      <c r="B330" s="3" t="s">
        <v>101</v>
      </c>
      <c r="C330" s="3" t="s">
        <v>46</v>
      </c>
      <c r="D330" s="3" t="s">
        <v>8</v>
      </c>
      <c r="E330" s="3" t="n">
        <v>7900</v>
      </c>
      <c r="F330" s="3" t="n">
        <v>1200</v>
      </c>
      <c r="G330" s="3" t="n">
        <v>20</v>
      </c>
      <c r="H330" s="8" t="n">
        <f aca="false">(E330/1000)*(F330/1000)*(G330/1000)*7850</f>
        <v>1488.36</v>
      </c>
      <c r="I330" s="3" t="n">
        <v>1</v>
      </c>
      <c r="J330" s="9" t="n">
        <f aca="false">H330*I330</f>
        <v>1488.36</v>
      </c>
      <c r="K330" s="3"/>
    </row>
    <row r="331" customFormat="false" ht="19.5" hidden="false" customHeight="false" outlineLevel="0" collapsed="false">
      <c r="A331" s="3" t="s">
        <v>100</v>
      </c>
      <c r="B331" s="3" t="s">
        <v>101</v>
      </c>
      <c r="C331" s="3" t="s">
        <v>47</v>
      </c>
      <c r="D331" s="3" t="s">
        <v>8</v>
      </c>
      <c r="E331" s="3" t="n">
        <v>7100</v>
      </c>
      <c r="F331" s="3" t="n">
        <v>1200</v>
      </c>
      <c r="G331" s="3" t="n">
        <v>20</v>
      </c>
      <c r="H331" s="8" t="n">
        <f aca="false">(E331/1000)*(F331/1000)*(G331/1000)*7850</f>
        <v>1337.64</v>
      </c>
      <c r="I331" s="3" t="n">
        <v>1</v>
      </c>
      <c r="J331" s="9" t="n">
        <f aca="false">H331*I331</f>
        <v>1337.64</v>
      </c>
      <c r="K331" s="3"/>
    </row>
    <row r="332" customFormat="false" ht="19.5" hidden="false" customHeight="false" outlineLevel="0" collapsed="false">
      <c r="A332" s="3" t="s">
        <v>100</v>
      </c>
      <c r="B332" s="3" t="s">
        <v>101</v>
      </c>
      <c r="C332" s="3" t="s">
        <v>48</v>
      </c>
      <c r="D332" s="3" t="s">
        <v>8</v>
      </c>
      <c r="E332" s="3" t="n">
        <v>23460</v>
      </c>
      <c r="F332" s="3" t="n">
        <v>1000</v>
      </c>
      <c r="G332" s="3" t="n">
        <v>40</v>
      </c>
      <c r="H332" s="8" t="n">
        <f aca="false">(E332/1000)*(F332/1000)*(G332/1000)*7850</f>
        <v>7366.44</v>
      </c>
      <c r="I332" s="3" t="n">
        <v>2</v>
      </c>
      <c r="J332" s="9" t="n">
        <f aca="false">H332*I332</f>
        <v>14732.88</v>
      </c>
      <c r="K332" s="3"/>
    </row>
    <row r="333" customFormat="false" ht="19.5" hidden="false" customHeight="false" outlineLevel="0" collapsed="false">
      <c r="A333" s="3" t="s">
        <v>100</v>
      </c>
      <c r="B333" s="3" t="s">
        <v>101</v>
      </c>
      <c r="C333" s="3" t="s">
        <v>49</v>
      </c>
      <c r="D333" s="3" t="s">
        <v>8</v>
      </c>
      <c r="E333" s="3" t="n">
        <v>7300</v>
      </c>
      <c r="F333" s="3" t="n">
        <v>2048</v>
      </c>
      <c r="G333" s="3" t="n">
        <v>28</v>
      </c>
      <c r="H333" s="8" t="n">
        <f aca="false">(E333/1000)*(F333/1000)*(G333/1000)*7850</f>
        <v>3286.09792</v>
      </c>
      <c r="I333" s="3" t="n">
        <v>2</v>
      </c>
      <c r="J333" s="9" t="n">
        <f aca="false">H333*I333</f>
        <v>6572.19584</v>
      </c>
      <c r="K333" s="3"/>
    </row>
    <row r="334" customFormat="false" ht="19.5" hidden="false" customHeight="false" outlineLevel="0" collapsed="false">
      <c r="A334" s="3" t="s">
        <v>100</v>
      </c>
      <c r="B334" s="3" t="s">
        <v>101</v>
      </c>
      <c r="C334" s="3" t="s">
        <v>50</v>
      </c>
      <c r="D334" s="3" t="s">
        <v>8</v>
      </c>
      <c r="E334" s="3" t="n">
        <v>7900</v>
      </c>
      <c r="F334" s="3" t="n">
        <v>280</v>
      </c>
      <c r="G334" s="3" t="n">
        <v>24</v>
      </c>
      <c r="H334" s="8" t="n">
        <f aca="false">(E334/1000)*(F334/1000)*(G334/1000)*7850</f>
        <v>416.7408</v>
      </c>
      <c r="I334" s="3" t="n">
        <v>6</v>
      </c>
      <c r="J334" s="9" t="n">
        <f aca="false">H334*I334</f>
        <v>2500.4448</v>
      </c>
      <c r="K334" s="3"/>
    </row>
    <row r="335" customFormat="false" ht="19.5" hidden="false" customHeight="false" outlineLevel="0" collapsed="false">
      <c r="A335" s="3" t="s">
        <v>100</v>
      </c>
      <c r="B335" s="3" t="s">
        <v>101</v>
      </c>
      <c r="C335" s="3" t="s">
        <v>66</v>
      </c>
      <c r="D335" s="3" t="s">
        <v>8</v>
      </c>
      <c r="E335" s="3" t="n">
        <v>7100</v>
      </c>
      <c r="F335" s="3" t="n">
        <v>280</v>
      </c>
      <c r="G335" s="3" t="n">
        <v>24</v>
      </c>
      <c r="H335" s="8" t="n">
        <f aca="false">(E335/1000)*(F335/1000)*(G335/1000)*7850</f>
        <v>374.5392</v>
      </c>
      <c r="I335" s="3" t="n">
        <v>6</v>
      </c>
      <c r="J335" s="9" t="n">
        <f aca="false">H335*I335</f>
        <v>2247.2352</v>
      </c>
      <c r="K335" s="3"/>
    </row>
    <row r="336" customFormat="false" ht="19.5" hidden="false" customHeight="false" outlineLevel="0" collapsed="false">
      <c r="A336" s="3" t="s">
        <v>100</v>
      </c>
      <c r="B336" s="3" t="s">
        <v>101</v>
      </c>
      <c r="C336" s="3" t="s">
        <v>51</v>
      </c>
      <c r="D336" s="3" t="s">
        <v>8</v>
      </c>
      <c r="E336" s="3" t="n">
        <v>7901</v>
      </c>
      <c r="F336" s="3" t="n">
        <v>2500</v>
      </c>
      <c r="G336" s="3" t="n">
        <v>24</v>
      </c>
      <c r="H336" s="8" t="n">
        <f aca="false">(E336/1000)*(F336/1000)*(G336/1000)*7850</f>
        <v>3721.371</v>
      </c>
      <c r="I336" s="3" t="n">
        <v>1</v>
      </c>
      <c r="J336" s="9" t="n">
        <f aca="false">H336*I336</f>
        <v>3721.371</v>
      </c>
      <c r="K336" s="3"/>
    </row>
    <row r="337" customFormat="false" ht="19.5" hidden="false" customHeight="false" outlineLevel="0" collapsed="false">
      <c r="A337" s="3" t="s">
        <v>100</v>
      </c>
      <c r="B337" s="3" t="s">
        <v>101</v>
      </c>
      <c r="C337" s="3" t="s">
        <v>70</v>
      </c>
      <c r="D337" s="3" t="s">
        <v>8</v>
      </c>
      <c r="E337" s="3" t="n">
        <v>7101</v>
      </c>
      <c r="F337" s="3" t="n">
        <v>2500</v>
      </c>
      <c r="G337" s="3" t="n">
        <v>24</v>
      </c>
      <c r="H337" s="8" t="n">
        <f aca="false">(E337/1000)*(F337/1000)*(G337/1000)*7850</f>
        <v>3344.571</v>
      </c>
      <c r="I337" s="3" t="n">
        <v>1</v>
      </c>
      <c r="J337" s="9" t="n">
        <f aca="false">H337*I337</f>
        <v>3344.571</v>
      </c>
      <c r="K337" s="3"/>
    </row>
    <row r="338" customFormat="false" ht="19.5" hidden="false" customHeight="false" outlineLevel="0" collapsed="false">
      <c r="A338" s="3" t="s">
        <v>100</v>
      </c>
      <c r="B338" s="3" t="s">
        <v>101</v>
      </c>
      <c r="C338" s="3" t="s">
        <v>52</v>
      </c>
      <c r="D338" s="3" t="s">
        <v>8</v>
      </c>
      <c r="E338" s="3" t="n">
        <v>12960</v>
      </c>
      <c r="F338" s="3" t="n">
        <v>1000</v>
      </c>
      <c r="G338" s="3" t="n">
        <v>24</v>
      </c>
      <c r="H338" s="8" t="n">
        <f aca="false">(E338/1000)*(F338/1000)*(G338/1000)*7850</f>
        <v>2441.664</v>
      </c>
      <c r="I338" s="3" t="n">
        <v>1</v>
      </c>
      <c r="J338" s="9" t="n">
        <f aca="false">H338*I338</f>
        <v>2441.664</v>
      </c>
      <c r="K338" s="3"/>
    </row>
    <row r="339" customFormat="false" ht="19.5" hidden="false" customHeight="false" outlineLevel="0" collapsed="false">
      <c r="A339" s="3" t="s">
        <v>100</v>
      </c>
      <c r="B339" s="3" t="s">
        <v>101</v>
      </c>
      <c r="C339" s="3" t="s">
        <v>53</v>
      </c>
      <c r="D339" s="3" t="s">
        <v>8</v>
      </c>
      <c r="E339" s="3" t="n">
        <v>11130</v>
      </c>
      <c r="F339" s="3" t="n">
        <v>1000</v>
      </c>
      <c r="G339" s="3" t="n">
        <v>24</v>
      </c>
      <c r="H339" s="8" t="n">
        <f aca="false">(E339/1000)*(F339/1000)*(G339/1000)*7850</f>
        <v>2096.892</v>
      </c>
      <c r="I339" s="3" t="n">
        <v>1</v>
      </c>
      <c r="J339" s="9" t="n">
        <f aca="false">H339*I339</f>
        <v>2096.892</v>
      </c>
      <c r="K339" s="3"/>
    </row>
    <row r="340" customFormat="false" ht="19.5" hidden="false" customHeight="false" outlineLevel="0" collapsed="false">
      <c r="A340" s="3" t="s">
        <v>100</v>
      </c>
      <c r="B340" s="3" t="s">
        <v>101</v>
      </c>
      <c r="C340" s="3" t="s">
        <v>67</v>
      </c>
      <c r="D340" s="3" t="s">
        <v>8</v>
      </c>
      <c r="E340" s="3" t="n">
        <v>20360</v>
      </c>
      <c r="F340" s="3" t="n">
        <v>1000</v>
      </c>
      <c r="G340" s="3" t="n">
        <v>44</v>
      </c>
      <c r="H340" s="8" t="n">
        <f aca="false">(E340/1000)*(F340/1000)*(G340/1000)*7850</f>
        <v>7032.344</v>
      </c>
      <c r="I340" s="3" t="n">
        <v>2</v>
      </c>
      <c r="J340" s="9" t="n">
        <f aca="false">H340*I340</f>
        <v>14064.688</v>
      </c>
      <c r="K340" s="3"/>
    </row>
    <row r="341" customFormat="false" ht="19.5" hidden="false" customHeight="false" outlineLevel="0" collapsed="false">
      <c r="A341" s="3" t="s">
        <v>100</v>
      </c>
      <c r="B341" s="3" t="s">
        <v>101</v>
      </c>
      <c r="C341" s="3" t="s">
        <v>54</v>
      </c>
      <c r="D341" s="3" t="s">
        <v>8</v>
      </c>
      <c r="E341" s="3" t="n">
        <v>7301</v>
      </c>
      <c r="F341" s="3" t="n">
        <v>1880</v>
      </c>
      <c r="G341" s="3" t="n">
        <v>32</v>
      </c>
      <c r="H341" s="8" t="n">
        <f aca="false">(E341/1000)*(F341/1000)*(G341/1000)*7850</f>
        <v>3447.941056</v>
      </c>
      <c r="I341" s="3" t="n">
        <v>2</v>
      </c>
      <c r="J341" s="9" t="n">
        <f aca="false">H341*I341</f>
        <v>6895.882112</v>
      </c>
      <c r="K341" s="3"/>
    </row>
    <row r="342" customFormat="false" ht="19.5" hidden="false" customHeight="false" outlineLevel="0" collapsed="false">
      <c r="A342" s="3" t="s">
        <v>100</v>
      </c>
      <c r="B342" s="3" t="s">
        <v>101</v>
      </c>
      <c r="C342" s="3" t="s">
        <v>56</v>
      </c>
      <c r="D342" s="3" t="s">
        <v>8</v>
      </c>
      <c r="E342" s="3" t="n">
        <v>7101</v>
      </c>
      <c r="F342" s="3" t="n">
        <v>280</v>
      </c>
      <c r="G342" s="3" t="n">
        <v>24</v>
      </c>
      <c r="H342" s="8" t="n">
        <f aca="false">(E342/1000)*(F342/1000)*(G342/1000)*7850</f>
        <v>374.591952</v>
      </c>
      <c r="I342" s="3" t="n">
        <v>4</v>
      </c>
      <c r="J342" s="9" t="n">
        <f aca="false">H342*I342</f>
        <v>1498.367808</v>
      </c>
      <c r="K342" s="3"/>
    </row>
    <row r="343" customFormat="false" ht="19.5" hidden="false" customHeight="false" outlineLevel="0" collapsed="false">
      <c r="A343" s="3" t="s">
        <v>100</v>
      </c>
      <c r="B343" s="3" t="s">
        <v>101</v>
      </c>
      <c r="C343" s="3"/>
      <c r="D343" s="3" t="s">
        <v>8</v>
      </c>
      <c r="E343" s="3" t="n">
        <v>15002</v>
      </c>
      <c r="F343" s="3" t="n">
        <v>170</v>
      </c>
      <c r="G343" s="3" t="n">
        <v>14</v>
      </c>
      <c r="H343" s="8" t="n">
        <f aca="false">(E343/1000)*(F343/1000)*(G343/1000)*7850</f>
        <v>280.282366</v>
      </c>
      <c r="I343" s="3" t="n">
        <v>2</v>
      </c>
      <c r="J343" s="9" t="n">
        <f aca="false">H343*I343</f>
        <v>560.564732</v>
      </c>
      <c r="K343" s="3"/>
    </row>
    <row r="344" customFormat="false" ht="19.5" hidden="false" customHeight="false" outlineLevel="0" collapsed="false">
      <c r="A344" s="3" t="s">
        <v>100</v>
      </c>
      <c r="B344" s="3" t="s">
        <v>101</v>
      </c>
      <c r="C344" s="3" t="s">
        <v>59</v>
      </c>
      <c r="D344" s="3" t="s">
        <v>8</v>
      </c>
      <c r="E344" s="3" t="n">
        <v>11958</v>
      </c>
      <c r="F344" s="3" t="n">
        <v>1200</v>
      </c>
      <c r="G344" s="3" t="n">
        <v>32</v>
      </c>
      <c r="H344" s="8" t="n">
        <f aca="false">(E344/1000)*(F344/1000)*(G344/1000)*7850</f>
        <v>3604.61952</v>
      </c>
      <c r="I344" s="3" t="n">
        <v>1</v>
      </c>
      <c r="J344" s="9" t="n">
        <f aca="false">H344*I344</f>
        <v>3604.61952</v>
      </c>
      <c r="K344" s="3"/>
    </row>
    <row r="345" customFormat="false" ht="19.5" hidden="false" customHeight="false" outlineLevel="0" collapsed="false">
      <c r="A345" s="3" t="s">
        <v>100</v>
      </c>
      <c r="B345" s="3" t="s">
        <v>101</v>
      </c>
      <c r="C345" s="3" t="s">
        <v>60</v>
      </c>
      <c r="D345" s="3" t="s">
        <v>8</v>
      </c>
      <c r="E345" s="3" t="n">
        <v>10558</v>
      </c>
      <c r="F345" s="3" t="n">
        <v>240</v>
      </c>
      <c r="G345" s="3" t="n">
        <v>24</v>
      </c>
      <c r="H345" s="8" t="n">
        <f aca="false">(E345/1000)*(F345/1000)*(G345/1000)*7850</f>
        <v>477.390528</v>
      </c>
      <c r="I345" s="3" t="n">
        <v>2</v>
      </c>
      <c r="J345" s="9" t="n">
        <f aca="false">H345*I345</f>
        <v>954.781056</v>
      </c>
      <c r="K345" s="3"/>
    </row>
    <row r="346" customFormat="false" ht="19.5" hidden="false" customHeight="false" outlineLevel="0" collapsed="false">
      <c r="A346" s="3" t="s">
        <v>100</v>
      </c>
      <c r="B346" s="3" t="s">
        <v>101</v>
      </c>
      <c r="C346" s="3" t="s">
        <v>61</v>
      </c>
      <c r="D346" s="3" t="s">
        <v>8</v>
      </c>
      <c r="E346" s="3" t="n">
        <v>5482</v>
      </c>
      <c r="F346" s="3" t="n">
        <v>1200</v>
      </c>
      <c r="G346" s="3" t="n">
        <v>36</v>
      </c>
      <c r="H346" s="8" t="n">
        <f aca="false">(E346/1000)*(F346/1000)*(G346/1000)*7850</f>
        <v>1859.05584</v>
      </c>
      <c r="I346" s="3" t="n">
        <v>1</v>
      </c>
      <c r="J346" s="9" t="n">
        <f aca="false">H346*I346</f>
        <v>1859.05584</v>
      </c>
      <c r="K346" s="3"/>
    </row>
    <row r="347" customFormat="false" ht="19.5" hidden="false" customHeight="false" outlineLevel="0" collapsed="false">
      <c r="A347" s="3" t="s">
        <v>100</v>
      </c>
      <c r="B347" s="3" t="s">
        <v>101</v>
      </c>
      <c r="C347" s="3" t="s">
        <v>102</v>
      </c>
      <c r="D347" s="3" t="s">
        <v>8</v>
      </c>
      <c r="E347" s="3" t="n">
        <v>5782</v>
      </c>
      <c r="F347" s="3" t="n">
        <v>1200</v>
      </c>
      <c r="G347" s="3" t="n">
        <v>36</v>
      </c>
      <c r="H347" s="8" t="n">
        <f aca="false">(E347/1000)*(F347/1000)*(G347/1000)*7850</f>
        <v>1960.79184</v>
      </c>
      <c r="I347" s="3" t="n">
        <v>1</v>
      </c>
      <c r="J347" s="9" t="n">
        <f aca="false">H347*I347</f>
        <v>1960.79184</v>
      </c>
      <c r="K347" s="3"/>
    </row>
    <row r="348" customFormat="false" ht="19.5" hidden="false" customHeight="false" outlineLevel="0" collapsed="false">
      <c r="A348" s="3" t="s">
        <v>100</v>
      </c>
      <c r="B348" s="3" t="s">
        <v>101</v>
      </c>
      <c r="C348" s="3" t="s">
        <v>86</v>
      </c>
      <c r="D348" s="3" t="s">
        <v>8</v>
      </c>
      <c r="E348" s="3" t="n">
        <v>3682</v>
      </c>
      <c r="F348" s="3" t="n">
        <v>320</v>
      </c>
      <c r="G348" s="3" t="n">
        <v>32</v>
      </c>
      <c r="H348" s="8" t="n">
        <f aca="false">(E348/1000)*(F348/1000)*(G348/1000)*7850</f>
        <v>295.973888</v>
      </c>
      <c r="I348" s="3" t="n">
        <v>2</v>
      </c>
      <c r="J348" s="9" t="n">
        <f aca="false">H348*I348</f>
        <v>591.947776</v>
      </c>
      <c r="K348" s="3"/>
    </row>
    <row r="349" customFormat="false" ht="19.5" hidden="false" customHeight="false" outlineLevel="0" collapsed="false">
      <c r="A349" s="3" t="s">
        <v>100</v>
      </c>
      <c r="B349" s="3" t="s">
        <v>101</v>
      </c>
      <c r="C349" s="3" t="s">
        <v>103</v>
      </c>
      <c r="D349" s="3" t="s">
        <v>8</v>
      </c>
      <c r="E349" s="3" t="n">
        <v>4782</v>
      </c>
      <c r="F349" s="3" t="n">
        <v>320</v>
      </c>
      <c r="G349" s="3" t="n">
        <v>32</v>
      </c>
      <c r="H349" s="8" t="n">
        <f aca="false">(E349/1000)*(F349/1000)*(G349/1000)*7850</f>
        <v>384.396288</v>
      </c>
      <c r="I349" s="3" t="n">
        <v>1</v>
      </c>
      <c r="J349" s="9" t="n">
        <f aca="false">H349*I349</f>
        <v>384.396288</v>
      </c>
      <c r="K349" s="3"/>
    </row>
    <row r="350" customFormat="false" ht="19.5" hidden="false" customHeight="false" outlineLevel="0" collapsed="false">
      <c r="A350" s="3" t="s">
        <v>100</v>
      </c>
      <c r="B350" s="3" t="s">
        <v>101</v>
      </c>
      <c r="C350" s="3" t="s">
        <v>104</v>
      </c>
      <c r="D350" s="3" t="s">
        <v>8</v>
      </c>
      <c r="E350" s="3" t="n">
        <v>5082</v>
      </c>
      <c r="F350" s="3" t="n">
        <v>320</v>
      </c>
      <c r="G350" s="3" t="n">
        <v>32</v>
      </c>
      <c r="H350" s="8" t="n">
        <f aca="false">(E350/1000)*(F350/1000)*(G350/1000)*7850</f>
        <v>408.511488</v>
      </c>
      <c r="I350" s="3" t="n">
        <v>1</v>
      </c>
      <c r="J350" s="9" t="n">
        <f aca="false">H350*I350</f>
        <v>408.511488</v>
      </c>
      <c r="K350" s="3"/>
    </row>
    <row r="351" customFormat="false" ht="19.5" hidden="false" customHeight="false" outlineLevel="0" collapsed="false">
      <c r="A351" s="3" t="s">
        <v>100</v>
      </c>
      <c r="B351" s="3" t="s">
        <v>101</v>
      </c>
      <c r="C351" s="3" t="s">
        <v>97</v>
      </c>
      <c r="D351" s="3" t="s">
        <v>8</v>
      </c>
      <c r="E351" s="3" t="n">
        <v>3714</v>
      </c>
      <c r="F351" s="3" t="n">
        <v>900</v>
      </c>
      <c r="G351" s="3" t="n">
        <v>36</v>
      </c>
      <c r="H351" s="8" t="n">
        <f aca="false">(E351/1000)*(F351/1000)*(G351/1000)*7850</f>
        <v>944.61876</v>
      </c>
      <c r="I351" s="3" t="n">
        <v>2</v>
      </c>
      <c r="J351" s="9" t="n">
        <f aca="false">H351*I351</f>
        <v>1889.23752</v>
      </c>
      <c r="K351" s="3"/>
    </row>
    <row r="352" customFormat="false" ht="19.5" hidden="false" customHeight="false" outlineLevel="0" collapsed="false">
      <c r="A352" s="3" t="s">
        <v>100</v>
      </c>
      <c r="B352" s="3" t="s">
        <v>101</v>
      </c>
      <c r="C352" s="3" t="s">
        <v>88</v>
      </c>
      <c r="D352" s="3" t="s">
        <v>8</v>
      </c>
      <c r="E352" s="3" t="n">
        <v>5914</v>
      </c>
      <c r="F352" s="3" t="n">
        <v>1200</v>
      </c>
      <c r="G352" s="3" t="n">
        <v>32</v>
      </c>
      <c r="H352" s="8" t="n">
        <f aca="false">(E352/1000)*(F352/1000)*(G352/1000)*7850</f>
        <v>1782.71616</v>
      </c>
      <c r="I352" s="3" t="n">
        <v>1</v>
      </c>
      <c r="J352" s="9" t="n">
        <f aca="false">H352*I352</f>
        <v>1782.71616</v>
      </c>
      <c r="K352" s="3"/>
    </row>
    <row r="353" customFormat="false" ht="19.5" hidden="false" customHeight="false" outlineLevel="0" collapsed="false">
      <c r="A353" s="3" t="s">
        <v>100</v>
      </c>
      <c r="B353" s="3" t="s">
        <v>101</v>
      </c>
      <c r="C353" s="3" t="s">
        <v>89</v>
      </c>
      <c r="D353" s="3" t="s">
        <v>8</v>
      </c>
      <c r="E353" s="3" t="n">
        <v>4514</v>
      </c>
      <c r="F353" s="3" t="n">
        <v>240</v>
      </c>
      <c r="G353" s="3" t="n">
        <v>24</v>
      </c>
      <c r="H353" s="8" t="n">
        <f aca="false">(E353/1000)*(F353/1000)*(G353/1000)*7850</f>
        <v>204.105024</v>
      </c>
      <c r="I353" s="3" t="n">
        <v>2</v>
      </c>
      <c r="J353" s="9" t="n">
        <f aca="false">H353*I353</f>
        <v>408.210048</v>
      </c>
      <c r="K353" s="3"/>
    </row>
    <row r="354" customFormat="false" ht="19.5" hidden="false" customHeight="false" outlineLevel="0" collapsed="false">
      <c r="A354" s="3" t="s">
        <v>100</v>
      </c>
      <c r="B354" s="3" t="s">
        <v>101</v>
      </c>
      <c r="C354" s="3" t="s">
        <v>92</v>
      </c>
      <c r="D354" s="3" t="s">
        <v>8</v>
      </c>
      <c r="E354" s="3" t="n">
        <v>2300</v>
      </c>
      <c r="F354" s="3" t="n">
        <v>320</v>
      </c>
      <c r="G354" s="3" t="n">
        <v>32</v>
      </c>
      <c r="H354" s="8" t="n">
        <f aca="false">(E354/1000)*(F354/1000)*(G354/1000)*7850</f>
        <v>184.8832</v>
      </c>
      <c r="I354" s="3" t="n">
        <v>2</v>
      </c>
      <c r="J354" s="9" t="n">
        <f aca="false">H354*I354</f>
        <v>369.7664</v>
      </c>
      <c r="K354" s="3"/>
    </row>
    <row r="355" customFormat="false" ht="19.5" hidden="false" customHeight="false" outlineLevel="0" collapsed="false">
      <c r="A355" s="3" t="s">
        <v>100</v>
      </c>
      <c r="B355" s="3" t="s">
        <v>101</v>
      </c>
      <c r="C355" s="3" t="s">
        <v>93</v>
      </c>
      <c r="D355" s="3" t="s">
        <v>8</v>
      </c>
      <c r="E355" s="3" t="n">
        <v>1200</v>
      </c>
      <c r="F355" s="3" t="n">
        <v>980</v>
      </c>
      <c r="G355" s="3" t="n">
        <v>20</v>
      </c>
      <c r="H355" s="8" t="n">
        <f aca="false">(E355/1000)*(F355/1000)*(G355/1000)*7850</f>
        <v>184.632</v>
      </c>
      <c r="I355" s="3" t="n">
        <v>1</v>
      </c>
      <c r="J355" s="9" t="n">
        <f aca="false">H355*I355</f>
        <v>184.632</v>
      </c>
      <c r="K355" s="3"/>
    </row>
    <row r="356" customFormat="false" ht="19.5" hidden="false" customHeight="false" outlineLevel="0" collapsed="false">
      <c r="A356" s="3" t="s">
        <v>105</v>
      </c>
      <c r="B356" s="3" t="s">
        <v>106</v>
      </c>
      <c r="C356" s="3" t="s">
        <v>44</v>
      </c>
      <c r="D356" s="3" t="s">
        <v>8</v>
      </c>
      <c r="E356" s="3" t="n">
        <v>15280</v>
      </c>
      <c r="F356" s="3" t="n">
        <v>1000</v>
      </c>
      <c r="G356" s="3" t="n">
        <v>20</v>
      </c>
      <c r="H356" s="8" t="n">
        <f aca="false">(E356/1000)*(F356/1000)*(G356/1000)*7850</f>
        <v>2398.96</v>
      </c>
      <c r="I356" s="3" t="n">
        <v>1</v>
      </c>
      <c r="J356" s="9" t="n">
        <f aca="false">H356*I356</f>
        <v>2398.96</v>
      </c>
      <c r="K356" s="3"/>
    </row>
    <row r="357" customFormat="false" ht="19.5" hidden="false" customHeight="false" outlineLevel="0" collapsed="false">
      <c r="A357" s="3" t="s">
        <v>105</v>
      </c>
      <c r="B357" s="3" t="s">
        <v>106</v>
      </c>
      <c r="C357" s="3" t="s">
        <v>45</v>
      </c>
      <c r="D357" s="3" t="s">
        <v>8</v>
      </c>
      <c r="E357" s="3" t="n">
        <v>13730</v>
      </c>
      <c r="F357" s="3" t="n">
        <v>1000</v>
      </c>
      <c r="G357" s="3" t="n">
        <v>20</v>
      </c>
      <c r="H357" s="8" t="n">
        <f aca="false">(E357/1000)*(F357/1000)*(G357/1000)*7850</f>
        <v>2155.61</v>
      </c>
      <c r="I357" s="3" t="n">
        <v>1</v>
      </c>
      <c r="J357" s="9" t="n">
        <f aca="false">H357*I357</f>
        <v>2155.61</v>
      </c>
      <c r="K357" s="3"/>
    </row>
    <row r="358" customFormat="false" ht="19.5" hidden="false" customHeight="false" outlineLevel="0" collapsed="false">
      <c r="A358" s="3" t="s">
        <v>105</v>
      </c>
      <c r="B358" s="3" t="s">
        <v>106</v>
      </c>
      <c r="C358" s="3" t="s">
        <v>46</v>
      </c>
      <c r="D358" s="3" t="s">
        <v>8</v>
      </c>
      <c r="E358" s="3" t="n">
        <v>7900</v>
      </c>
      <c r="F358" s="3" t="n">
        <v>1200</v>
      </c>
      <c r="G358" s="3" t="n">
        <v>20</v>
      </c>
      <c r="H358" s="8" t="n">
        <f aca="false">(E358/1000)*(F358/1000)*(G358/1000)*7850</f>
        <v>1488.36</v>
      </c>
      <c r="I358" s="3" t="n">
        <v>1</v>
      </c>
      <c r="J358" s="9" t="n">
        <f aca="false">H358*I358</f>
        <v>1488.36</v>
      </c>
      <c r="K358" s="3"/>
    </row>
    <row r="359" customFormat="false" ht="19.5" hidden="false" customHeight="false" outlineLevel="0" collapsed="false">
      <c r="A359" s="3" t="s">
        <v>105</v>
      </c>
      <c r="B359" s="3" t="s">
        <v>106</v>
      </c>
      <c r="C359" s="3" t="s">
        <v>47</v>
      </c>
      <c r="D359" s="3" t="s">
        <v>8</v>
      </c>
      <c r="E359" s="3" t="n">
        <v>7100</v>
      </c>
      <c r="F359" s="3" t="n">
        <v>1200</v>
      </c>
      <c r="G359" s="3" t="n">
        <v>20</v>
      </c>
      <c r="H359" s="8" t="n">
        <f aca="false">(E359/1000)*(F359/1000)*(G359/1000)*7850</f>
        <v>1337.64</v>
      </c>
      <c r="I359" s="3" t="n">
        <v>1</v>
      </c>
      <c r="J359" s="9" t="n">
        <f aca="false">H359*I359</f>
        <v>1337.64</v>
      </c>
      <c r="K359" s="3"/>
    </row>
    <row r="360" customFormat="false" ht="19.5" hidden="false" customHeight="false" outlineLevel="0" collapsed="false">
      <c r="A360" s="3" t="s">
        <v>105</v>
      </c>
      <c r="B360" s="3" t="s">
        <v>106</v>
      </c>
      <c r="C360" s="3" t="s">
        <v>48</v>
      </c>
      <c r="D360" s="3" t="s">
        <v>8</v>
      </c>
      <c r="E360" s="3" t="n">
        <v>24520</v>
      </c>
      <c r="F360" s="3" t="n">
        <v>1000</v>
      </c>
      <c r="G360" s="3" t="n">
        <v>40</v>
      </c>
      <c r="H360" s="8" t="n">
        <f aca="false">(E360/1000)*(F360/1000)*(G360/1000)*7850</f>
        <v>7699.28</v>
      </c>
      <c r="I360" s="3" t="n">
        <v>2</v>
      </c>
      <c r="J360" s="9" t="n">
        <f aca="false">H360*I360</f>
        <v>15398.56</v>
      </c>
      <c r="K360" s="3"/>
    </row>
    <row r="361" customFormat="false" ht="19.5" hidden="false" customHeight="false" outlineLevel="0" collapsed="false">
      <c r="A361" s="3" t="s">
        <v>105</v>
      </c>
      <c r="B361" s="3" t="s">
        <v>106</v>
      </c>
      <c r="C361" s="3" t="s">
        <v>50</v>
      </c>
      <c r="D361" s="3" t="s">
        <v>8</v>
      </c>
      <c r="E361" s="3" t="n">
        <v>7900</v>
      </c>
      <c r="F361" s="3" t="n">
        <v>280</v>
      </c>
      <c r="G361" s="3" t="n">
        <v>24</v>
      </c>
      <c r="H361" s="8" t="n">
        <f aca="false">(E361/1000)*(F361/1000)*(G361/1000)*7850</f>
        <v>416.7408</v>
      </c>
      <c r="I361" s="3" t="n">
        <v>6</v>
      </c>
      <c r="J361" s="9" t="n">
        <f aca="false">H361*I361</f>
        <v>2500.4448</v>
      </c>
      <c r="K361" s="3"/>
    </row>
    <row r="362" customFormat="false" ht="19.5" hidden="false" customHeight="false" outlineLevel="0" collapsed="false">
      <c r="A362" s="3" t="s">
        <v>105</v>
      </c>
      <c r="B362" s="3" t="s">
        <v>106</v>
      </c>
      <c r="C362" s="3" t="s">
        <v>66</v>
      </c>
      <c r="D362" s="3" t="s">
        <v>8</v>
      </c>
      <c r="E362" s="3" t="n">
        <v>7100</v>
      </c>
      <c r="F362" s="3" t="n">
        <v>280</v>
      </c>
      <c r="G362" s="3" t="n">
        <v>24</v>
      </c>
      <c r="H362" s="8" t="n">
        <f aca="false">(E362/1000)*(F362/1000)*(G362/1000)*7850</f>
        <v>374.5392</v>
      </c>
      <c r="I362" s="3" t="n">
        <v>6</v>
      </c>
      <c r="J362" s="9" t="n">
        <f aca="false">H362*I362</f>
        <v>2247.2352</v>
      </c>
      <c r="K362" s="3"/>
    </row>
    <row r="363" customFormat="false" ht="19.5" hidden="false" customHeight="false" outlineLevel="0" collapsed="false">
      <c r="A363" s="3" t="s">
        <v>105</v>
      </c>
      <c r="B363" s="3" t="s">
        <v>106</v>
      </c>
      <c r="C363" s="3" t="s">
        <v>51</v>
      </c>
      <c r="D363" s="3" t="s">
        <v>8</v>
      </c>
      <c r="E363" s="3" t="n">
        <v>7901</v>
      </c>
      <c r="F363" s="3" t="n">
        <v>2500</v>
      </c>
      <c r="G363" s="3" t="n">
        <v>24</v>
      </c>
      <c r="H363" s="8" t="n">
        <f aca="false">(E363/1000)*(F363/1000)*(G363/1000)*7850</f>
        <v>3721.371</v>
      </c>
      <c r="I363" s="3" t="n">
        <v>1</v>
      </c>
      <c r="J363" s="9" t="n">
        <f aca="false">H363*I363</f>
        <v>3721.371</v>
      </c>
      <c r="K363" s="3"/>
    </row>
    <row r="364" customFormat="false" ht="19.5" hidden="false" customHeight="false" outlineLevel="0" collapsed="false">
      <c r="A364" s="3" t="s">
        <v>105</v>
      </c>
      <c r="B364" s="3" t="s">
        <v>106</v>
      </c>
      <c r="C364" s="3" t="s">
        <v>70</v>
      </c>
      <c r="D364" s="3" t="s">
        <v>8</v>
      </c>
      <c r="E364" s="3" t="n">
        <v>7101</v>
      </c>
      <c r="F364" s="3" t="n">
        <v>2500</v>
      </c>
      <c r="G364" s="3" t="n">
        <v>24</v>
      </c>
      <c r="H364" s="8" t="n">
        <f aca="false">(E364/1000)*(F364/1000)*(G364/1000)*7850</f>
        <v>3344.571</v>
      </c>
      <c r="I364" s="3" t="n">
        <v>1</v>
      </c>
      <c r="J364" s="9" t="n">
        <f aca="false">H364*I364</f>
        <v>3344.571</v>
      </c>
      <c r="K364" s="3"/>
    </row>
    <row r="365" customFormat="false" ht="19.5" hidden="false" customHeight="false" outlineLevel="0" collapsed="false">
      <c r="A365" s="3" t="s">
        <v>105</v>
      </c>
      <c r="B365" s="3" t="s">
        <v>106</v>
      </c>
      <c r="C365" s="3" t="s">
        <v>52</v>
      </c>
      <c r="D365" s="3" t="s">
        <v>8</v>
      </c>
      <c r="E365" s="3" t="n">
        <v>12960</v>
      </c>
      <c r="F365" s="3" t="n">
        <v>1000</v>
      </c>
      <c r="G365" s="3" t="n">
        <v>24</v>
      </c>
      <c r="H365" s="8" t="n">
        <f aca="false">(E365/1000)*(F365/1000)*(G365/1000)*7850</f>
        <v>2441.664</v>
      </c>
      <c r="I365" s="3" t="n">
        <v>1</v>
      </c>
      <c r="J365" s="9" t="n">
        <f aca="false">H365*I365</f>
        <v>2441.664</v>
      </c>
      <c r="K365" s="3"/>
    </row>
    <row r="366" customFormat="false" ht="19.5" hidden="false" customHeight="false" outlineLevel="0" collapsed="false">
      <c r="A366" s="3" t="s">
        <v>105</v>
      </c>
      <c r="B366" s="3" t="s">
        <v>106</v>
      </c>
      <c r="C366" s="3" t="s">
        <v>67</v>
      </c>
      <c r="D366" s="3" t="s">
        <v>8</v>
      </c>
      <c r="E366" s="3" t="n">
        <v>22500</v>
      </c>
      <c r="F366" s="3" t="n">
        <v>1000</v>
      </c>
      <c r="G366" s="3" t="n">
        <v>44</v>
      </c>
      <c r="H366" s="8" t="n">
        <f aca="false">(E366/1000)*(F366/1000)*(G366/1000)*7850</f>
        <v>7771.5</v>
      </c>
      <c r="I366" s="3" t="n">
        <v>2</v>
      </c>
      <c r="J366" s="9" t="n">
        <f aca="false">H366*I366</f>
        <v>15543</v>
      </c>
      <c r="K366" s="3"/>
    </row>
    <row r="367" customFormat="false" ht="19.5" hidden="false" customHeight="false" outlineLevel="0" collapsed="false">
      <c r="A367" s="3" t="s">
        <v>105</v>
      </c>
      <c r="B367" s="3" t="s">
        <v>106</v>
      </c>
      <c r="C367" s="3" t="s">
        <v>54</v>
      </c>
      <c r="D367" s="3" t="s">
        <v>8</v>
      </c>
      <c r="E367" s="3" t="n">
        <v>7301</v>
      </c>
      <c r="F367" s="3" t="n">
        <v>1880</v>
      </c>
      <c r="G367" s="3" t="n">
        <v>32</v>
      </c>
      <c r="H367" s="8" t="n">
        <f aca="false">(E367/1000)*(F367/1000)*(G367/1000)*7850</f>
        <v>3447.941056</v>
      </c>
      <c r="I367" s="3" t="n">
        <v>2</v>
      </c>
      <c r="J367" s="9" t="n">
        <f aca="false">H367*I367</f>
        <v>6895.882112</v>
      </c>
      <c r="K367" s="3"/>
    </row>
    <row r="368" customFormat="false" ht="19.5" hidden="false" customHeight="false" outlineLevel="0" collapsed="false">
      <c r="A368" s="3" t="s">
        <v>105</v>
      </c>
      <c r="B368" s="3" t="s">
        <v>106</v>
      </c>
      <c r="C368" s="3" t="s">
        <v>55</v>
      </c>
      <c r="D368" s="3" t="s">
        <v>8</v>
      </c>
      <c r="E368" s="3" t="n">
        <v>7901</v>
      </c>
      <c r="F368" s="3" t="n">
        <v>280</v>
      </c>
      <c r="G368" s="3" t="n">
        <v>24</v>
      </c>
      <c r="H368" s="8" t="n">
        <f aca="false">(E368/1000)*(F368/1000)*(G368/1000)*7850</f>
        <v>416.793552</v>
      </c>
      <c r="I368" s="3" t="n">
        <v>4</v>
      </c>
      <c r="J368" s="9" t="n">
        <f aca="false">H368*I368</f>
        <v>1667.174208</v>
      </c>
      <c r="K368" s="3"/>
    </row>
    <row r="369" customFormat="false" ht="19.5" hidden="false" customHeight="false" outlineLevel="0" collapsed="false">
      <c r="A369" s="3" t="s">
        <v>105</v>
      </c>
      <c r="B369" s="3" t="s">
        <v>106</v>
      </c>
      <c r="C369" s="3" t="s">
        <v>56</v>
      </c>
      <c r="D369" s="3" t="s">
        <v>8</v>
      </c>
      <c r="E369" s="3" t="n">
        <v>7101</v>
      </c>
      <c r="F369" s="3" t="n">
        <v>280</v>
      </c>
      <c r="G369" s="3" t="n">
        <v>24</v>
      </c>
      <c r="H369" s="8" t="n">
        <f aca="false">(E369/1000)*(F369/1000)*(G369/1000)*7850</f>
        <v>374.591952</v>
      </c>
      <c r="I369" s="3" t="n">
        <v>4</v>
      </c>
      <c r="J369" s="9" t="n">
        <f aca="false">H369*I369</f>
        <v>1498.367808</v>
      </c>
      <c r="K369" s="3"/>
    </row>
    <row r="370" customFormat="false" ht="19.5" hidden="false" customHeight="false" outlineLevel="0" collapsed="false">
      <c r="A370" s="3" t="s">
        <v>105</v>
      </c>
      <c r="B370" s="3" t="s">
        <v>106</v>
      </c>
      <c r="C370" s="3" t="s">
        <v>58</v>
      </c>
      <c r="D370" s="3" t="s">
        <v>8</v>
      </c>
      <c r="E370" s="3" t="n">
        <v>11383</v>
      </c>
      <c r="F370" s="3" t="n">
        <v>1200</v>
      </c>
      <c r="G370" s="3" t="n">
        <v>36</v>
      </c>
      <c r="H370" s="8" t="n">
        <f aca="false">(E370/1000)*(F370/1000)*(G370/1000)*7850</f>
        <v>3860.20296</v>
      </c>
      <c r="I370" s="3" t="n">
        <v>1</v>
      </c>
      <c r="J370" s="9" t="n">
        <f aca="false">H370*I370</f>
        <v>3860.20296</v>
      </c>
      <c r="K370" s="3"/>
    </row>
    <row r="371" customFormat="false" ht="19.5" hidden="false" customHeight="false" outlineLevel="0" collapsed="false">
      <c r="A371" s="3" t="s">
        <v>105</v>
      </c>
      <c r="B371" s="3" t="s">
        <v>106</v>
      </c>
      <c r="C371" s="3" t="s">
        <v>58</v>
      </c>
      <c r="D371" s="3" t="s">
        <v>8</v>
      </c>
      <c r="E371" s="3" t="n">
        <v>11283</v>
      </c>
      <c r="F371" s="3" t="n">
        <v>1200</v>
      </c>
      <c r="G371" s="3" t="n">
        <v>36</v>
      </c>
      <c r="H371" s="8" t="n">
        <f aca="false">(E371/1000)*(F371/1000)*(G371/1000)*7850</f>
        <v>3826.29096</v>
      </c>
      <c r="I371" s="3" t="n">
        <v>1</v>
      </c>
      <c r="J371" s="9" t="n">
        <f aca="false">H371*I371</f>
        <v>3826.29096</v>
      </c>
      <c r="K371" s="3"/>
    </row>
    <row r="372" customFormat="false" ht="19.5" hidden="false" customHeight="false" outlineLevel="0" collapsed="false">
      <c r="A372" s="3" t="s">
        <v>105</v>
      </c>
      <c r="B372" s="3" t="s">
        <v>106</v>
      </c>
      <c r="C372" s="3" t="s">
        <v>58</v>
      </c>
      <c r="D372" s="3" t="s">
        <v>8</v>
      </c>
      <c r="E372" s="3" t="n">
        <v>7383</v>
      </c>
      <c r="F372" s="3" t="n">
        <v>1360</v>
      </c>
      <c r="G372" s="3" t="n">
        <v>36</v>
      </c>
      <c r="H372" s="8" t="n">
        <f aca="false">(E372/1000)*(F372/1000)*(G372/1000)*7850</f>
        <v>2837.552688</v>
      </c>
      <c r="I372" s="3" t="n">
        <v>2</v>
      </c>
      <c r="J372" s="9" t="n">
        <f aca="false">H372*I372</f>
        <v>5675.105376</v>
      </c>
      <c r="K372" s="3"/>
    </row>
    <row r="373" customFormat="false" ht="19.5" hidden="false" customHeight="false" outlineLevel="0" collapsed="false">
      <c r="A373" s="3" t="s">
        <v>105</v>
      </c>
      <c r="B373" s="3" t="s">
        <v>106</v>
      </c>
      <c r="C373" s="3" t="s">
        <v>58</v>
      </c>
      <c r="D373" s="3" t="s">
        <v>8</v>
      </c>
      <c r="E373" s="3" t="n">
        <v>7383</v>
      </c>
      <c r="F373" s="3" t="n">
        <v>320</v>
      </c>
      <c r="G373" s="3" t="n">
        <v>32</v>
      </c>
      <c r="H373" s="8" t="n">
        <f aca="false">(E373/1000)*(F373/1000)*(G373/1000)*7850</f>
        <v>593.475072</v>
      </c>
      <c r="I373" s="3" t="n">
        <v>2</v>
      </c>
      <c r="J373" s="9" t="n">
        <f aca="false">H373*I373</f>
        <v>1186.950144</v>
      </c>
      <c r="K373" s="3"/>
    </row>
    <row r="374" customFormat="false" ht="19.5" hidden="false" customHeight="false" outlineLevel="0" collapsed="false">
      <c r="A374" s="3" t="s">
        <v>105</v>
      </c>
      <c r="B374" s="3" t="s">
        <v>106</v>
      </c>
      <c r="C374" s="3" t="s">
        <v>58</v>
      </c>
      <c r="D374" s="3" t="s">
        <v>8</v>
      </c>
      <c r="E374" s="3" t="n">
        <v>9983</v>
      </c>
      <c r="F374" s="3" t="n">
        <v>320</v>
      </c>
      <c r="G374" s="3" t="n">
        <v>32</v>
      </c>
      <c r="H374" s="8" t="n">
        <f aca="false">(E374/1000)*(F374/1000)*(G374/1000)*7850</f>
        <v>802.473472</v>
      </c>
      <c r="I374" s="3" t="n">
        <v>1</v>
      </c>
      <c r="J374" s="9" t="n">
        <f aca="false">H374*I374</f>
        <v>802.473472</v>
      </c>
      <c r="K374" s="3"/>
    </row>
    <row r="375" customFormat="false" ht="19.5" hidden="false" customHeight="false" outlineLevel="0" collapsed="false">
      <c r="A375" s="3" t="s">
        <v>105</v>
      </c>
      <c r="B375" s="3" t="s">
        <v>106</v>
      </c>
      <c r="C375" s="3" t="s">
        <v>71</v>
      </c>
      <c r="D375" s="3" t="s">
        <v>8</v>
      </c>
      <c r="E375" s="3" t="n">
        <v>9883</v>
      </c>
      <c r="F375" s="3" t="n">
        <v>320</v>
      </c>
      <c r="G375" s="3" t="n">
        <v>32</v>
      </c>
      <c r="H375" s="8" t="n">
        <f aca="false">(E375/1000)*(F375/1000)*(G375/1000)*7850</f>
        <v>794.435072</v>
      </c>
      <c r="I375" s="3" t="n">
        <v>1</v>
      </c>
      <c r="J375" s="9" t="n">
        <f aca="false">H375*I375</f>
        <v>794.435072</v>
      </c>
      <c r="K375" s="3"/>
    </row>
    <row r="376" customFormat="false" ht="19.5" hidden="false" customHeight="false" outlineLevel="0" collapsed="false">
      <c r="A376" s="3" t="s">
        <v>105</v>
      </c>
      <c r="B376" s="3" t="s">
        <v>106</v>
      </c>
      <c r="C376" s="3" t="s">
        <v>61</v>
      </c>
      <c r="D376" s="3" t="s">
        <v>8</v>
      </c>
      <c r="E376" s="3" t="n">
        <v>5458</v>
      </c>
      <c r="F376" s="3" t="n">
        <v>1200</v>
      </c>
      <c r="G376" s="3" t="n">
        <v>36</v>
      </c>
      <c r="H376" s="8" t="n">
        <f aca="false">(E376/1000)*(F376/1000)*(G376/1000)*7850</f>
        <v>1850.91696</v>
      </c>
      <c r="I376" s="3" t="n">
        <v>1</v>
      </c>
      <c r="J376" s="9" t="n">
        <f aca="false">H376*I376</f>
        <v>1850.91696</v>
      </c>
      <c r="K376" s="3"/>
    </row>
    <row r="377" customFormat="false" ht="19.5" hidden="false" customHeight="false" outlineLevel="0" collapsed="false">
      <c r="A377" s="3" t="s">
        <v>105</v>
      </c>
      <c r="B377" s="3" t="s">
        <v>106</v>
      </c>
      <c r="C377" s="3" t="s">
        <v>102</v>
      </c>
      <c r="D377" s="3" t="s">
        <v>8</v>
      </c>
      <c r="E377" s="3" t="n">
        <v>5758</v>
      </c>
      <c r="F377" s="3" t="n">
        <v>1200</v>
      </c>
      <c r="G377" s="3" t="n">
        <v>36</v>
      </c>
      <c r="H377" s="8" t="n">
        <f aca="false">(E377/1000)*(F377/1000)*(G377/1000)*7850</f>
        <v>1952.65296</v>
      </c>
      <c r="I377" s="3" t="n">
        <v>1</v>
      </c>
      <c r="J377" s="9" t="n">
        <f aca="false">H377*I377</f>
        <v>1952.65296</v>
      </c>
      <c r="K377" s="3"/>
    </row>
    <row r="378" customFormat="false" ht="19.5" hidden="false" customHeight="false" outlineLevel="0" collapsed="false">
      <c r="A378" s="3" t="s">
        <v>105</v>
      </c>
      <c r="B378" s="3" t="s">
        <v>106</v>
      </c>
      <c r="C378" s="3" t="s">
        <v>85</v>
      </c>
      <c r="D378" s="3" t="s">
        <v>8</v>
      </c>
      <c r="E378" s="3" t="n">
        <v>3658</v>
      </c>
      <c r="F378" s="3" t="n">
        <v>1360</v>
      </c>
      <c r="G378" s="3" t="n">
        <v>36</v>
      </c>
      <c r="H378" s="8" t="n">
        <f aca="false">(E378/1000)*(F378/1000)*(G378/1000)*7850</f>
        <v>1405.901088</v>
      </c>
      <c r="I378" s="3" t="n">
        <v>2</v>
      </c>
      <c r="J378" s="9" t="n">
        <f aca="false">H378*I378</f>
        <v>2811.802176</v>
      </c>
      <c r="K378" s="3"/>
    </row>
    <row r="379" customFormat="false" ht="19.5" hidden="false" customHeight="false" outlineLevel="0" collapsed="false">
      <c r="A379" s="3" t="s">
        <v>105</v>
      </c>
      <c r="B379" s="3" t="s">
        <v>106</v>
      </c>
      <c r="C379" s="3" t="s">
        <v>86</v>
      </c>
      <c r="D379" s="3" t="s">
        <v>8</v>
      </c>
      <c r="E379" s="3" t="n">
        <v>3658</v>
      </c>
      <c r="F379" s="3" t="n">
        <v>320</v>
      </c>
      <c r="G379" s="3" t="n">
        <v>32</v>
      </c>
      <c r="H379" s="8" t="n">
        <f aca="false">(E379/1000)*(F379/1000)*(G379/1000)*7850</f>
        <v>294.044672</v>
      </c>
      <c r="I379" s="3" t="n">
        <v>2</v>
      </c>
      <c r="J379" s="9" t="n">
        <f aca="false">H379*I379</f>
        <v>588.089344</v>
      </c>
      <c r="K379" s="3"/>
    </row>
    <row r="380" customFormat="false" ht="19.5" hidden="false" customHeight="false" outlineLevel="0" collapsed="false">
      <c r="A380" s="3" t="s">
        <v>105</v>
      </c>
      <c r="B380" s="3" t="s">
        <v>106</v>
      </c>
      <c r="C380" s="3" t="s">
        <v>103</v>
      </c>
      <c r="D380" s="3" t="s">
        <v>8</v>
      </c>
      <c r="E380" s="3" t="n">
        <v>4758</v>
      </c>
      <c r="F380" s="3" t="n">
        <v>320</v>
      </c>
      <c r="G380" s="3" t="n">
        <v>32</v>
      </c>
      <c r="H380" s="8" t="n">
        <f aca="false">(E380/1000)*(F380/1000)*(G380/1000)*7850</f>
        <v>382.467072</v>
      </c>
      <c r="I380" s="3" t="n">
        <v>1</v>
      </c>
      <c r="J380" s="9" t="n">
        <f aca="false">H380*I380</f>
        <v>382.467072</v>
      </c>
      <c r="K380" s="3"/>
    </row>
    <row r="381" customFormat="false" ht="19.5" hidden="false" customHeight="false" outlineLevel="0" collapsed="false">
      <c r="A381" s="3" t="s">
        <v>105</v>
      </c>
      <c r="B381" s="3" t="s">
        <v>106</v>
      </c>
      <c r="C381" s="3" t="s">
        <v>104</v>
      </c>
      <c r="D381" s="3" t="s">
        <v>8</v>
      </c>
      <c r="E381" s="3" t="n">
        <v>5058</v>
      </c>
      <c r="F381" s="3" t="n">
        <v>320</v>
      </c>
      <c r="G381" s="3" t="n">
        <v>32</v>
      </c>
      <c r="H381" s="8" t="n">
        <f aca="false">(E381/1000)*(F381/1000)*(G381/1000)*7850</f>
        <v>406.582272</v>
      </c>
      <c r="I381" s="3" t="n">
        <v>1</v>
      </c>
      <c r="J381" s="9" t="n">
        <f aca="false">H381*I381</f>
        <v>406.582272</v>
      </c>
      <c r="K381" s="3"/>
    </row>
    <row r="382" customFormat="false" ht="19.5" hidden="false" customHeight="false" outlineLevel="0" collapsed="false">
      <c r="A382" s="3" t="s">
        <v>105</v>
      </c>
      <c r="B382" s="3" t="s">
        <v>106</v>
      </c>
      <c r="C382" s="3" t="s">
        <v>107</v>
      </c>
      <c r="D382" s="3" t="s">
        <v>8</v>
      </c>
      <c r="E382" s="3" t="n">
        <v>1200</v>
      </c>
      <c r="F382" s="3" t="n">
        <v>1200</v>
      </c>
      <c r="G382" s="3" t="n">
        <v>16</v>
      </c>
      <c r="H382" s="8" t="n">
        <f aca="false">(E382/1000)*(F382/1000)*(G382/1000)*7850</f>
        <v>180.864</v>
      </c>
      <c r="I382" s="3" t="n">
        <v>2</v>
      </c>
      <c r="J382" s="9" t="n">
        <f aca="false">H382*I382</f>
        <v>361.728</v>
      </c>
      <c r="K382" s="3"/>
    </row>
    <row r="383" customFormat="false" ht="19.5" hidden="false" customHeight="false" outlineLevel="0" collapsed="false">
      <c r="A383" s="3" t="s">
        <v>105</v>
      </c>
      <c r="B383" s="3" t="s">
        <v>106</v>
      </c>
      <c r="C383" s="3" t="s">
        <v>97</v>
      </c>
      <c r="D383" s="3" t="s">
        <v>8</v>
      </c>
      <c r="E383" s="3" t="n">
        <v>5883</v>
      </c>
      <c r="F383" s="3" t="n">
        <v>1200</v>
      </c>
      <c r="G383" s="3" t="n">
        <v>36</v>
      </c>
      <c r="H383" s="8" t="n">
        <f aca="false">(E383/1000)*(F383/1000)*(G383/1000)*7850</f>
        <v>1995.04296</v>
      </c>
      <c r="I383" s="3" t="n">
        <v>1</v>
      </c>
      <c r="J383" s="9" t="n">
        <f aca="false">H383*I383</f>
        <v>1995.04296</v>
      </c>
      <c r="K383" s="3"/>
    </row>
    <row r="384" customFormat="false" ht="19.5" hidden="false" customHeight="false" outlineLevel="0" collapsed="false">
      <c r="A384" s="3" t="s">
        <v>105</v>
      </c>
      <c r="B384" s="3" t="s">
        <v>106</v>
      </c>
      <c r="C384" s="3" t="s">
        <v>87</v>
      </c>
      <c r="D384" s="3" t="s">
        <v>8</v>
      </c>
      <c r="E384" s="3" t="n">
        <v>5483</v>
      </c>
      <c r="F384" s="3" t="n">
        <v>1200</v>
      </c>
      <c r="G384" s="3" t="n">
        <v>36</v>
      </c>
      <c r="H384" s="8" t="n">
        <f aca="false">(E384/1000)*(F384/1000)*(G384/1000)*7850</f>
        <v>1859.39496</v>
      </c>
      <c r="I384" s="3" t="n">
        <v>1</v>
      </c>
      <c r="J384" s="9" t="n">
        <f aca="false">H384*I384</f>
        <v>1859.39496</v>
      </c>
      <c r="K384" s="3"/>
    </row>
    <row r="385" customFormat="false" ht="19.5" hidden="false" customHeight="false" outlineLevel="0" collapsed="false">
      <c r="A385" s="3" t="s">
        <v>105</v>
      </c>
      <c r="B385" s="3" t="s">
        <v>106</v>
      </c>
      <c r="C385" s="3" t="s">
        <v>89</v>
      </c>
      <c r="D385" s="3" t="s">
        <v>8</v>
      </c>
      <c r="E385" s="3" t="n">
        <v>3683</v>
      </c>
      <c r="F385" s="3" t="n">
        <v>320</v>
      </c>
      <c r="G385" s="3" t="n">
        <v>32</v>
      </c>
      <c r="H385" s="8" t="n">
        <f aca="false">(E385/1000)*(F385/1000)*(G385/1000)*7850</f>
        <v>296.054272</v>
      </c>
      <c r="I385" s="3" t="n">
        <v>2</v>
      </c>
      <c r="J385" s="9" t="n">
        <f aca="false">H385*I385</f>
        <v>592.108544</v>
      </c>
      <c r="K385" s="3"/>
    </row>
    <row r="386" customFormat="false" ht="19.5" hidden="false" customHeight="false" outlineLevel="0" collapsed="false">
      <c r="A386" s="3" t="s">
        <v>105</v>
      </c>
      <c r="B386" s="3" t="s">
        <v>106</v>
      </c>
      <c r="C386" s="3" t="s">
        <v>90</v>
      </c>
      <c r="D386" s="3" t="s">
        <v>8</v>
      </c>
      <c r="E386" s="3" t="n">
        <v>5183</v>
      </c>
      <c r="F386" s="3" t="n">
        <v>320</v>
      </c>
      <c r="G386" s="3" t="n">
        <v>32</v>
      </c>
      <c r="H386" s="8" t="n">
        <f aca="false">(E386/1000)*(F386/1000)*(G386/1000)*7850</f>
        <v>416.630272</v>
      </c>
      <c r="I386" s="3" t="n">
        <v>1</v>
      </c>
      <c r="J386" s="9" t="n">
        <f aca="false">H386*I386</f>
        <v>416.630272</v>
      </c>
      <c r="K386" s="3"/>
    </row>
    <row r="387" customFormat="false" ht="19.5" hidden="false" customHeight="false" outlineLevel="0" collapsed="false">
      <c r="A387" s="3" t="s">
        <v>105</v>
      </c>
      <c r="B387" s="3" t="s">
        <v>106</v>
      </c>
      <c r="C387" s="3" t="s">
        <v>91</v>
      </c>
      <c r="D387" s="3" t="s">
        <v>8</v>
      </c>
      <c r="E387" s="3" t="n">
        <v>4783</v>
      </c>
      <c r="F387" s="3" t="n">
        <v>320</v>
      </c>
      <c r="G387" s="3" t="n">
        <v>32</v>
      </c>
      <c r="H387" s="8" t="n">
        <f aca="false">(E387/1000)*(F387/1000)*(G387/1000)*7850</f>
        <v>384.476672</v>
      </c>
      <c r="I387" s="3" t="n">
        <v>1</v>
      </c>
      <c r="J387" s="9" t="n">
        <f aca="false">H387*I387</f>
        <v>384.476672</v>
      </c>
      <c r="K387" s="3"/>
    </row>
    <row r="388" customFormat="false" ht="19.5" hidden="false" customHeight="false" outlineLevel="0" collapsed="false">
      <c r="A388" s="3" t="s">
        <v>105</v>
      </c>
      <c r="B388" s="3" t="s">
        <v>106</v>
      </c>
      <c r="C388" s="3" t="s">
        <v>92</v>
      </c>
      <c r="D388" s="3" t="s">
        <v>8</v>
      </c>
      <c r="E388" s="3" t="n">
        <v>1200</v>
      </c>
      <c r="F388" s="3" t="n">
        <v>1200</v>
      </c>
      <c r="G388" s="3" t="n">
        <v>16</v>
      </c>
      <c r="H388" s="8" t="n">
        <f aca="false">(E388/1000)*(F388/1000)*(G388/1000)*7850</f>
        <v>180.864</v>
      </c>
      <c r="I388" s="3" t="n">
        <v>2</v>
      </c>
      <c r="J388" s="9" t="n">
        <f aca="false">H388*I388</f>
        <v>361.728</v>
      </c>
      <c r="K388" s="3"/>
    </row>
    <row r="389" customFormat="false" ht="19.5" hidden="false" customHeight="false" outlineLevel="0" collapsed="false">
      <c r="A389" s="3" t="s">
        <v>105</v>
      </c>
      <c r="B389" s="3" t="s">
        <v>106</v>
      </c>
      <c r="C389" s="3" t="s">
        <v>93</v>
      </c>
      <c r="D389" s="3" t="s">
        <v>8</v>
      </c>
      <c r="E389" s="3" t="n">
        <v>2300</v>
      </c>
      <c r="F389" s="3" t="n">
        <v>320</v>
      </c>
      <c r="G389" s="3" t="n">
        <v>32</v>
      </c>
      <c r="H389" s="8" t="n">
        <f aca="false">(E389/1000)*(F389/1000)*(G389/1000)*7850</f>
        <v>184.8832</v>
      </c>
      <c r="I389" s="3" t="n">
        <v>4</v>
      </c>
      <c r="J389" s="9" t="n">
        <f aca="false">H389*I389</f>
        <v>739.5328</v>
      </c>
      <c r="K389" s="3"/>
    </row>
    <row r="390" customFormat="false" ht="19.5" hidden="false" customHeight="false" outlineLevel="0" collapsed="false">
      <c r="A390" s="3" t="s">
        <v>105</v>
      </c>
      <c r="B390" s="3" t="s">
        <v>106</v>
      </c>
      <c r="C390" s="3" t="s">
        <v>94</v>
      </c>
      <c r="D390" s="3" t="s">
        <v>8</v>
      </c>
      <c r="E390" s="3" t="n">
        <v>2200</v>
      </c>
      <c r="F390" s="3" t="n">
        <v>320</v>
      </c>
      <c r="G390" s="3" t="n">
        <v>32</v>
      </c>
      <c r="H390" s="8" t="n">
        <f aca="false">(E390/1000)*(F390/1000)*(G390/1000)*7850</f>
        <v>176.8448</v>
      </c>
      <c r="I390" s="3" t="n">
        <v>4</v>
      </c>
      <c r="J390" s="9" t="n">
        <f aca="false">H390*I390</f>
        <v>707.3792</v>
      </c>
      <c r="K390" s="3"/>
    </row>
    <row r="391" customFormat="false" ht="19.5" hidden="false" customHeight="false" outlineLevel="0" collapsed="false">
      <c r="A391" s="3" t="s">
        <v>108</v>
      </c>
      <c r="B391" s="3" t="s">
        <v>109</v>
      </c>
      <c r="C391" s="3" t="s">
        <v>44</v>
      </c>
      <c r="D391" s="3" t="s">
        <v>9</v>
      </c>
      <c r="E391" s="3" t="n">
        <v>15280</v>
      </c>
      <c r="F391" s="3" t="n">
        <v>1000</v>
      </c>
      <c r="G391" s="3" t="n">
        <v>40</v>
      </c>
      <c r="H391" s="8" t="n">
        <f aca="false">(E391/1000)*(F391/1000)*(G391/1000)*7850</f>
        <v>4797.92</v>
      </c>
      <c r="I391" s="3" t="n">
        <v>1</v>
      </c>
      <c r="J391" s="9" t="n">
        <f aca="false">H391*I391</f>
        <v>4797.92</v>
      </c>
      <c r="K391" s="3"/>
    </row>
    <row r="392" customFormat="false" ht="19.5" hidden="false" customHeight="false" outlineLevel="0" collapsed="false">
      <c r="A392" s="3" t="s">
        <v>108</v>
      </c>
      <c r="B392" s="3" t="s">
        <v>109</v>
      </c>
      <c r="C392" s="3" t="s">
        <v>45</v>
      </c>
      <c r="D392" s="3" t="s">
        <v>8</v>
      </c>
      <c r="E392" s="3" t="n">
        <v>13730</v>
      </c>
      <c r="F392" s="3" t="n">
        <v>1000</v>
      </c>
      <c r="G392" s="3" t="n">
        <v>24</v>
      </c>
      <c r="H392" s="8" t="n">
        <f aca="false">(E392/1000)*(F392/1000)*(G392/1000)*7850</f>
        <v>2586.732</v>
      </c>
      <c r="I392" s="3" t="n">
        <v>1</v>
      </c>
      <c r="J392" s="9" t="n">
        <f aca="false">H392*I392</f>
        <v>2586.732</v>
      </c>
      <c r="K392" s="3"/>
    </row>
    <row r="393" customFormat="false" ht="19.5" hidden="false" customHeight="false" outlineLevel="0" collapsed="false">
      <c r="A393" s="3" t="s">
        <v>108</v>
      </c>
      <c r="B393" s="3" t="s">
        <v>109</v>
      </c>
      <c r="C393" s="3" t="s">
        <v>46</v>
      </c>
      <c r="D393" s="3" t="s">
        <v>9</v>
      </c>
      <c r="E393" s="3" t="n">
        <v>7900</v>
      </c>
      <c r="F393" s="3" t="n">
        <v>1200</v>
      </c>
      <c r="G393" s="3" t="n">
        <v>40</v>
      </c>
      <c r="H393" s="8" t="n">
        <f aca="false">(E393/1000)*(F393/1000)*(G393/1000)*7850</f>
        <v>2976.72</v>
      </c>
      <c r="I393" s="3" t="n">
        <v>1</v>
      </c>
      <c r="J393" s="9" t="n">
        <f aca="false">H393*I393</f>
        <v>2976.72</v>
      </c>
      <c r="K393" s="3"/>
    </row>
    <row r="394" customFormat="false" ht="19.5" hidden="false" customHeight="false" outlineLevel="0" collapsed="false">
      <c r="A394" s="3" t="s">
        <v>108</v>
      </c>
      <c r="B394" s="3" t="s">
        <v>109</v>
      </c>
      <c r="C394" s="3" t="s">
        <v>47</v>
      </c>
      <c r="D394" s="3" t="s">
        <v>8</v>
      </c>
      <c r="E394" s="3" t="n">
        <v>7100</v>
      </c>
      <c r="F394" s="3" t="n">
        <v>1200</v>
      </c>
      <c r="G394" s="3" t="n">
        <v>24</v>
      </c>
      <c r="H394" s="8" t="n">
        <f aca="false">(E394/1000)*(F394/1000)*(G394/1000)*7850</f>
        <v>1605.168</v>
      </c>
      <c r="I394" s="3" t="n">
        <v>1</v>
      </c>
      <c r="J394" s="9" t="n">
        <f aca="false">H394*I394</f>
        <v>1605.168</v>
      </c>
      <c r="K394" s="3"/>
    </row>
    <row r="395" customFormat="false" ht="19.5" hidden="false" customHeight="false" outlineLevel="0" collapsed="false">
      <c r="A395" s="3" t="s">
        <v>108</v>
      </c>
      <c r="B395" s="3" t="s">
        <v>109</v>
      </c>
      <c r="C395" s="3" t="s">
        <v>48</v>
      </c>
      <c r="D395" s="3" t="s">
        <v>9</v>
      </c>
      <c r="E395" s="3" t="n">
        <v>25710</v>
      </c>
      <c r="F395" s="3" t="n">
        <v>1000</v>
      </c>
      <c r="G395" s="3" t="n">
        <v>48</v>
      </c>
      <c r="H395" s="8" t="n">
        <f aca="false">(E395/1000)*(F395/1000)*(G395/1000)*7850</f>
        <v>9687.528</v>
      </c>
      <c r="I395" s="3" t="n">
        <v>2</v>
      </c>
      <c r="J395" s="9" t="n">
        <f aca="false">H395*I395</f>
        <v>19375.056</v>
      </c>
      <c r="K395" s="3"/>
    </row>
    <row r="396" customFormat="false" ht="19.5" hidden="false" customHeight="false" outlineLevel="0" collapsed="false">
      <c r="A396" s="3" t="s">
        <v>108</v>
      </c>
      <c r="B396" s="3" t="s">
        <v>109</v>
      </c>
      <c r="C396" s="3" t="s">
        <v>49</v>
      </c>
      <c r="D396" s="3" t="s">
        <v>8</v>
      </c>
      <c r="E396" s="3" t="n">
        <v>7300</v>
      </c>
      <c r="F396" s="3" t="n">
        <v>2048</v>
      </c>
      <c r="G396" s="3" t="n">
        <v>32</v>
      </c>
      <c r="H396" s="8" t="n">
        <f aca="false">(E396/1000)*(F396/1000)*(G396/1000)*7850</f>
        <v>3755.54048</v>
      </c>
      <c r="I396" s="3" t="n">
        <v>2</v>
      </c>
      <c r="J396" s="9" t="n">
        <f aca="false">H396*I396</f>
        <v>7511.08096</v>
      </c>
      <c r="K396" s="3"/>
    </row>
    <row r="397" customFormat="false" ht="19.5" hidden="false" customHeight="false" outlineLevel="0" collapsed="false">
      <c r="A397" s="3" t="s">
        <v>108</v>
      </c>
      <c r="B397" s="3" t="s">
        <v>109</v>
      </c>
      <c r="C397" s="3" t="s">
        <v>52</v>
      </c>
      <c r="D397" s="3" t="s">
        <v>8</v>
      </c>
      <c r="E397" s="3" t="n">
        <v>12960</v>
      </c>
      <c r="F397" s="3" t="n">
        <v>1000</v>
      </c>
      <c r="G397" s="3" t="n">
        <v>24</v>
      </c>
      <c r="H397" s="8" t="n">
        <f aca="false">(E397/1000)*(F397/1000)*(G397/1000)*7850</f>
        <v>2441.664</v>
      </c>
      <c r="I397" s="3" t="n">
        <v>1</v>
      </c>
      <c r="J397" s="9" t="n">
        <f aca="false">H397*I397</f>
        <v>2441.664</v>
      </c>
      <c r="K397" s="3"/>
    </row>
    <row r="398" customFormat="false" ht="19.5" hidden="false" customHeight="false" outlineLevel="0" collapsed="false">
      <c r="A398" s="3" t="s">
        <v>108</v>
      </c>
      <c r="B398" s="3" t="s">
        <v>109</v>
      </c>
      <c r="C398" s="3" t="s">
        <v>53</v>
      </c>
      <c r="D398" s="3" t="s">
        <v>8</v>
      </c>
      <c r="E398" s="3" t="n">
        <v>11130</v>
      </c>
      <c r="F398" s="3" t="n">
        <v>1000</v>
      </c>
      <c r="G398" s="3" t="n">
        <v>24</v>
      </c>
      <c r="H398" s="8" t="n">
        <f aca="false">(E398/1000)*(F398/1000)*(G398/1000)*7850</f>
        <v>2096.892</v>
      </c>
      <c r="I398" s="3" t="n">
        <v>1</v>
      </c>
      <c r="J398" s="9" t="n">
        <f aca="false">H398*I398</f>
        <v>2096.892</v>
      </c>
      <c r="K398" s="3"/>
    </row>
    <row r="399" customFormat="false" ht="19.5" hidden="false" customHeight="false" outlineLevel="0" collapsed="false">
      <c r="A399" s="3" t="s">
        <v>108</v>
      </c>
      <c r="B399" s="3" t="s">
        <v>109</v>
      </c>
      <c r="C399" s="3" t="s">
        <v>67</v>
      </c>
      <c r="D399" s="3" t="s">
        <v>8</v>
      </c>
      <c r="E399" s="3" t="n">
        <v>22500</v>
      </c>
      <c r="F399" s="3" t="n">
        <v>1000</v>
      </c>
      <c r="G399" s="3" t="n">
        <v>44</v>
      </c>
      <c r="H399" s="8" t="n">
        <f aca="false">(E399/1000)*(F399/1000)*(G399/1000)*7850</f>
        <v>7771.5</v>
      </c>
      <c r="I399" s="3" t="n">
        <v>2</v>
      </c>
      <c r="J399" s="9" t="n">
        <f aca="false">H399*I399</f>
        <v>15543</v>
      </c>
      <c r="K399" s="3"/>
    </row>
    <row r="400" customFormat="false" ht="19.5" hidden="false" customHeight="false" outlineLevel="0" collapsed="false">
      <c r="A400" s="3" t="s">
        <v>108</v>
      </c>
      <c r="B400" s="3" t="s">
        <v>109</v>
      </c>
      <c r="C400" s="3" t="s">
        <v>54</v>
      </c>
      <c r="D400" s="3" t="s">
        <v>8</v>
      </c>
      <c r="E400" s="3" t="n">
        <v>7300</v>
      </c>
      <c r="F400" s="3" t="n">
        <v>1880</v>
      </c>
      <c r="G400" s="3" t="n">
        <v>32</v>
      </c>
      <c r="H400" s="8" t="n">
        <f aca="false">(E400/1000)*(F400/1000)*(G400/1000)*7850</f>
        <v>3447.4688</v>
      </c>
      <c r="I400" s="3" t="n">
        <v>2</v>
      </c>
      <c r="J400" s="9" t="n">
        <f aca="false">H400*I400</f>
        <v>6894.9376</v>
      </c>
      <c r="K400" s="3"/>
    </row>
    <row r="401" customFormat="false" ht="19.5" hidden="false" customHeight="false" outlineLevel="0" collapsed="false">
      <c r="A401" s="3" t="s">
        <v>108</v>
      </c>
      <c r="B401" s="3" t="s">
        <v>109</v>
      </c>
      <c r="C401" s="3" t="s">
        <v>58</v>
      </c>
      <c r="D401" s="3" t="s">
        <v>8</v>
      </c>
      <c r="E401" s="3" t="n">
        <v>11322</v>
      </c>
      <c r="F401" s="3" t="n">
        <v>1200</v>
      </c>
      <c r="G401" s="3" t="n">
        <v>36</v>
      </c>
      <c r="H401" s="8" t="n">
        <f aca="false">(E401/1000)*(F401/1000)*(G401/1000)*7850</f>
        <v>3839.51664</v>
      </c>
      <c r="I401" s="3" t="n">
        <v>1</v>
      </c>
      <c r="J401" s="9" t="n">
        <f aca="false">H401*I401</f>
        <v>3839.51664</v>
      </c>
      <c r="K401" s="3"/>
    </row>
    <row r="402" customFormat="false" ht="19.5" hidden="false" customHeight="false" outlineLevel="0" collapsed="false">
      <c r="A402" s="3" t="s">
        <v>108</v>
      </c>
      <c r="B402" s="3" t="s">
        <v>109</v>
      </c>
      <c r="C402" s="3" t="s">
        <v>81</v>
      </c>
      <c r="D402" s="3" t="s">
        <v>8</v>
      </c>
      <c r="E402" s="3" t="n">
        <v>11222</v>
      </c>
      <c r="F402" s="3" t="n">
        <v>1200</v>
      </c>
      <c r="G402" s="3" t="n">
        <v>36</v>
      </c>
      <c r="H402" s="8" t="n">
        <f aca="false">(E402/1000)*(F402/1000)*(G402/1000)*7850</f>
        <v>3805.60464</v>
      </c>
      <c r="I402" s="3" t="n">
        <v>1</v>
      </c>
      <c r="J402" s="9" t="n">
        <f aca="false">H402*I402</f>
        <v>3805.60464</v>
      </c>
      <c r="K402" s="3"/>
    </row>
    <row r="403" customFormat="false" ht="19.5" hidden="false" customHeight="false" outlineLevel="0" collapsed="false">
      <c r="A403" s="3" t="s">
        <v>108</v>
      </c>
      <c r="B403" s="3" t="s">
        <v>109</v>
      </c>
      <c r="C403" s="3" t="s">
        <v>59</v>
      </c>
      <c r="D403" s="3" t="s">
        <v>8</v>
      </c>
      <c r="E403" s="3" t="n">
        <v>7322</v>
      </c>
      <c r="F403" s="3" t="n">
        <v>1360</v>
      </c>
      <c r="G403" s="3" t="n">
        <v>36</v>
      </c>
      <c r="H403" s="8" t="n">
        <f aca="false">(E403/1000)*(F403/1000)*(G403/1000)*7850</f>
        <v>2814.108192</v>
      </c>
      <c r="I403" s="3" t="n">
        <v>2</v>
      </c>
      <c r="J403" s="9" t="n">
        <f aca="false">H403*I403</f>
        <v>5628.216384</v>
      </c>
      <c r="K403" s="3"/>
    </row>
    <row r="404" customFormat="false" ht="19.5" hidden="false" customHeight="false" outlineLevel="0" collapsed="false">
      <c r="A404" s="3" t="s">
        <v>108</v>
      </c>
      <c r="B404" s="3" t="s">
        <v>109</v>
      </c>
      <c r="C404" s="3" t="s">
        <v>60</v>
      </c>
      <c r="D404" s="3" t="s">
        <v>8</v>
      </c>
      <c r="E404" s="3" t="n">
        <v>7322</v>
      </c>
      <c r="F404" s="3" t="n">
        <v>320</v>
      </c>
      <c r="G404" s="3" t="n">
        <v>32</v>
      </c>
      <c r="H404" s="8" t="n">
        <f aca="false">(E404/1000)*(F404/1000)*(G404/1000)*7850</f>
        <v>588.571648</v>
      </c>
      <c r="I404" s="3" t="n">
        <v>2</v>
      </c>
      <c r="J404" s="9" t="n">
        <f aca="false">H404*I404</f>
        <v>1177.143296</v>
      </c>
      <c r="K404" s="3"/>
    </row>
    <row r="405" customFormat="false" ht="19.5" hidden="false" customHeight="false" outlineLevel="0" collapsed="false">
      <c r="A405" s="3" t="s">
        <v>108</v>
      </c>
      <c r="B405" s="3" t="s">
        <v>109</v>
      </c>
      <c r="C405" s="3" t="s">
        <v>74</v>
      </c>
      <c r="D405" s="3" t="s">
        <v>8</v>
      </c>
      <c r="E405" s="3" t="n">
        <v>9922</v>
      </c>
      <c r="F405" s="3" t="n">
        <v>320</v>
      </c>
      <c r="G405" s="3" t="n">
        <v>32</v>
      </c>
      <c r="H405" s="8" t="n">
        <f aca="false">(E405/1000)*(F405/1000)*(G405/1000)*7850</f>
        <v>797.570048</v>
      </c>
      <c r="I405" s="3" t="n">
        <v>1</v>
      </c>
      <c r="J405" s="9" t="n">
        <f aca="false">H405*I405</f>
        <v>797.570048</v>
      </c>
      <c r="K405" s="3"/>
    </row>
    <row r="406" customFormat="false" ht="19.5" hidden="false" customHeight="false" outlineLevel="0" collapsed="false">
      <c r="A406" s="3" t="s">
        <v>108</v>
      </c>
      <c r="B406" s="3" t="s">
        <v>109</v>
      </c>
      <c r="C406" s="3" t="s">
        <v>71</v>
      </c>
      <c r="D406" s="3" t="s">
        <v>8</v>
      </c>
      <c r="E406" s="3" t="n">
        <v>9822</v>
      </c>
      <c r="F406" s="3" t="n">
        <v>320</v>
      </c>
      <c r="G406" s="3" t="n">
        <v>32</v>
      </c>
      <c r="H406" s="8" t="n">
        <f aca="false">(E406/1000)*(F406/1000)*(G406/1000)*7850</f>
        <v>789.531648</v>
      </c>
      <c r="I406" s="3" t="n">
        <v>1</v>
      </c>
      <c r="J406" s="9" t="n">
        <f aca="false">H406*I406</f>
        <v>789.531648</v>
      </c>
      <c r="K406" s="3"/>
    </row>
    <row r="407" customFormat="false" ht="19.5" hidden="false" customHeight="false" outlineLevel="0" collapsed="false">
      <c r="A407" s="3" t="s">
        <v>108</v>
      </c>
      <c r="B407" s="3" t="s">
        <v>109</v>
      </c>
      <c r="C407" s="3" t="s">
        <v>82</v>
      </c>
      <c r="D407" s="3" t="s">
        <v>8</v>
      </c>
      <c r="E407" s="3" t="n">
        <v>1200</v>
      </c>
      <c r="F407" s="3" t="n">
        <v>1200</v>
      </c>
      <c r="G407" s="3" t="n">
        <v>16</v>
      </c>
      <c r="H407" s="8" t="n">
        <f aca="false">(E407/1000)*(F407/1000)*(G407/1000)*7850</f>
        <v>180.864</v>
      </c>
      <c r="I407" s="3" t="n">
        <v>3</v>
      </c>
      <c r="J407" s="9" t="n">
        <f aca="false">H407*I407</f>
        <v>542.592</v>
      </c>
      <c r="K407" s="3"/>
    </row>
    <row r="408" customFormat="false" ht="19.5" hidden="false" customHeight="false" outlineLevel="0" collapsed="false">
      <c r="A408" s="3" t="s">
        <v>108</v>
      </c>
      <c r="B408" s="3" t="s">
        <v>109</v>
      </c>
      <c r="C408" s="3" t="s">
        <v>61</v>
      </c>
      <c r="D408" s="3" t="s">
        <v>8</v>
      </c>
      <c r="E408" s="3" t="n">
        <v>5440</v>
      </c>
      <c r="F408" s="3" t="n">
        <v>1200</v>
      </c>
      <c r="G408" s="3" t="n">
        <v>48</v>
      </c>
      <c r="H408" s="8" t="n">
        <f aca="false">(E408/1000)*(F408/1000)*(G408/1000)*7850</f>
        <v>2459.7504</v>
      </c>
      <c r="I408" s="3" t="n">
        <v>1</v>
      </c>
      <c r="J408" s="9" t="n">
        <f aca="false">H408*I408</f>
        <v>2459.7504</v>
      </c>
      <c r="K408" s="3"/>
    </row>
    <row r="409" customFormat="false" ht="19.5" hidden="false" customHeight="false" outlineLevel="0" collapsed="false">
      <c r="A409" s="3" t="s">
        <v>108</v>
      </c>
      <c r="B409" s="3" t="s">
        <v>109</v>
      </c>
      <c r="C409" s="3" t="s">
        <v>102</v>
      </c>
      <c r="D409" s="3" t="s">
        <v>8</v>
      </c>
      <c r="E409" s="3" t="n">
        <v>5740</v>
      </c>
      <c r="F409" s="3" t="n">
        <v>1200</v>
      </c>
      <c r="G409" s="3" t="n">
        <v>48</v>
      </c>
      <c r="H409" s="8" t="n">
        <f aca="false">(E409/1000)*(F409/1000)*(G409/1000)*7850</f>
        <v>2595.3984</v>
      </c>
      <c r="I409" s="3" t="n">
        <v>1</v>
      </c>
      <c r="J409" s="9" t="n">
        <f aca="false">H409*I409</f>
        <v>2595.3984</v>
      </c>
      <c r="K409" s="3"/>
    </row>
    <row r="410" customFormat="false" ht="19.5" hidden="false" customHeight="false" outlineLevel="0" collapsed="false">
      <c r="A410" s="3" t="s">
        <v>108</v>
      </c>
      <c r="B410" s="3" t="s">
        <v>109</v>
      </c>
      <c r="C410" s="3" t="s">
        <v>85</v>
      </c>
      <c r="D410" s="3" t="s">
        <v>8</v>
      </c>
      <c r="E410" s="3" t="n">
        <v>3640</v>
      </c>
      <c r="F410" s="3" t="n">
        <v>1760</v>
      </c>
      <c r="G410" s="3" t="n">
        <v>48</v>
      </c>
      <c r="H410" s="8" t="n">
        <f aca="false">(E410/1000)*(F410/1000)*(G410/1000)*7850</f>
        <v>2413.93152</v>
      </c>
      <c r="I410" s="3" t="n">
        <v>2</v>
      </c>
      <c r="J410" s="9" t="n">
        <f aca="false">H410*I410</f>
        <v>4827.86304</v>
      </c>
      <c r="K410" s="3"/>
    </row>
    <row r="411" customFormat="false" ht="19.5" hidden="false" customHeight="false" outlineLevel="0" collapsed="false">
      <c r="A411" s="3" t="s">
        <v>108</v>
      </c>
      <c r="B411" s="3" t="s">
        <v>109</v>
      </c>
      <c r="C411" s="3" t="s">
        <v>86</v>
      </c>
      <c r="D411" s="3" t="s">
        <v>8</v>
      </c>
      <c r="E411" s="3" t="n">
        <v>3640</v>
      </c>
      <c r="F411" s="3" t="n">
        <v>320</v>
      </c>
      <c r="G411" s="3" t="n">
        <v>32</v>
      </c>
      <c r="H411" s="8" t="n">
        <f aca="false">(E411/1000)*(F411/1000)*(G411/1000)*7850</f>
        <v>292.59776</v>
      </c>
      <c r="I411" s="3" t="n">
        <v>4</v>
      </c>
      <c r="J411" s="9" t="n">
        <f aca="false">H411*I411</f>
        <v>1170.39104</v>
      </c>
      <c r="K411" s="3"/>
    </row>
    <row r="412" customFormat="false" ht="19.5" hidden="false" customHeight="false" outlineLevel="0" collapsed="false">
      <c r="A412" s="3" t="s">
        <v>108</v>
      </c>
      <c r="B412" s="3" t="s">
        <v>109</v>
      </c>
      <c r="C412" s="3" t="s">
        <v>103</v>
      </c>
      <c r="D412" s="3" t="s">
        <v>8</v>
      </c>
      <c r="E412" s="3" t="n">
        <v>4740</v>
      </c>
      <c r="F412" s="3" t="n">
        <v>320</v>
      </c>
      <c r="G412" s="3" t="n">
        <v>32</v>
      </c>
      <c r="H412" s="8" t="n">
        <f aca="false">(E412/1000)*(F412/1000)*(G412/1000)*7850</f>
        <v>381.02016</v>
      </c>
      <c r="I412" s="3" t="n">
        <v>1</v>
      </c>
      <c r="J412" s="9" t="n">
        <f aca="false">H412*I412</f>
        <v>381.02016</v>
      </c>
      <c r="K412" s="3"/>
    </row>
    <row r="413" customFormat="false" ht="19.5" hidden="false" customHeight="false" outlineLevel="0" collapsed="false">
      <c r="A413" s="3" t="s">
        <v>108</v>
      </c>
      <c r="B413" s="3" t="s">
        <v>109</v>
      </c>
      <c r="C413" s="3" t="s">
        <v>104</v>
      </c>
      <c r="D413" s="3" t="s">
        <v>8</v>
      </c>
      <c r="E413" s="3" t="n">
        <v>5040</v>
      </c>
      <c r="F413" s="3" t="n">
        <v>320</v>
      </c>
      <c r="G413" s="3" t="n">
        <v>32</v>
      </c>
      <c r="H413" s="8" t="n">
        <f aca="false">(E413/1000)*(F413/1000)*(G413/1000)*7850</f>
        <v>405.13536</v>
      </c>
      <c r="I413" s="3" t="n">
        <v>1</v>
      </c>
      <c r="J413" s="9" t="n">
        <f aca="false">H413*I413</f>
        <v>405.13536</v>
      </c>
      <c r="K413" s="3"/>
    </row>
    <row r="414" customFormat="false" ht="19.5" hidden="false" customHeight="false" outlineLevel="0" collapsed="false">
      <c r="A414" s="3" t="s">
        <v>108</v>
      </c>
      <c r="B414" s="3" t="s">
        <v>109</v>
      </c>
      <c r="C414" s="3" t="s">
        <v>107</v>
      </c>
      <c r="D414" s="3" t="s">
        <v>8</v>
      </c>
      <c r="E414" s="3" t="n">
        <v>1600</v>
      </c>
      <c r="F414" s="3" t="n">
        <v>1200</v>
      </c>
      <c r="G414" s="3" t="n">
        <v>16</v>
      </c>
      <c r="H414" s="8" t="n">
        <f aca="false">(E414/1000)*(F414/1000)*(G414/1000)*7850</f>
        <v>241.152</v>
      </c>
      <c r="I414" s="3" t="n">
        <v>1</v>
      </c>
      <c r="J414" s="9" t="n">
        <f aca="false">H414*I414</f>
        <v>241.152</v>
      </c>
      <c r="K414" s="3"/>
    </row>
    <row r="415" customFormat="false" ht="19.5" hidden="false" customHeight="false" outlineLevel="0" collapsed="false">
      <c r="A415" s="3" t="s">
        <v>108</v>
      </c>
      <c r="B415" s="3" t="s">
        <v>109</v>
      </c>
      <c r="C415" s="3" t="s">
        <v>97</v>
      </c>
      <c r="D415" s="3" t="s">
        <v>8</v>
      </c>
      <c r="E415" s="3" t="n">
        <v>5858</v>
      </c>
      <c r="F415" s="3" t="n">
        <v>1200</v>
      </c>
      <c r="G415" s="3" t="n">
        <v>48</v>
      </c>
      <c r="H415" s="8" t="n">
        <f aca="false">(E415/1000)*(F415/1000)*(G415/1000)*7850</f>
        <v>2648.75328</v>
      </c>
      <c r="I415" s="3" t="n">
        <v>1</v>
      </c>
      <c r="J415" s="9" t="n">
        <f aca="false">H415*I415</f>
        <v>2648.75328</v>
      </c>
      <c r="K415" s="3"/>
    </row>
    <row r="416" customFormat="false" ht="19.5" hidden="false" customHeight="false" outlineLevel="0" collapsed="false">
      <c r="A416" s="3" t="s">
        <v>108</v>
      </c>
      <c r="B416" s="3" t="s">
        <v>109</v>
      </c>
      <c r="C416" s="3" t="s">
        <v>87</v>
      </c>
      <c r="D416" s="3" t="s">
        <v>8</v>
      </c>
      <c r="E416" s="3" t="n">
        <v>5458</v>
      </c>
      <c r="F416" s="3" t="n">
        <v>1200</v>
      </c>
      <c r="G416" s="3" t="n">
        <v>48</v>
      </c>
      <c r="H416" s="8" t="n">
        <f aca="false">(E416/1000)*(F416/1000)*(G416/1000)*7850</f>
        <v>2467.88928</v>
      </c>
      <c r="I416" s="3" t="n">
        <v>1</v>
      </c>
      <c r="J416" s="9" t="n">
        <f aca="false">H416*I416</f>
        <v>2467.88928</v>
      </c>
      <c r="K416" s="3"/>
    </row>
    <row r="417" customFormat="false" ht="19.5" hidden="false" customHeight="false" outlineLevel="0" collapsed="false">
      <c r="A417" s="3" t="s">
        <v>108</v>
      </c>
      <c r="B417" s="3" t="s">
        <v>109</v>
      </c>
      <c r="C417" s="3" t="s">
        <v>88</v>
      </c>
      <c r="D417" s="3" t="s">
        <v>8</v>
      </c>
      <c r="E417" s="3" t="n">
        <v>3658</v>
      </c>
      <c r="F417" s="3" t="n">
        <v>1360</v>
      </c>
      <c r="G417" s="3" t="n">
        <v>48</v>
      </c>
      <c r="H417" s="8" t="n">
        <f aca="false">(E417/1000)*(F417/1000)*(G417/1000)*7850</f>
        <v>1874.534784</v>
      </c>
      <c r="I417" s="3" t="n">
        <v>1</v>
      </c>
      <c r="J417" s="9" t="n">
        <f aca="false">H417*I417</f>
        <v>1874.534784</v>
      </c>
      <c r="K417" s="3"/>
    </row>
    <row r="418" customFormat="false" ht="19.5" hidden="false" customHeight="false" outlineLevel="0" collapsed="false">
      <c r="A418" s="3" t="s">
        <v>108</v>
      </c>
      <c r="B418" s="3" t="s">
        <v>109</v>
      </c>
      <c r="C418" s="3" t="s">
        <v>89</v>
      </c>
      <c r="D418" s="3" t="s">
        <v>8</v>
      </c>
      <c r="E418" s="3" t="n">
        <v>3658</v>
      </c>
      <c r="F418" s="3" t="n">
        <v>320</v>
      </c>
      <c r="G418" s="3" t="n">
        <v>32</v>
      </c>
      <c r="H418" s="8" t="n">
        <f aca="false">(E418/1000)*(F418/1000)*(G418/1000)*7850</f>
        <v>294.044672</v>
      </c>
      <c r="I418" s="3" t="n">
        <v>2</v>
      </c>
      <c r="J418" s="9" t="n">
        <f aca="false">H418*I418</f>
        <v>588.089344</v>
      </c>
      <c r="K418" s="3"/>
    </row>
    <row r="419" customFormat="false" ht="19.5" hidden="false" customHeight="false" outlineLevel="0" collapsed="false">
      <c r="A419" s="3" t="s">
        <v>108</v>
      </c>
      <c r="B419" s="3" t="s">
        <v>109</v>
      </c>
      <c r="C419" s="3" t="s">
        <v>90</v>
      </c>
      <c r="D419" s="3" t="s">
        <v>8</v>
      </c>
      <c r="E419" s="3" t="n">
        <v>5158</v>
      </c>
      <c r="F419" s="3" t="n">
        <v>320</v>
      </c>
      <c r="G419" s="3" t="n">
        <v>32</v>
      </c>
      <c r="H419" s="8" t="n">
        <f aca="false">(E419/1000)*(F419/1000)*(G419/1000)*7850</f>
        <v>414.620672</v>
      </c>
      <c r="I419" s="3" t="n">
        <v>1</v>
      </c>
      <c r="J419" s="9" t="n">
        <f aca="false">H419*I419</f>
        <v>414.620672</v>
      </c>
      <c r="K419" s="3"/>
    </row>
    <row r="420" customFormat="false" ht="19.5" hidden="false" customHeight="false" outlineLevel="0" collapsed="false">
      <c r="A420" s="3" t="s">
        <v>108</v>
      </c>
      <c r="B420" s="3" t="s">
        <v>109</v>
      </c>
      <c r="C420" s="3" t="s">
        <v>91</v>
      </c>
      <c r="D420" s="3" t="s">
        <v>8</v>
      </c>
      <c r="E420" s="3" t="n">
        <v>4758</v>
      </c>
      <c r="F420" s="3" t="n">
        <v>320</v>
      </c>
      <c r="G420" s="3" t="n">
        <v>32</v>
      </c>
      <c r="H420" s="8" t="n">
        <f aca="false">(E420/1000)*(F420/1000)*(G420/1000)*7850</f>
        <v>382.467072</v>
      </c>
      <c r="I420" s="3" t="n">
        <v>1</v>
      </c>
      <c r="J420" s="9" t="n">
        <f aca="false">H420*I420</f>
        <v>382.467072</v>
      </c>
      <c r="K420" s="3"/>
    </row>
    <row r="421" customFormat="false" ht="19.5" hidden="false" customHeight="false" outlineLevel="0" collapsed="false">
      <c r="A421" s="3" t="s">
        <v>108</v>
      </c>
      <c r="B421" s="3" t="s">
        <v>109</v>
      </c>
      <c r="C421" s="3" t="s">
        <v>92</v>
      </c>
      <c r="D421" s="3" t="s">
        <v>8</v>
      </c>
      <c r="E421" s="3" t="n">
        <v>1200</v>
      </c>
      <c r="F421" s="3" t="n">
        <v>1200</v>
      </c>
      <c r="G421" s="3" t="n">
        <v>16</v>
      </c>
      <c r="H421" s="8" t="n">
        <f aca="false">(E421/1000)*(F421/1000)*(G421/1000)*7850</f>
        <v>180.864</v>
      </c>
      <c r="I421" s="3" t="n">
        <v>2</v>
      </c>
      <c r="J421" s="9" t="n">
        <f aca="false">H421*I421</f>
        <v>361.728</v>
      </c>
      <c r="K421" s="3"/>
    </row>
    <row r="422" customFormat="false" ht="19.5" hidden="false" customHeight="false" outlineLevel="0" collapsed="false">
      <c r="A422" s="3" t="s">
        <v>108</v>
      </c>
      <c r="B422" s="3" t="s">
        <v>109</v>
      </c>
      <c r="C422" s="3" t="s">
        <v>93</v>
      </c>
      <c r="D422" s="3" t="s">
        <v>8</v>
      </c>
      <c r="E422" s="3" t="n">
        <v>2100</v>
      </c>
      <c r="F422" s="3" t="n">
        <v>320</v>
      </c>
      <c r="G422" s="3" t="n">
        <v>32</v>
      </c>
      <c r="H422" s="8" t="n">
        <f aca="false">(E422/1000)*(F422/1000)*(G422/1000)*7850</f>
        <v>168.8064</v>
      </c>
      <c r="I422" s="3" t="n">
        <v>6</v>
      </c>
      <c r="J422" s="9" t="n">
        <f aca="false">H422*I422</f>
        <v>1012.8384</v>
      </c>
      <c r="K422" s="3"/>
    </row>
    <row r="423" customFormat="false" ht="19.5" hidden="false" customHeight="false" outlineLevel="0" collapsed="false">
      <c r="A423" s="3" t="s">
        <v>108</v>
      </c>
      <c r="B423" s="3" t="s">
        <v>109</v>
      </c>
      <c r="C423" s="3" t="s">
        <v>94</v>
      </c>
      <c r="D423" s="3" t="s">
        <v>8</v>
      </c>
      <c r="E423" s="3" t="n">
        <v>2200</v>
      </c>
      <c r="F423" s="3" t="n">
        <v>320</v>
      </c>
      <c r="G423" s="3" t="n">
        <v>32</v>
      </c>
      <c r="H423" s="8" t="n">
        <f aca="false">(E423/1000)*(F423/1000)*(G423/1000)*7850</f>
        <v>176.8448</v>
      </c>
      <c r="I423" s="3" t="n">
        <v>4</v>
      </c>
      <c r="J423" s="9" t="n">
        <f aca="false">H423*I423</f>
        <v>707.3792</v>
      </c>
      <c r="K423" s="3"/>
    </row>
    <row r="424" customFormat="false" ht="19.5" hidden="false" customHeight="false" outlineLevel="0" collapsed="false">
      <c r="A424" s="3" t="s">
        <v>110</v>
      </c>
      <c r="B424" s="3" t="s">
        <v>111</v>
      </c>
      <c r="C424" s="3" t="s">
        <v>44</v>
      </c>
      <c r="D424" s="3" t="s">
        <v>9</v>
      </c>
      <c r="E424" s="3" t="n">
        <v>15280</v>
      </c>
      <c r="F424" s="3" t="n">
        <v>1000</v>
      </c>
      <c r="G424" s="3" t="n">
        <v>40</v>
      </c>
      <c r="H424" s="8" t="n">
        <f aca="false">(E424/1000)*(F424/1000)*(G424/1000)*7850</f>
        <v>4797.92</v>
      </c>
      <c r="I424" s="3" t="n">
        <v>1</v>
      </c>
      <c r="J424" s="9" t="n">
        <f aca="false">H424*I424</f>
        <v>4797.92</v>
      </c>
      <c r="K424" s="3"/>
    </row>
    <row r="425" customFormat="false" ht="19.5" hidden="false" customHeight="false" outlineLevel="0" collapsed="false">
      <c r="A425" s="3" t="s">
        <v>110</v>
      </c>
      <c r="B425" s="3" t="s">
        <v>111</v>
      </c>
      <c r="C425" s="3" t="s">
        <v>45</v>
      </c>
      <c r="D425" s="3" t="s">
        <v>9</v>
      </c>
      <c r="E425" s="3" t="n">
        <v>13460</v>
      </c>
      <c r="F425" s="3" t="n">
        <v>1000</v>
      </c>
      <c r="G425" s="3" t="n">
        <v>40</v>
      </c>
      <c r="H425" s="8" t="n">
        <f aca="false">(E425/1000)*(F425/1000)*(G425/1000)*7850</f>
        <v>4226.44</v>
      </c>
      <c r="I425" s="3" t="n">
        <v>1</v>
      </c>
      <c r="J425" s="9" t="n">
        <f aca="false">H425*I425</f>
        <v>4226.44</v>
      </c>
      <c r="K425" s="3"/>
    </row>
    <row r="426" customFormat="false" ht="19.5" hidden="false" customHeight="false" outlineLevel="0" collapsed="false">
      <c r="A426" s="3" t="s">
        <v>110</v>
      </c>
      <c r="B426" s="3" t="s">
        <v>111</v>
      </c>
      <c r="C426" s="3" t="s">
        <v>46</v>
      </c>
      <c r="D426" s="3" t="s">
        <v>9</v>
      </c>
      <c r="E426" s="3" t="n">
        <v>7900</v>
      </c>
      <c r="F426" s="3" t="n">
        <v>1200</v>
      </c>
      <c r="G426" s="3" t="n">
        <v>40</v>
      </c>
      <c r="H426" s="8" t="n">
        <f aca="false">(E426/1000)*(F426/1000)*(G426/1000)*7850</f>
        <v>2976.72</v>
      </c>
      <c r="I426" s="3" t="n">
        <v>1</v>
      </c>
      <c r="J426" s="9" t="n">
        <f aca="false">H426*I426</f>
        <v>2976.72</v>
      </c>
      <c r="K426" s="3"/>
    </row>
    <row r="427" customFormat="false" ht="19.5" hidden="false" customHeight="false" outlineLevel="0" collapsed="false">
      <c r="A427" s="3" t="s">
        <v>110</v>
      </c>
      <c r="B427" s="3" t="s">
        <v>111</v>
      </c>
      <c r="C427" s="3" t="s">
        <v>47</v>
      </c>
      <c r="D427" s="3" t="s">
        <v>9</v>
      </c>
      <c r="E427" s="3" t="n">
        <v>6950</v>
      </c>
      <c r="F427" s="3" t="n">
        <v>1200</v>
      </c>
      <c r="G427" s="3" t="n">
        <v>40</v>
      </c>
      <c r="H427" s="8" t="n">
        <f aca="false">(E427/1000)*(F427/1000)*(G427/1000)*7850</f>
        <v>2618.76</v>
      </c>
      <c r="I427" s="3" t="n">
        <v>1</v>
      </c>
      <c r="J427" s="9" t="n">
        <f aca="false">H427*I427</f>
        <v>2618.76</v>
      </c>
      <c r="K427" s="3"/>
    </row>
    <row r="428" customFormat="false" ht="19.5" hidden="false" customHeight="false" outlineLevel="0" collapsed="false">
      <c r="A428" s="3" t="s">
        <v>110</v>
      </c>
      <c r="B428" s="3" t="s">
        <v>111</v>
      </c>
      <c r="C428" s="3" t="s">
        <v>48</v>
      </c>
      <c r="D428" s="3" t="s">
        <v>9</v>
      </c>
      <c r="E428" s="3" t="n">
        <v>26550</v>
      </c>
      <c r="F428" s="3" t="n">
        <v>1000</v>
      </c>
      <c r="G428" s="3" t="n">
        <v>44</v>
      </c>
      <c r="H428" s="8" t="n">
        <f aca="false">(E428/1000)*(F428/1000)*(G428/1000)*7850</f>
        <v>9170.37</v>
      </c>
      <c r="I428" s="3" t="n">
        <v>2</v>
      </c>
      <c r="J428" s="9" t="n">
        <f aca="false">H428*I428</f>
        <v>18340.74</v>
      </c>
      <c r="K428" s="3"/>
    </row>
    <row r="429" customFormat="false" ht="19.5" hidden="false" customHeight="false" outlineLevel="0" collapsed="false">
      <c r="A429" s="3" t="s">
        <v>110</v>
      </c>
      <c r="B429" s="3" t="s">
        <v>111</v>
      </c>
      <c r="C429" s="3" t="s">
        <v>49</v>
      </c>
      <c r="D429" s="3" t="s">
        <v>9</v>
      </c>
      <c r="E429" s="3" t="n">
        <v>7150</v>
      </c>
      <c r="F429" s="3" t="n">
        <v>2048</v>
      </c>
      <c r="G429" s="3" t="n">
        <v>48</v>
      </c>
      <c r="H429" s="8" t="n">
        <f aca="false">(E429/1000)*(F429/1000)*(G429/1000)*7850</f>
        <v>5517.55776</v>
      </c>
      <c r="I429" s="3" t="n">
        <v>2</v>
      </c>
      <c r="J429" s="9" t="n">
        <f aca="false">H429*I429</f>
        <v>11035.11552</v>
      </c>
      <c r="K429" s="3"/>
    </row>
    <row r="430" customFormat="false" ht="19.5" hidden="false" customHeight="false" outlineLevel="0" collapsed="false">
      <c r="A430" s="3" t="s">
        <v>110</v>
      </c>
      <c r="B430" s="3" t="s">
        <v>111</v>
      </c>
      <c r="C430" s="3" t="s">
        <v>50</v>
      </c>
      <c r="D430" s="3" t="s">
        <v>9</v>
      </c>
      <c r="E430" s="3" t="n">
        <v>7900</v>
      </c>
      <c r="F430" s="3" t="n">
        <v>320</v>
      </c>
      <c r="G430" s="3" t="n">
        <v>32</v>
      </c>
      <c r="H430" s="8" t="n">
        <f aca="false">(E430/1000)*(F430/1000)*(G430/1000)*7850</f>
        <v>635.0336</v>
      </c>
      <c r="I430" s="3" t="n">
        <v>6</v>
      </c>
      <c r="J430" s="9" t="n">
        <f aca="false">H430*I430</f>
        <v>3810.2016</v>
      </c>
      <c r="K430" s="3"/>
    </row>
    <row r="431" customFormat="false" ht="19.5" hidden="false" customHeight="false" outlineLevel="0" collapsed="false">
      <c r="A431" s="3" t="s">
        <v>110</v>
      </c>
      <c r="B431" s="3" t="s">
        <v>111</v>
      </c>
      <c r="C431" s="3" t="s">
        <v>66</v>
      </c>
      <c r="D431" s="3" t="s">
        <v>9</v>
      </c>
      <c r="E431" s="3" t="n">
        <v>6950</v>
      </c>
      <c r="F431" s="3" t="n">
        <v>320</v>
      </c>
      <c r="G431" s="3" t="n">
        <v>32</v>
      </c>
      <c r="H431" s="8" t="n">
        <f aca="false">(E431/1000)*(F431/1000)*(G431/1000)*7850</f>
        <v>558.6688</v>
      </c>
      <c r="I431" s="3" t="n">
        <v>6</v>
      </c>
      <c r="J431" s="9" t="n">
        <f aca="false">H431*I431</f>
        <v>3352.0128</v>
      </c>
      <c r="K431" s="3"/>
    </row>
    <row r="432" customFormat="false" ht="19.5" hidden="false" customHeight="false" outlineLevel="0" collapsed="false">
      <c r="A432" s="3" t="s">
        <v>110</v>
      </c>
      <c r="B432" s="3" t="s">
        <v>111</v>
      </c>
      <c r="C432" s="3" t="s">
        <v>51</v>
      </c>
      <c r="D432" s="3" t="s">
        <v>9</v>
      </c>
      <c r="E432" s="3" t="n">
        <v>7900</v>
      </c>
      <c r="F432" s="3" t="n">
        <v>2500</v>
      </c>
      <c r="G432" s="3" t="n">
        <v>32</v>
      </c>
      <c r="H432" s="8" t="n">
        <f aca="false">(E432/1000)*(F432/1000)*(G432/1000)*7850</f>
        <v>4961.2</v>
      </c>
      <c r="I432" s="3" t="n">
        <v>1</v>
      </c>
      <c r="J432" s="9" t="n">
        <f aca="false">H432*I432</f>
        <v>4961.2</v>
      </c>
      <c r="K432" s="3"/>
    </row>
    <row r="433" customFormat="false" ht="19.5" hidden="false" customHeight="false" outlineLevel="0" collapsed="false">
      <c r="A433" s="3" t="s">
        <v>110</v>
      </c>
      <c r="B433" s="3" t="s">
        <v>111</v>
      </c>
      <c r="C433" s="3" t="s">
        <v>70</v>
      </c>
      <c r="D433" s="3" t="s">
        <v>9</v>
      </c>
      <c r="E433" s="3" t="n">
        <v>7100</v>
      </c>
      <c r="F433" s="3" t="n">
        <v>2500</v>
      </c>
      <c r="G433" s="3" t="n">
        <v>32</v>
      </c>
      <c r="H433" s="8" t="n">
        <f aca="false">(E433/1000)*(F433/1000)*(G433/1000)*7850</f>
        <v>4458.8</v>
      </c>
      <c r="I433" s="3" t="n">
        <v>1</v>
      </c>
      <c r="J433" s="9" t="n">
        <f aca="false">H433*I433</f>
        <v>4458.8</v>
      </c>
      <c r="K433" s="3"/>
    </row>
    <row r="434" customFormat="false" ht="19.5" hidden="false" customHeight="false" outlineLevel="0" collapsed="false">
      <c r="A434" s="3" t="s">
        <v>110</v>
      </c>
      <c r="B434" s="3" t="s">
        <v>111</v>
      </c>
      <c r="C434" s="3" t="s">
        <v>52</v>
      </c>
      <c r="D434" s="3" t="s">
        <v>9</v>
      </c>
      <c r="E434" s="3" t="n">
        <v>12960</v>
      </c>
      <c r="F434" s="3" t="n">
        <v>1000</v>
      </c>
      <c r="G434" s="3" t="n">
        <v>32</v>
      </c>
      <c r="H434" s="8" t="n">
        <f aca="false">(E434/1000)*(F434/1000)*(G434/1000)*7850</f>
        <v>3255.552</v>
      </c>
      <c r="I434" s="3" t="n">
        <v>1</v>
      </c>
      <c r="J434" s="9" t="n">
        <f aca="false">H434*I434</f>
        <v>3255.552</v>
      </c>
      <c r="K434" s="3"/>
    </row>
    <row r="435" customFormat="false" ht="19.5" hidden="false" customHeight="false" outlineLevel="0" collapsed="false">
      <c r="A435" s="3" t="s">
        <v>110</v>
      </c>
      <c r="B435" s="3" t="s">
        <v>111</v>
      </c>
      <c r="C435" s="3" t="s">
        <v>53</v>
      </c>
      <c r="D435" s="3" t="s">
        <v>9</v>
      </c>
      <c r="E435" s="3" t="n">
        <v>11130</v>
      </c>
      <c r="F435" s="3" t="n">
        <v>1000</v>
      </c>
      <c r="G435" s="3" t="n">
        <v>32</v>
      </c>
      <c r="H435" s="8" t="n">
        <f aca="false">(E435/1000)*(F435/1000)*(G435/1000)*7850</f>
        <v>2795.856</v>
      </c>
      <c r="I435" s="3" t="n">
        <v>1</v>
      </c>
      <c r="J435" s="9" t="n">
        <f aca="false">H435*I435</f>
        <v>2795.856</v>
      </c>
      <c r="K435" s="3"/>
    </row>
    <row r="436" customFormat="false" ht="19.5" hidden="false" customHeight="false" outlineLevel="0" collapsed="false">
      <c r="A436" s="3" t="s">
        <v>110</v>
      </c>
      <c r="B436" s="3" t="s">
        <v>111</v>
      </c>
      <c r="C436" s="3" t="s">
        <v>67</v>
      </c>
      <c r="D436" s="3" t="s">
        <v>9</v>
      </c>
      <c r="E436" s="3" t="n">
        <v>24170</v>
      </c>
      <c r="F436" s="3" t="n">
        <v>1000</v>
      </c>
      <c r="G436" s="3" t="n">
        <v>44</v>
      </c>
      <c r="H436" s="8" t="n">
        <f aca="false">(E436/1000)*(F436/1000)*(G436/1000)*7850</f>
        <v>8348.318</v>
      </c>
      <c r="I436" s="3" t="n">
        <v>2</v>
      </c>
      <c r="J436" s="9" t="n">
        <f aca="false">H436*I436</f>
        <v>16696.636</v>
      </c>
      <c r="K436" s="3"/>
    </row>
    <row r="437" customFormat="false" ht="19.5" hidden="false" customHeight="false" outlineLevel="0" collapsed="false">
      <c r="A437" s="3" t="s">
        <v>110</v>
      </c>
      <c r="B437" s="3" t="s">
        <v>111</v>
      </c>
      <c r="C437" s="3" t="s">
        <v>54</v>
      </c>
      <c r="D437" s="3" t="s">
        <v>9</v>
      </c>
      <c r="E437" s="3" t="n">
        <v>7300</v>
      </c>
      <c r="F437" s="3" t="n">
        <v>1880</v>
      </c>
      <c r="G437" s="3" t="n">
        <v>44</v>
      </c>
      <c r="H437" s="8" t="n">
        <f aca="false">(E437/1000)*(F437/1000)*(G437/1000)*7850</f>
        <v>4740.2696</v>
      </c>
      <c r="I437" s="3" t="n">
        <v>2</v>
      </c>
      <c r="J437" s="9" t="n">
        <f aca="false">H437*I437</f>
        <v>9480.5392</v>
      </c>
      <c r="K437" s="3"/>
    </row>
    <row r="438" customFormat="false" ht="19.5" hidden="false" customHeight="false" outlineLevel="0" collapsed="false">
      <c r="A438" s="3" t="s">
        <v>110</v>
      </c>
      <c r="B438" s="3" t="s">
        <v>111</v>
      </c>
      <c r="C438" s="3" t="s">
        <v>58</v>
      </c>
      <c r="D438" s="3" t="s">
        <v>9</v>
      </c>
      <c r="E438" s="3" t="n">
        <v>10875</v>
      </c>
      <c r="F438" s="3" t="n">
        <v>1200</v>
      </c>
      <c r="G438" s="3" t="n">
        <v>40</v>
      </c>
      <c r="H438" s="8" t="n">
        <f aca="false">(E438/1000)*(F438/1000)*(G438/1000)*7850</f>
        <v>4097.7</v>
      </c>
      <c r="I438" s="3" t="n">
        <v>1</v>
      </c>
      <c r="J438" s="9" t="n">
        <f aca="false">H438*I438</f>
        <v>4097.7</v>
      </c>
      <c r="K438" s="3"/>
    </row>
    <row r="439" customFormat="false" ht="19.5" hidden="false" customHeight="false" outlineLevel="0" collapsed="false">
      <c r="A439" s="3" t="s">
        <v>110</v>
      </c>
      <c r="B439" s="3" t="s">
        <v>111</v>
      </c>
      <c r="C439" s="3" t="s">
        <v>81</v>
      </c>
      <c r="D439" s="3" t="s">
        <v>9</v>
      </c>
      <c r="E439" s="3" t="n">
        <v>11075</v>
      </c>
      <c r="F439" s="3" t="n">
        <v>1200</v>
      </c>
      <c r="G439" s="3" t="n">
        <v>40</v>
      </c>
      <c r="H439" s="8" t="n">
        <f aca="false">(E439/1000)*(F439/1000)*(G439/1000)*7850</f>
        <v>4173.06</v>
      </c>
      <c r="I439" s="3" t="n">
        <v>1</v>
      </c>
      <c r="J439" s="9" t="n">
        <f aca="false">H439*I439</f>
        <v>4173.06</v>
      </c>
      <c r="K439" s="3"/>
    </row>
    <row r="440" customFormat="false" ht="19.5" hidden="false" customHeight="false" outlineLevel="0" collapsed="false">
      <c r="A440" s="3" t="s">
        <v>110</v>
      </c>
      <c r="B440" s="3" t="s">
        <v>111</v>
      </c>
      <c r="C440" s="3" t="s">
        <v>81</v>
      </c>
      <c r="D440" s="3" t="s">
        <v>9</v>
      </c>
      <c r="E440" s="3" t="n">
        <v>7275</v>
      </c>
      <c r="F440" s="3" t="n">
        <v>320</v>
      </c>
      <c r="G440" s="3" t="n">
        <v>32</v>
      </c>
      <c r="H440" s="8" t="n">
        <f aca="false">(E440/1000)*(F440/1000)*(G440/1000)*7850</f>
        <v>584.7936</v>
      </c>
      <c r="I440" s="3" t="n">
        <v>1</v>
      </c>
      <c r="J440" s="9" t="n">
        <f aca="false">H440*I440</f>
        <v>584.7936</v>
      </c>
      <c r="K440" s="3"/>
    </row>
    <row r="441" customFormat="false" ht="19.5" hidden="false" customHeight="false" outlineLevel="0" collapsed="false">
      <c r="A441" s="3" t="s">
        <v>110</v>
      </c>
      <c r="B441" s="3" t="s">
        <v>111</v>
      </c>
      <c r="C441" s="3" t="s">
        <v>81</v>
      </c>
      <c r="D441" s="3" t="s">
        <v>9</v>
      </c>
      <c r="E441" s="3" t="n">
        <v>9475</v>
      </c>
      <c r="F441" s="3" t="n">
        <v>320</v>
      </c>
      <c r="G441" s="3" t="n">
        <v>32</v>
      </c>
      <c r="H441" s="8" t="n">
        <f aca="false">(E441/1000)*(F441/1000)*(G441/1000)*7850</f>
        <v>761.6384</v>
      </c>
      <c r="I441" s="3" t="n">
        <v>1</v>
      </c>
      <c r="J441" s="9" t="n">
        <f aca="false">H441*I441</f>
        <v>761.6384</v>
      </c>
      <c r="K441" s="3"/>
    </row>
    <row r="442" customFormat="false" ht="19.5" hidden="false" customHeight="false" outlineLevel="0" collapsed="false">
      <c r="A442" s="3" t="s">
        <v>110</v>
      </c>
      <c r="B442" s="3" t="s">
        <v>111</v>
      </c>
      <c r="C442" s="3" t="s">
        <v>81</v>
      </c>
      <c r="D442" s="3" t="s">
        <v>9</v>
      </c>
      <c r="E442" s="3" t="n">
        <v>9675</v>
      </c>
      <c r="F442" s="3" t="n">
        <v>320</v>
      </c>
      <c r="G442" s="3" t="n">
        <v>32</v>
      </c>
      <c r="H442" s="8" t="n">
        <f aca="false">(E442/1000)*(F442/1000)*(G442/1000)*7850</f>
        <v>777.7152</v>
      </c>
      <c r="I442" s="3" t="n">
        <v>1</v>
      </c>
      <c r="J442" s="9" t="n">
        <f aca="false">H442*I442</f>
        <v>777.7152</v>
      </c>
      <c r="K442" s="3"/>
    </row>
    <row r="443" customFormat="false" ht="19.5" hidden="false" customHeight="false" outlineLevel="0" collapsed="false">
      <c r="A443" s="3" t="s">
        <v>110</v>
      </c>
      <c r="B443" s="3" t="s">
        <v>111</v>
      </c>
      <c r="C443" s="3" t="s">
        <v>81</v>
      </c>
      <c r="D443" s="3" t="s">
        <v>9</v>
      </c>
      <c r="E443" s="3" t="n">
        <v>1600</v>
      </c>
      <c r="F443" s="3" t="n">
        <v>1200</v>
      </c>
      <c r="G443" s="3" t="n">
        <v>16</v>
      </c>
      <c r="H443" s="8" t="n">
        <f aca="false">(E443/1000)*(F443/1000)*(G443/1000)*7850</f>
        <v>241.152</v>
      </c>
      <c r="I443" s="3" t="n">
        <v>3</v>
      </c>
      <c r="J443" s="9" t="n">
        <f aca="false">H443*I443</f>
        <v>723.456</v>
      </c>
      <c r="K443" s="3"/>
    </row>
    <row r="444" customFormat="false" ht="19.5" hidden="false" customHeight="false" outlineLevel="0" collapsed="false">
      <c r="A444" s="3" t="s">
        <v>110</v>
      </c>
      <c r="B444" s="3" t="s">
        <v>111</v>
      </c>
      <c r="C444" s="3" t="s">
        <v>81</v>
      </c>
      <c r="D444" s="3" t="s">
        <v>9</v>
      </c>
      <c r="E444" s="3" t="n">
        <v>5429</v>
      </c>
      <c r="F444" s="3" t="n">
        <v>1200</v>
      </c>
      <c r="G444" s="3" t="n">
        <v>40</v>
      </c>
      <c r="H444" s="8" t="n">
        <f aca="false">(E444/1000)*(F444/1000)*(G444/1000)*7850</f>
        <v>2045.6472</v>
      </c>
      <c r="I444" s="3" t="n">
        <v>1</v>
      </c>
      <c r="J444" s="9" t="n">
        <f aca="false">H444*I444</f>
        <v>2045.6472</v>
      </c>
      <c r="K444" s="3"/>
    </row>
    <row r="445" customFormat="false" ht="19.5" hidden="false" customHeight="false" outlineLevel="0" collapsed="false">
      <c r="A445" s="3" t="s">
        <v>110</v>
      </c>
      <c r="B445" s="3" t="s">
        <v>111</v>
      </c>
      <c r="C445" s="3" t="s">
        <v>81</v>
      </c>
      <c r="D445" s="3" t="s">
        <v>9</v>
      </c>
      <c r="E445" s="3" t="n">
        <v>5629</v>
      </c>
      <c r="F445" s="3" t="n">
        <v>1200</v>
      </c>
      <c r="G445" s="3" t="n">
        <v>40</v>
      </c>
      <c r="H445" s="8" t="n">
        <f aca="false">(E445/1000)*(F445/1000)*(G445/1000)*7850</f>
        <v>2121.0072</v>
      </c>
      <c r="I445" s="3" t="n">
        <v>1</v>
      </c>
      <c r="J445" s="9" t="n">
        <f aca="false">H445*I445</f>
        <v>2121.0072</v>
      </c>
      <c r="K445" s="3"/>
    </row>
    <row r="446" customFormat="false" ht="19.5" hidden="false" customHeight="false" outlineLevel="0" collapsed="false">
      <c r="A446" s="3" t="s">
        <v>110</v>
      </c>
      <c r="B446" s="3" t="s">
        <v>111</v>
      </c>
      <c r="C446" s="3" t="s">
        <v>81</v>
      </c>
      <c r="D446" s="3" t="s">
        <v>9</v>
      </c>
      <c r="E446" s="3" t="n">
        <v>3629</v>
      </c>
      <c r="F446" s="3" t="n">
        <v>1760</v>
      </c>
      <c r="G446" s="3" t="n">
        <v>40</v>
      </c>
      <c r="H446" s="8" t="n">
        <f aca="false">(E446/1000)*(F446/1000)*(G446/1000)*7850</f>
        <v>2005.53056</v>
      </c>
      <c r="I446" s="3" t="n">
        <v>2</v>
      </c>
      <c r="J446" s="9" t="n">
        <f aca="false">H446*I446</f>
        <v>4011.06112</v>
      </c>
      <c r="K446" s="3"/>
    </row>
    <row r="447" customFormat="false" ht="19.5" hidden="false" customHeight="false" outlineLevel="0" collapsed="false">
      <c r="A447" s="3" t="s">
        <v>110</v>
      </c>
      <c r="B447" s="3" t="s">
        <v>111</v>
      </c>
      <c r="C447" s="3" t="s">
        <v>81</v>
      </c>
      <c r="D447" s="3" t="s">
        <v>9</v>
      </c>
      <c r="E447" s="3" t="n">
        <v>3629</v>
      </c>
      <c r="F447" s="3" t="n">
        <v>320</v>
      </c>
      <c r="G447" s="3" t="n">
        <v>32</v>
      </c>
      <c r="H447" s="8" t="n">
        <f aca="false">(E447/1000)*(F447/1000)*(G447/1000)*7850</f>
        <v>291.713536</v>
      </c>
      <c r="I447" s="3" t="n">
        <v>4</v>
      </c>
      <c r="J447" s="9" t="n">
        <f aca="false">H447*I447</f>
        <v>1166.854144</v>
      </c>
      <c r="K447" s="3"/>
    </row>
    <row r="448" customFormat="false" ht="19.5" hidden="false" customHeight="false" outlineLevel="0" collapsed="false">
      <c r="A448" s="3" t="s">
        <v>110</v>
      </c>
      <c r="B448" s="3" t="s">
        <v>111</v>
      </c>
      <c r="C448" s="3" t="s">
        <v>81</v>
      </c>
      <c r="D448" s="3" t="s">
        <v>9</v>
      </c>
      <c r="E448" s="3" t="n">
        <v>4729</v>
      </c>
      <c r="F448" s="3" t="n">
        <v>320</v>
      </c>
      <c r="G448" s="3" t="n">
        <v>32</v>
      </c>
      <c r="H448" s="8" t="n">
        <f aca="false">(E448/1000)*(F448/1000)*(G448/1000)*7850</f>
        <v>380.135936</v>
      </c>
      <c r="I448" s="3" t="n">
        <v>1</v>
      </c>
      <c r="J448" s="9" t="n">
        <f aca="false">H448*I448</f>
        <v>380.135936</v>
      </c>
      <c r="K448" s="3"/>
    </row>
    <row r="449" customFormat="false" ht="19.5" hidden="false" customHeight="false" outlineLevel="0" collapsed="false">
      <c r="A449" s="3" t="s">
        <v>110</v>
      </c>
      <c r="B449" s="3" t="s">
        <v>111</v>
      </c>
      <c r="C449" s="3" t="s">
        <v>81</v>
      </c>
      <c r="D449" s="3" t="s">
        <v>9</v>
      </c>
      <c r="E449" s="3" t="n">
        <v>4929</v>
      </c>
      <c r="F449" s="3" t="n">
        <v>320</v>
      </c>
      <c r="G449" s="3" t="n">
        <v>32</v>
      </c>
      <c r="H449" s="8" t="n">
        <f aca="false">(E449/1000)*(F449/1000)*(G449/1000)*7850</f>
        <v>396.212736</v>
      </c>
      <c r="I449" s="3" t="n">
        <v>1</v>
      </c>
      <c r="J449" s="9" t="n">
        <f aca="false">H449*I449</f>
        <v>396.212736</v>
      </c>
      <c r="K449" s="3"/>
    </row>
    <row r="450" customFormat="false" ht="19.5" hidden="false" customHeight="false" outlineLevel="0" collapsed="false">
      <c r="A450" s="3" t="s">
        <v>110</v>
      </c>
      <c r="B450" s="3" t="s">
        <v>111</v>
      </c>
      <c r="C450" s="3" t="s">
        <v>81</v>
      </c>
      <c r="D450" s="3" t="s">
        <v>9</v>
      </c>
      <c r="E450" s="3" t="n">
        <v>1600</v>
      </c>
      <c r="F450" s="3" t="n">
        <v>1200</v>
      </c>
      <c r="G450" s="3" t="n">
        <v>16</v>
      </c>
      <c r="H450" s="8" t="n">
        <f aca="false">(E450/1000)*(F450/1000)*(G450/1000)*7850</f>
        <v>241.152</v>
      </c>
      <c r="I450" s="3" t="n">
        <v>1</v>
      </c>
      <c r="J450" s="9" t="n">
        <f aca="false">H450*I450</f>
        <v>241.152</v>
      </c>
      <c r="K450" s="3"/>
    </row>
    <row r="451" customFormat="false" ht="19.5" hidden="false" customHeight="false" outlineLevel="0" collapsed="false">
      <c r="A451" s="3" t="s">
        <v>110</v>
      </c>
      <c r="B451" s="3" t="s">
        <v>111</v>
      </c>
      <c r="C451" s="3" t="s">
        <v>81</v>
      </c>
      <c r="D451" s="3" t="s">
        <v>9</v>
      </c>
      <c r="E451" s="3" t="n">
        <v>5440</v>
      </c>
      <c r="F451" s="3" t="n">
        <v>1200</v>
      </c>
      <c r="G451" s="3" t="n">
        <v>40</v>
      </c>
      <c r="H451" s="8" t="n">
        <f aca="false">(E451/1000)*(F451/1000)*(G451/1000)*7850</f>
        <v>2049.792</v>
      </c>
      <c r="I451" s="3" t="n">
        <v>1</v>
      </c>
      <c r="J451" s="9" t="n">
        <f aca="false">H451*I451</f>
        <v>2049.792</v>
      </c>
      <c r="K451" s="3"/>
    </row>
    <row r="452" customFormat="false" ht="19.5" hidden="false" customHeight="false" outlineLevel="0" collapsed="false">
      <c r="A452" s="3" t="s">
        <v>110</v>
      </c>
      <c r="B452" s="3" t="s">
        <v>111</v>
      </c>
      <c r="C452" s="3" t="s">
        <v>81</v>
      </c>
      <c r="D452" s="3" t="s">
        <v>9</v>
      </c>
      <c r="E452" s="3" t="n">
        <v>5640</v>
      </c>
      <c r="F452" s="3" t="n">
        <v>1200</v>
      </c>
      <c r="G452" s="3" t="n">
        <v>40</v>
      </c>
      <c r="H452" s="8" t="n">
        <f aca="false">(E452/1000)*(F452/1000)*(G452/1000)*7850</f>
        <v>2125.152</v>
      </c>
      <c r="I452" s="3" t="n">
        <v>1</v>
      </c>
      <c r="J452" s="9" t="n">
        <f aca="false">H452*I452</f>
        <v>2125.152</v>
      </c>
      <c r="K452" s="3"/>
    </row>
    <row r="453" customFormat="false" ht="19.5" hidden="false" customHeight="false" outlineLevel="0" collapsed="false">
      <c r="A453" s="3" t="s">
        <v>110</v>
      </c>
      <c r="B453" s="3" t="s">
        <v>111</v>
      </c>
      <c r="C453" s="3" t="s">
        <v>81</v>
      </c>
      <c r="D453" s="3" t="s">
        <v>9</v>
      </c>
      <c r="E453" s="3" t="n">
        <v>3640</v>
      </c>
      <c r="F453" s="3" t="n">
        <v>1760</v>
      </c>
      <c r="G453" s="3" t="n">
        <v>40</v>
      </c>
      <c r="H453" s="8" t="n">
        <f aca="false">(E453/1000)*(F453/1000)*(G453/1000)*7850</f>
        <v>2011.6096</v>
      </c>
      <c r="I453" s="3" t="n">
        <v>1</v>
      </c>
      <c r="J453" s="9" t="n">
        <f aca="false">H453*I453</f>
        <v>2011.6096</v>
      </c>
      <c r="K453" s="3"/>
    </row>
    <row r="454" customFormat="false" ht="19.5" hidden="false" customHeight="false" outlineLevel="0" collapsed="false">
      <c r="A454" s="3" t="s">
        <v>110</v>
      </c>
      <c r="B454" s="3" t="s">
        <v>111</v>
      </c>
      <c r="C454" s="3" t="s">
        <v>81</v>
      </c>
      <c r="D454" s="3" t="s">
        <v>9</v>
      </c>
      <c r="E454" s="3" t="n">
        <v>3640</v>
      </c>
      <c r="F454" s="3" t="n">
        <v>320</v>
      </c>
      <c r="G454" s="3" t="n">
        <v>32</v>
      </c>
      <c r="H454" s="8" t="n">
        <f aca="false">(E454/1000)*(F454/1000)*(G454/1000)*7850</f>
        <v>292.59776</v>
      </c>
      <c r="I454" s="3" t="n">
        <v>4</v>
      </c>
      <c r="J454" s="9" t="n">
        <f aca="false">H454*I454</f>
        <v>1170.39104</v>
      </c>
      <c r="K454" s="3"/>
    </row>
    <row r="455" customFormat="false" ht="19.5" hidden="false" customHeight="false" outlineLevel="0" collapsed="false">
      <c r="A455" s="3" t="s">
        <v>110</v>
      </c>
      <c r="B455" s="3" t="s">
        <v>111</v>
      </c>
      <c r="C455" s="3" t="s">
        <v>90</v>
      </c>
      <c r="D455" s="3" t="s">
        <v>9</v>
      </c>
      <c r="E455" s="3" t="n">
        <v>4740</v>
      </c>
      <c r="F455" s="3" t="n">
        <v>320</v>
      </c>
      <c r="G455" s="3" t="n">
        <v>32</v>
      </c>
      <c r="H455" s="8" t="n">
        <f aca="false">(E455/1000)*(F455/1000)*(G455/1000)*7850</f>
        <v>381.02016</v>
      </c>
      <c r="I455" s="3" t="n">
        <v>1</v>
      </c>
      <c r="J455" s="9" t="n">
        <f aca="false">H455*I455</f>
        <v>381.02016</v>
      </c>
      <c r="K455" s="3"/>
    </row>
    <row r="456" customFormat="false" ht="19.5" hidden="false" customHeight="false" outlineLevel="0" collapsed="false">
      <c r="A456" s="3" t="s">
        <v>110</v>
      </c>
      <c r="B456" s="3" t="s">
        <v>111</v>
      </c>
      <c r="C456" s="3" t="s">
        <v>92</v>
      </c>
      <c r="D456" s="3" t="s">
        <v>9</v>
      </c>
      <c r="E456" s="3" t="n">
        <v>1600</v>
      </c>
      <c r="F456" s="3" t="n">
        <v>1200</v>
      </c>
      <c r="G456" s="3" t="n">
        <v>16</v>
      </c>
      <c r="H456" s="8" t="n">
        <f aca="false">(E456/1000)*(F456/1000)*(G456/1000)*7850</f>
        <v>241.152</v>
      </c>
      <c r="I456" s="3" t="n">
        <v>3</v>
      </c>
      <c r="J456" s="9" t="n">
        <f aca="false">H456*I456</f>
        <v>723.456</v>
      </c>
      <c r="K456" s="3"/>
    </row>
    <row r="457" customFormat="false" ht="19.5" hidden="false" customHeight="false" outlineLevel="0" collapsed="false">
      <c r="A457" s="3" t="s">
        <v>110</v>
      </c>
      <c r="B457" s="3" t="s">
        <v>111</v>
      </c>
      <c r="C457" s="3" t="s">
        <v>93</v>
      </c>
      <c r="D457" s="3" t="s">
        <v>9</v>
      </c>
      <c r="E457" s="3" t="n">
        <v>2100</v>
      </c>
      <c r="F457" s="3" t="n">
        <v>320</v>
      </c>
      <c r="G457" s="3" t="n">
        <v>32</v>
      </c>
      <c r="H457" s="8" t="n">
        <f aca="false">(E457/1000)*(F457/1000)*(G457/1000)*7850</f>
        <v>168.8064</v>
      </c>
      <c r="I457" s="3" t="n">
        <v>8</v>
      </c>
      <c r="J457" s="9" t="n">
        <f aca="false">H457*I457</f>
        <v>1350.4512</v>
      </c>
      <c r="K457" s="3"/>
    </row>
    <row r="458" customFormat="false" ht="19.5" hidden="false" customHeight="false" outlineLevel="0" collapsed="false">
      <c r="A458" s="3" t="s">
        <v>110</v>
      </c>
      <c r="B458" s="3" t="s">
        <v>111</v>
      </c>
      <c r="C458" s="3" t="s">
        <v>94</v>
      </c>
      <c r="D458" s="3" t="s">
        <v>9</v>
      </c>
      <c r="E458" s="3" t="n">
        <v>2000</v>
      </c>
      <c r="F458" s="3" t="n">
        <v>320</v>
      </c>
      <c r="G458" s="3" t="n">
        <v>32</v>
      </c>
      <c r="H458" s="8" t="n">
        <f aca="false">(E458/1000)*(F458/1000)*(G458/1000)*7850</f>
        <v>160.768</v>
      </c>
      <c r="I458" s="3" t="n">
        <v>8</v>
      </c>
      <c r="J458" s="9" t="n">
        <f aca="false">H458*I458</f>
        <v>1286.144</v>
      </c>
      <c r="K458" s="3"/>
    </row>
    <row r="459" customFormat="false" ht="19.5" hidden="false" customHeight="false" outlineLevel="0" collapsed="false">
      <c r="A459" s="3" t="s">
        <v>112</v>
      </c>
      <c r="B459" s="3" t="s">
        <v>113</v>
      </c>
      <c r="C459" s="3" t="s">
        <v>44</v>
      </c>
      <c r="D459" s="3" t="s">
        <v>9</v>
      </c>
      <c r="E459" s="3" t="n">
        <v>15280</v>
      </c>
      <c r="F459" s="3" t="n">
        <v>1000</v>
      </c>
      <c r="G459" s="3" t="n">
        <v>40</v>
      </c>
      <c r="H459" s="8" t="n">
        <f aca="false">(E459/1000)*(F459/1000)*(G459/1000)*7850</f>
        <v>4797.92</v>
      </c>
      <c r="I459" s="3" t="n">
        <v>1</v>
      </c>
      <c r="J459" s="9" t="n">
        <f aca="false">H459*I459</f>
        <v>4797.92</v>
      </c>
      <c r="K459" s="3"/>
    </row>
    <row r="460" customFormat="false" ht="19.5" hidden="false" customHeight="false" outlineLevel="0" collapsed="false">
      <c r="A460" s="3" t="s">
        <v>112</v>
      </c>
      <c r="B460" s="3" t="s">
        <v>113</v>
      </c>
      <c r="C460" s="3" t="s">
        <v>45</v>
      </c>
      <c r="D460" s="3" t="s">
        <v>9</v>
      </c>
      <c r="E460" s="3" t="n">
        <v>13730</v>
      </c>
      <c r="F460" s="3" t="n">
        <v>1000</v>
      </c>
      <c r="G460" s="3" t="n">
        <v>40</v>
      </c>
      <c r="H460" s="8" t="n">
        <f aca="false">(E460/1000)*(F460/1000)*(G460/1000)*7850</f>
        <v>4311.22</v>
      </c>
      <c r="I460" s="3" t="n">
        <v>1</v>
      </c>
      <c r="J460" s="9" t="n">
        <f aca="false">H460*I460</f>
        <v>4311.22</v>
      </c>
      <c r="K460" s="3"/>
    </row>
    <row r="461" customFormat="false" ht="19.5" hidden="false" customHeight="false" outlineLevel="0" collapsed="false">
      <c r="A461" s="3" t="s">
        <v>112</v>
      </c>
      <c r="B461" s="3" t="s">
        <v>113</v>
      </c>
      <c r="C461" s="3" t="s">
        <v>45</v>
      </c>
      <c r="D461" s="3" t="s">
        <v>9</v>
      </c>
      <c r="E461" s="3" t="n">
        <v>7900</v>
      </c>
      <c r="F461" s="3" t="n">
        <v>1200</v>
      </c>
      <c r="G461" s="3" t="n">
        <v>40</v>
      </c>
      <c r="H461" s="8" t="n">
        <f aca="false">(E461/1000)*(F461/1000)*(G461/1000)*7850</f>
        <v>2976.72</v>
      </c>
      <c r="I461" s="3" t="n">
        <v>1</v>
      </c>
      <c r="J461" s="9" t="n">
        <f aca="false">H461*I461</f>
        <v>2976.72</v>
      </c>
      <c r="K461" s="3"/>
    </row>
    <row r="462" customFormat="false" ht="19.5" hidden="false" customHeight="false" outlineLevel="0" collapsed="false">
      <c r="A462" s="3" t="s">
        <v>112</v>
      </c>
      <c r="B462" s="3" t="s">
        <v>113</v>
      </c>
      <c r="C462" s="3" t="s">
        <v>45</v>
      </c>
      <c r="D462" s="3" t="s">
        <v>9</v>
      </c>
      <c r="E462" s="3" t="n">
        <v>7100</v>
      </c>
      <c r="F462" s="3" t="n">
        <v>1200</v>
      </c>
      <c r="G462" s="3" t="n">
        <v>40</v>
      </c>
      <c r="H462" s="8" t="n">
        <f aca="false">(E462/1000)*(F462/1000)*(G462/1000)*7850</f>
        <v>2675.28</v>
      </c>
      <c r="I462" s="3" t="n">
        <v>1</v>
      </c>
      <c r="J462" s="9" t="n">
        <f aca="false">H462*I462</f>
        <v>2675.28</v>
      </c>
      <c r="K462" s="3"/>
    </row>
    <row r="463" customFormat="false" ht="19.5" hidden="false" customHeight="false" outlineLevel="0" collapsed="false">
      <c r="A463" s="3" t="s">
        <v>112</v>
      </c>
      <c r="B463" s="3" t="s">
        <v>113</v>
      </c>
      <c r="C463" s="3" t="s">
        <v>48</v>
      </c>
      <c r="D463" s="3" t="s">
        <v>9</v>
      </c>
      <c r="E463" s="3" t="n">
        <v>26090</v>
      </c>
      <c r="F463" s="3" t="n">
        <v>1000</v>
      </c>
      <c r="G463" s="3" t="n">
        <v>44</v>
      </c>
      <c r="H463" s="8" t="n">
        <f aca="false">(E463/1000)*(F463/1000)*(G463/1000)*7850</f>
        <v>9011.486</v>
      </c>
      <c r="I463" s="3" t="n">
        <v>2</v>
      </c>
      <c r="J463" s="9" t="n">
        <f aca="false">H463*I463</f>
        <v>18022.972</v>
      </c>
      <c r="K463" s="3"/>
    </row>
    <row r="464" customFormat="false" ht="19.5" hidden="false" customHeight="false" outlineLevel="0" collapsed="false">
      <c r="A464" s="3" t="s">
        <v>112</v>
      </c>
      <c r="B464" s="3" t="s">
        <v>113</v>
      </c>
      <c r="C464" s="3" t="s">
        <v>49</v>
      </c>
      <c r="D464" s="3" t="s">
        <v>9</v>
      </c>
      <c r="E464" s="3" t="n">
        <v>7300</v>
      </c>
      <c r="F464" s="3" t="n">
        <v>2048</v>
      </c>
      <c r="G464" s="3" t="n">
        <v>48</v>
      </c>
      <c r="H464" s="8" t="n">
        <f aca="false">(E464/1000)*(F464/1000)*(G464/1000)*7850</f>
        <v>5633.31072</v>
      </c>
      <c r="I464" s="3" t="n">
        <v>2</v>
      </c>
      <c r="J464" s="9" t="n">
        <f aca="false">H464*I464</f>
        <v>11266.62144</v>
      </c>
      <c r="K464" s="3"/>
    </row>
    <row r="465" customFormat="false" ht="19.5" hidden="false" customHeight="false" outlineLevel="0" collapsed="false">
      <c r="A465" s="3" t="s">
        <v>112</v>
      </c>
      <c r="B465" s="3" t="s">
        <v>113</v>
      </c>
      <c r="C465" s="3" t="s">
        <v>50</v>
      </c>
      <c r="D465" s="3" t="s">
        <v>9</v>
      </c>
      <c r="E465" s="3" t="n">
        <v>7900</v>
      </c>
      <c r="F465" s="3" t="n">
        <v>320</v>
      </c>
      <c r="G465" s="3" t="n">
        <v>32</v>
      </c>
      <c r="H465" s="8" t="n">
        <f aca="false">(E465/1000)*(F465/1000)*(G465/1000)*7850</f>
        <v>635.0336</v>
      </c>
      <c r="I465" s="3" t="n">
        <v>6</v>
      </c>
      <c r="J465" s="9" t="n">
        <f aca="false">H465*I465</f>
        <v>3810.2016</v>
      </c>
      <c r="K465" s="3"/>
    </row>
    <row r="466" customFormat="false" ht="19.5" hidden="false" customHeight="false" outlineLevel="0" collapsed="false">
      <c r="A466" s="3" t="s">
        <v>112</v>
      </c>
      <c r="B466" s="3" t="s">
        <v>113</v>
      </c>
      <c r="C466" s="3" t="s">
        <v>51</v>
      </c>
      <c r="D466" s="3" t="s">
        <v>9</v>
      </c>
      <c r="E466" s="3" t="n">
        <v>7901</v>
      </c>
      <c r="F466" s="3" t="n">
        <v>2500</v>
      </c>
      <c r="G466" s="3" t="n">
        <v>32</v>
      </c>
      <c r="H466" s="8" t="n">
        <f aca="false">(E466/1000)*(F466/1000)*(G466/1000)*7850</f>
        <v>4961.828</v>
      </c>
      <c r="I466" s="3" t="n">
        <v>1</v>
      </c>
      <c r="J466" s="9" t="n">
        <f aca="false">H466*I466</f>
        <v>4961.828</v>
      </c>
      <c r="K466" s="3"/>
    </row>
    <row r="467" customFormat="false" ht="19.5" hidden="false" customHeight="false" outlineLevel="0" collapsed="false">
      <c r="A467" s="3" t="s">
        <v>112</v>
      </c>
      <c r="B467" s="3" t="s">
        <v>113</v>
      </c>
      <c r="C467" s="3" t="s">
        <v>70</v>
      </c>
      <c r="D467" s="3" t="s">
        <v>9</v>
      </c>
      <c r="E467" s="3" t="n">
        <v>6950</v>
      </c>
      <c r="F467" s="3" t="n">
        <v>2500</v>
      </c>
      <c r="G467" s="3" t="n">
        <v>32</v>
      </c>
      <c r="H467" s="8" t="n">
        <f aca="false">(E467/1000)*(F467/1000)*(G467/1000)*7850</f>
        <v>4364.6</v>
      </c>
      <c r="I467" s="3" t="n">
        <v>1</v>
      </c>
      <c r="J467" s="9" t="n">
        <f aca="false">H467*I467</f>
        <v>4364.6</v>
      </c>
      <c r="K467" s="3"/>
    </row>
    <row r="468" customFormat="false" ht="19.5" hidden="false" customHeight="false" outlineLevel="0" collapsed="false">
      <c r="A468" s="3" t="s">
        <v>112</v>
      </c>
      <c r="B468" s="3" t="s">
        <v>113</v>
      </c>
      <c r="C468" s="3" t="s">
        <v>52</v>
      </c>
      <c r="D468" s="3" t="s">
        <v>9</v>
      </c>
      <c r="E468" s="3" t="n">
        <v>17240</v>
      </c>
      <c r="F468" s="3" t="n">
        <v>1000</v>
      </c>
      <c r="G468" s="3" t="n">
        <v>40</v>
      </c>
      <c r="H468" s="8" t="n">
        <f aca="false">(E468/1000)*(F468/1000)*(G468/1000)*7850</f>
        <v>5413.36</v>
      </c>
      <c r="I468" s="3" t="n">
        <v>1</v>
      </c>
      <c r="J468" s="9" t="n">
        <f aca="false">H468*I468</f>
        <v>5413.36</v>
      </c>
      <c r="K468" s="3"/>
    </row>
    <row r="469" customFormat="false" ht="19.5" hidden="false" customHeight="false" outlineLevel="0" collapsed="false">
      <c r="A469" s="3" t="s">
        <v>112</v>
      </c>
      <c r="B469" s="3" t="s">
        <v>113</v>
      </c>
      <c r="C469" s="3" t="s">
        <v>53</v>
      </c>
      <c r="D469" s="3" t="s">
        <v>9</v>
      </c>
      <c r="E469" s="3" t="n">
        <v>10930</v>
      </c>
      <c r="F469" s="3" t="n">
        <v>1000</v>
      </c>
      <c r="G469" s="3" t="n">
        <v>32</v>
      </c>
      <c r="H469" s="8" t="n">
        <f aca="false">(E469/1000)*(F469/1000)*(G469/1000)*7850</f>
        <v>2745.616</v>
      </c>
      <c r="I469" s="3" t="n">
        <v>1</v>
      </c>
      <c r="J469" s="9" t="n">
        <f aca="false">H469*I469</f>
        <v>2745.616</v>
      </c>
      <c r="K469" s="3"/>
    </row>
    <row r="470" customFormat="false" ht="19.5" hidden="false" customHeight="false" outlineLevel="0" collapsed="false">
      <c r="A470" s="3" t="s">
        <v>112</v>
      </c>
      <c r="B470" s="3" t="s">
        <v>113</v>
      </c>
      <c r="C470" s="3" t="s">
        <v>67</v>
      </c>
      <c r="D470" s="3" t="s">
        <v>9</v>
      </c>
      <c r="E470" s="3" t="n">
        <v>25500</v>
      </c>
      <c r="F470" s="3" t="n">
        <v>1000</v>
      </c>
      <c r="G470" s="3" t="n">
        <v>44</v>
      </c>
      <c r="H470" s="8" t="n">
        <f aca="false">(E470/1000)*(F470/1000)*(G470/1000)*7850</f>
        <v>8807.7</v>
      </c>
      <c r="I470" s="3" t="n">
        <v>2</v>
      </c>
      <c r="J470" s="9" t="n">
        <f aca="false">H470*I470</f>
        <v>17615.4</v>
      </c>
      <c r="K470" s="3"/>
    </row>
    <row r="471" customFormat="false" ht="19.5" hidden="false" customHeight="false" outlineLevel="0" collapsed="false">
      <c r="A471" s="3" t="s">
        <v>112</v>
      </c>
      <c r="B471" s="3" t="s">
        <v>113</v>
      </c>
      <c r="C471" s="3" t="s">
        <v>54</v>
      </c>
      <c r="D471" s="3" t="s">
        <v>9</v>
      </c>
      <c r="E471" s="3" t="n">
        <v>7150</v>
      </c>
      <c r="F471" s="3" t="n">
        <v>1880</v>
      </c>
      <c r="G471" s="3" t="n">
        <v>44</v>
      </c>
      <c r="H471" s="8" t="n">
        <f aca="false">(E471/1000)*(F471/1000)*(G471/1000)*7850</f>
        <v>4642.8668</v>
      </c>
      <c r="I471" s="3" t="n">
        <v>2</v>
      </c>
      <c r="J471" s="9" t="n">
        <f aca="false">H471*I471</f>
        <v>9285.7336</v>
      </c>
      <c r="K471" s="3"/>
    </row>
    <row r="472" customFormat="false" ht="19.5" hidden="false" customHeight="false" outlineLevel="0" collapsed="false">
      <c r="A472" s="3" t="s">
        <v>112</v>
      </c>
      <c r="B472" s="3" t="s">
        <v>113</v>
      </c>
      <c r="C472" s="3" t="s">
        <v>55</v>
      </c>
      <c r="D472" s="3" t="s">
        <v>9</v>
      </c>
      <c r="E472" s="3" t="n">
        <v>7901</v>
      </c>
      <c r="F472" s="3" t="n">
        <v>320</v>
      </c>
      <c r="G472" s="3" t="n">
        <v>32</v>
      </c>
      <c r="H472" s="8" t="n">
        <f aca="false">(E472/1000)*(F472/1000)*(G472/1000)*7850</f>
        <v>635.113984</v>
      </c>
      <c r="I472" s="3" t="n">
        <v>4</v>
      </c>
      <c r="J472" s="9" t="n">
        <f aca="false">H472*I472</f>
        <v>2540.455936</v>
      </c>
      <c r="K472" s="3"/>
    </row>
    <row r="473" customFormat="false" ht="19.5" hidden="false" customHeight="false" outlineLevel="0" collapsed="false">
      <c r="A473" s="3" t="s">
        <v>112</v>
      </c>
      <c r="B473" s="3" t="s">
        <v>113</v>
      </c>
      <c r="C473" s="3" t="s">
        <v>56</v>
      </c>
      <c r="D473" s="3" t="s">
        <v>9</v>
      </c>
      <c r="E473" s="3" t="n">
        <v>6950</v>
      </c>
      <c r="F473" s="3" t="n">
        <v>320</v>
      </c>
      <c r="G473" s="3" t="n">
        <v>32</v>
      </c>
      <c r="H473" s="8" t="n">
        <f aca="false">(E473/1000)*(F473/1000)*(G473/1000)*7850</f>
        <v>558.6688</v>
      </c>
      <c r="I473" s="3" t="n">
        <v>4</v>
      </c>
      <c r="J473" s="9" t="n">
        <f aca="false">H473*I473</f>
        <v>2234.6752</v>
      </c>
      <c r="K473" s="3"/>
    </row>
    <row r="474" customFormat="false" ht="19.5" hidden="false" customHeight="false" outlineLevel="0" collapsed="false">
      <c r="A474" s="3" t="s">
        <v>112</v>
      </c>
      <c r="B474" s="3" t="s">
        <v>113</v>
      </c>
      <c r="C474" s="3" t="s">
        <v>57</v>
      </c>
      <c r="D474" s="3" t="s">
        <v>9</v>
      </c>
      <c r="E474" s="3" t="n">
        <v>14851</v>
      </c>
      <c r="F474" s="3" t="n">
        <v>170</v>
      </c>
      <c r="G474" s="3" t="n">
        <v>14</v>
      </c>
      <c r="H474" s="8" t="n">
        <f aca="false">(E474/1000)*(F474/1000)*(G474/1000)*7850</f>
        <v>277.461233</v>
      </c>
      <c r="I474" s="3" t="n">
        <v>2</v>
      </c>
      <c r="J474" s="9" t="n">
        <f aca="false">H474*I474</f>
        <v>554.922466</v>
      </c>
      <c r="K474" s="3"/>
    </row>
    <row r="475" customFormat="false" ht="19.5" hidden="false" customHeight="false" outlineLevel="0" collapsed="false">
      <c r="A475" s="3" t="s">
        <v>112</v>
      </c>
      <c r="B475" s="3" t="s">
        <v>113</v>
      </c>
      <c r="C475" s="3" t="s">
        <v>58</v>
      </c>
      <c r="D475" s="3" t="s">
        <v>9</v>
      </c>
      <c r="E475" s="3" t="n">
        <v>10842</v>
      </c>
      <c r="F475" s="3" t="n">
        <v>1200</v>
      </c>
      <c r="G475" s="3" t="n">
        <v>40</v>
      </c>
      <c r="H475" s="8" t="n">
        <f aca="false">(E475/1000)*(F475/1000)*(G475/1000)*7850</f>
        <v>4085.2656</v>
      </c>
      <c r="I475" s="3" t="n">
        <v>1</v>
      </c>
      <c r="J475" s="9" t="n">
        <f aca="false">H475*I475</f>
        <v>4085.2656</v>
      </c>
      <c r="K475" s="3"/>
    </row>
    <row r="476" customFormat="false" ht="19.5" hidden="false" customHeight="false" outlineLevel="0" collapsed="false">
      <c r="A476" s="3" t="s">
        <v>112</v>
      </c>
      <c r="B476" s="3" t="s">
        <v>113</v>
      </c>
      <c r="C476" s="3" t="s">
        <v>81</v>
      </c>
      <c r="D476" s="3" t="s">
        <v>9</v>
      </c>
      <c r="E476" s="3" t="n">
        <v>11042</v>
      </c>
      <c r="F476" s="3" t="n">
        <v>1200</v>
      </c>
      <c r="G476" s="3" t="n">
        <v>40</v>
      </c>
      <c r="H476" s="8" t="n">
        <f aca="false">(E476/1000)*(F476/1000)*(G476/1000)*7850</f>
        <v>4160.6256</v>
      </c>
      <c r="I476" s="3" t="n">
        <v>1</v>
      </c>
      <c r="J476" s="9" t="n">
        <f aca="false">H476*I476</f>
        <v>4160.6256</v>
      </c>
      <c r="K476" s="3"/>
    </row>
    <row r="477" customFormat="false" ht="19.5" hidden="false" customHeight="false" outlineLevel="0" collapsed="false">
      <c r="A477" s="3" t="s">
        <v>112</v>
      </c>
      <c r="B477" s="3" t="s">
        <v>113</v>
      </c>
      <c r="C477" s="3" t="s">
        <v>60</v>
      </c>
      <c r="D477" s="3" t="s">
        <v>9</v>
      </c>
      <c r="E477" s="3" t="n">
        <v>7242</v>
      </c>
      <c r="F477" s="3" t="n">
        <v>320</v>
      </c>
      <c r="G477" s="3" t="n">
        <v>32</v>
      </c>
      <c r="H477" s="8" t="n">
        <f aca="false">(E477/1000)*(F477/1000)*(G477/1000)*7850</f>
        <v>582.140928</v>
      </c>
      <c r="I477" s="3" t="n">
        <v>4</v>
      </c>
      <c r="J477" s="9" t="n">
        <f aca="false">H477*I477</f>
        <v>2328.563712</v>
      </c>
      <c r="K477" s="3"/>
    </row>
    <row r="478" customFormat="false" ht="19.5" hidden="false" customHeight="false" outlineLevel="0" collapsed="false">
      <c r="A478" s="3" t="s">
        <v>112</v>
      </c>
      <c r="B478" s="3" t="s">
        <v>113</v>
      </c>
      <c r="C478" s="3" t="s">
        <v>74</v>
      </c>
      <c r="D478" s="3" t="s">
        <v>9</v>
      </c>
      <c r="E478" s="3" t="n">
        <v>9442</v>
      </c>
      <c r="F478" s="3" t="n">
        <v>320</v>
      </c>
      <c r="G478" s="3" t="n">
        <v>32</v>
      </c>
      <c r="H478" s="8" t="n">
        <f aca="false">(E478/1000)*(F478/1000)*(G478/1000)*7850</f>
        <v>758.985728</v>
      </c>
      <c r="I478" s="3" t="n">
        <v>1</v>
      </c>
      <c r="J478" s="9" t="n">
        <f aca="false">H478*I478</f>
        <v>758.985728</v>
      </c>
      <c r="K478" s="3"/>
    </row>
    <row r="479" customFormat="false" ht="19.5" hidden="false" customHeight="false" outlineLevel="0" collapsed="false">
      <c r="A479" s="3" t="s">
        <v>112</v>
      </c>
      <c r="B479" s="3" t="s">
        <v>113</v>
      </c>
      <c r="C479" s="3" t="s">
        <v>71</v>
      </c>
      <c r="D479" s="3" t="s">
        <v>9</v>
      </c>
      <c r="E479" s="3" t="n">
        <v>9642</v>
      </c>
      <c r="F479" s="3" t="n">
        <v>320</v>
      </c>
      <c r="G479" s="3" t="n">
        <v>32</v>
      </c>
      <c r="H479" s="8" t="n">
        <f aca="false">(E479/1000)*(F479/1000)*(G479/1000)*7850</f>
        <v>775.062528</v>
      </c>
      <c r="I479" s="3" t="n">
        <v>1</v>
      </c>
      <c r="J479" s="9" t="n">
        <f aca="false">H479*I479</f>
        <v>775.062528</v>
      </c>
      <c r="K479" s="3"/>
    </row>
    <row r="480" customFormat="false" ht="19.5" hidden="false" customHeight="false" outlineLevel="0" collapsed="false">
      <c r="A480" s="3" t="s">
        <v>112</v>
      </c>
      <c r="B480" s="3" t="s">
        <v>113</v>
      </c>
      <c r="C480" s="3" t="s">
        <v>61</v>
      </c>
      <c r="D480" s="3" t="s">
        <v>9</v>
      </c>
      <c r="E480" s="3" t="n">
        <v>5426</v>
      </c>
      <c r="F480" s="3" t="n">
        <v>1200</v>
      </c>
      <c r="G480" s="3" t="n">
        <v>36</v>
      </c>
      <c r="H480" s="8" t="n">
        <f aca="false">(E480/1000)*(F480/1000)*(G480/1000)*7850</f>
        <v>1840.06512</v>
      </c>
      <c r="I480" s="3" t="n">
        <v>1</v>
      </c>
      <c r="J480" s="9" t="n">
        <f aca="false">H480*I480</f>
        <v>1840.06512</v>
      </c>
      <c r="K480" s="3"/>
    </row>
    <row r="481" customFormat="false" ht="19.5" hidden="false" customHeight="false" outlineLevel="0" collapsed="false">
      <c r="A481" s="3" t="s">
        <v>112</v>
      </c>
      <c r="B481" s="3" t="s">
        <v>113</v>
      </c>
      <c r="C481" s="3" t="s">
        <v>102</v>
      </c>
      <c r="D481" s="3" t="s">
        <v>9</v>
      </c>
      <c r="E481" s="3" t="n">
        <v>5726</v>
      </c>
      <c r="F481" s="3" t="n">
        <v>1200</v>
      </c>
      <c r="G481" s="3" t="n">
        <v>36</v>
      </c>
      <c r="H481" s="8" t="n">
        <f aca="false">(E481/1000)*(F481/1000)*(G481/1000)*7850</f>
        <v>1941.80112</v>
      </c>
      <c r="I481" s="3" t="n">
        <v>1</v>
      </c>
      <c r="J481" s="9" t="n">
        <f aca="false">H481*I481</f>
        <v>1941.80112</v>
      </c>
      <c r="K481" s="3"/>
    </row>
    <row r="482" customFormat="false" ht="19.5" hidden="false" customHeight="false" outlineLevel="0" collapsed="false">
      <c r="A482" s="3" t="s">
        <v>112</v>
      </c>
      <c r="B482" s="3" t="s">
        <v>113</v>
      </c>
      <c r="C482" s="3" t="s">
        <v>85</v>
      </c>
      <c r="D482" s="3" t="s">
        <v>9</v>
      </c>
      <c r="E482" s="3" t="n">
        <v>3626</v>
      </c>
      <c r="F482" s="3" t="n">
        <v>1360</v>
      </c>
      <c r="G482" s="3" t="n">
        <v>36</v>
      </c>
      <c r="H482" s="8" t="n">
        <f aca="false">(E482/1000)*(F482/1000)*(G482/1000)*7850</f>
        <v>1393.602336</v>
      </c>
      <c r="I482" s="3" t="n">
        <v>2</v>
      </c>
      <c r="J482" s="9" t="n">
        <f aca="false">H482*I482</f>
        <v>2787.204672</v>
      </c>
      <c r="K482" s="3"/>
    </row>
    <row r="483" customFormat="false" ht="19.5" hidden="false" customHeight="false" outlineLevel="0" collapsed="false">
      <c r="A483" s="3" t="s">
        <v>112</v>
      </c>
      <c r="B483" s="3" t="s">
        <v>113</v>
      </c>
      <c r="C483" s="3" t="s">
        <v>103</v>
      </c>
      <c r="D483" s="3" t="s">
        <v>9</v>
      </c>
      <c r="E483" s="3" t="n">
        <v>4726</v>
      </c>
      <c r="F483" s="3" t="n">
        <v>320</v>
      </c>
      <c r="G483" s="3" t="n">
        <v>32</v>
      </c>
      <c r="H483" s="8" t="n">
        <f aca="false">(E483/1000)*(F483/1000)*(G483/1000)*7850</f>
        <v>379.894784</v>
      </c>
      <c r="I483" s="3" t="n">
        <v>1</v>
      </c>
      <c r="J483" s="9" t="n">
        <f aca="false">H483*I483</f>
        <v>379.894784</v>
      </c>
      <c r="K483" s="3"/>
    </row>
    <row r="484" customFormat="false" ht="19.5" hidden="false" customHeight="false" outlineLevel="0" collapsed="false">
      <c r="A484" s="3" t="s">
        <v>112</v>
      </c>
      <c r="B484" s="3" t="s">
        <v>113</v>
      </c>
      <c r="C484" s="3" t="s">
        <v>104</v>
      </c>
      <c r="D484" s="3" t="s">
        <v>9</v>
      </c>
      <c r="E484" s="3" t="n">
        <v>5026</v>
      </c>
      <c r="F484" s="3" t="n">
        <v>320</v>
      </c>
      <c r="G484" s="3" t="n">
        <v>32</v>
      </c>
      <c r="H484" s="8" t="n">
        <f aca="false">(E484/1000)*(F484/1000)*(G484/1000)*7850</f>
        <v>404.009984</v>
      </c>
      <c r="I484" s="3" t="n">
        <v>1</v>
      </c>
      <c r="J484" s="9" t="n">
        <f aca="false">H484*I484</f>
        <v>404.009984</v>
      </c>
      <c r="K484" s="3"/>
    </row>
    <row r="485" customFormat="false" ht="19.5" hidden="false" customHeight="false" outlineLevel="0" collapsed="false">
      <c r="A485" s="3" t="s">
        <v>112</v>
      </c>
      <c r="B485" s="3" t="s">
        <v>113</v>
      </c>
      <c r="C485" s="3" t="s">
        <v>107</v>
      </c>
      <c r="D485" s="3" t="s">
        <v>9</v>
      </c>
      <c r="E485" s="3" t="n">
        <v>5629</v>
      </c>
      <c r="F485" s="3" t="n">
        <v>1200</v>
      </c>
      <c r="G485" s="3" t="n">
        <v>40</v>
      </c>
      <c r="H485" s="8" t="n">
        <f aca="false">(E485/1000)*(F485/1000)*(G485/1000)*7850</f>
        <v>2121.0072</v>
      </c>
      <c r="I485" s="3" t="n">
        <v>1</v>
      </c>
      <c r="J485" s="9" t="n">
        <f aca="false">H485*I485</f>
        <v>2121.0072</v>
      </c>
      <c r="K485" s="3"/>
    </row>
    <row r="486" customFormat="false" ht="19.5" hidden="false" customHeight="false" outlineLevel="0" collapsed="false">
      <c r="A486" s="3" t="s">
        <v>112</v>
      </c>
      <c r="B486" s="3" t="s">
        <v>113</v>
      </c>
      <c r="C486" s="3" t="s">
        <v>97</v>
      </c>
      <c r="D486" s="3" t="s">
        <v>9</v>
      </c>
      <c r="E486" s="3" t="n">
        <v>5229</v>
      </c>
      <c r="F486" s="3" t="n">
        <v>1200</v>
      </c>
      <c r="G486" s="3" t="n">
        <v>40</v>
      </c>
      <c r="H486" s="8" t="n">
        <f aca="false">(E486/1000)*(F486/1000)*(G486/1000)*7850</f>
        <v>1970.2872</v>
      </c>
      <c r="I486" s="3" t="n">
        <v>1</v>
      </c>
      <c r="J486" s="9" t="n">
        <f aca="false">H486*I486</f>
        <v>1970.2872</v>
      </c>
      <c r="K486" s="3"/>
    </row>
    <row r="487" customFormat="false" ht="19.5" hidden="false" customHeight="false" outlineLevel="0" collapsed="false">
      <c r="A487" s="3" t="s">
        <v>112</v>
      </c>
      <c r="B487" s="3" t="s">
        <v>113</v>
      </c>
      <c r="C487" s="3" t="s">
        <v>88</v>
      </c>
      <c r="D487" s="3" t="s">
        <v>9</v>
      </c>
      <c r="E487" s="3" t="n">
        <v>3629</v>
      </c>
      <c r="F487" s="3" t="n">
        <v>1760</v>
      </c>
      <c r="G487" s="3" t="n">
        <v>40</v>
      </c>
      <c r="H487" s="8" t="n">
        <f aca="false">(E487/1000)*(F487/1000)*(G487/1000)*7850</f>
        <v>2005.53056</v>
      </c>
      <c r="I487" s="3" t="n">
        <v>2</v>
      </c>
      <c r="J487" s="9" t="n">
        <f aca="false">H487*I487</f>
        <v>4011.06112</v>
      </c>
      <c r="K487" s="3"/>
    </row>
    <row r="488" customFormat="false" ht="19.5" hidden="false" customHeight="false" outlineLevel="0" collapsed="false">
      <c r="A488" s="3" t="s">
        <v>112</v>
      </c>
      <c r="B488" s="3" t="s">
        <v>113</v>
      </c>
      <c r="C488" s="3" t="s">
        <v>89</v>
      </c>
      <c r="D488" s="3" t="s">
        <v>9</v>
      </c>
      <c r="E488" s="3" t="n">
        <v>3629</v>
      </c>
      <c r="F488" s="3" t="n">
        <v>320</v>
      </c>
      <c r="G488" s="3" t="n">
        <v>32</v>
      </c>
      <c r="H488" s="8" t="n">
        <f aca="false">(E488/1000)*(F488/1000)*(G488/1000)*7850</f>
        <v>291.713536</v>
      </c>
      <c r="I488" s="3" t="n">
        <v>4</v>
      </c>
      <c r="J488" s="9" t="n">
        <f aca="false">H488*I488</f>
        <v>1166.854144</v>
      </c>
      <c r="K488" s="3"/>
    </row>
    <row r="489" customFormat="false" ht="19.5" hidden="false" customHeight="false" outlineLevel="0" collapsed="false">
      <c r="A489" s="3" t="s">
        <v>112</v>
      </c>
      <c r="B489" s="3" t="s">
        <v>113</v>
      </c>
      <c r="C489" s="3" t="s">
        <v>90</v>
      </c>
      <c r="D489" s="3" t="s">
        <v>9</v>
      </c>
      <c r="E489" s="3" t="n">
        <v>4229</v>
      </c>
      <c r="F489" s="3" t="n">
        <v>320</v>
      </c>
      <c r="G489" s="3" t="n">
        <v>32</v>
      </c>
      <c r="H489" s="8" t="n">
        <f aca="false">(E489/1000)*(F489/1000)*(G489/1000)*7850</f>
        <v>339.943936</v>
      </c>
      <c r="I489" s="3" t="n">
        <v>1</v>
      </c>
      <c r="J489" s="9" t="n">
        <f aca="false">H489*I489</f>
        <v>339.943936</v>
      </c>
      <c r="K489" s="3"/>
    </row>
    <row r="490" customFormat="false" ht="19.5" hidden="false" customHeight="false" outlineLevel="0" collapsed="false">
      <c r="A490" s="3" t="s">
        <v>112</v>
      </c>
      <c r="B490" s="3" t="s">
        <v>113</v>
      </c>
      <c r="C490" s="3" t="s">
        <v>92</v>
      </c>
      <c r="D490" s="3" t="s">
        <v>9</v>
      </c>
      <c r="E490" s="3" t="n">
        <v>1600</v>
      </c>
      <c r="F490" s="3" t="n">
        <v>1200</v>
      </c>
      <c r="G490" s="3" t="n">
        <v>16</v>
      </c>
      <c r="H490" s="8" t="n">
        <f aca="false">(E490/1000)*(F490/1000)*(G490/1000)*7850</f>
        <v>241.152</v>
      </c>
      <c r="I490" s="3" t="n">
        <v>2</v>
      </c>
      <c r="J490" s="9" t="n">
        <f aca="false">H490*I490</f>
        <v>482.304</v>
      </c>
      <c r="K490" s="3"/>
    </row>
    <row r="491" customFormat="false" ht="19.5" hidden="false" customHeight="false" outlineLevel="0" collapsed="false">
      <c r="A491" s="3" t="s">
        <v>112</v>
      </c>
      <c r="B491" s="3" t="s">
        <v>113</v>
      </c>
      <c r="C491" s="3" t="s">
        <v>93</v>
      </c>
      <c r="D491" s="3" t="s">
        <v>9</v>
      </c>
      <c r="E491" s="3" t="n">
        <v>2100</v>
      </c>
      <c r="F491" s="3" t="n">
        <v>320</v>
      </c>
      <c r="G491" s="3" t="n">
        <v>32</v>
      </c>
      <c r="H491" s="8" t="n">
        <f aca="false">(E491/1000)*(F491/1000)*(G491/1000)*7850</f>
        <v>168.8064</v>
      </c>
      <c r="I491" s="3" t="n">
        <v>6</v>
      </c>
      <c r="J491" s="9" t="n">
        <f aca="false">H491*I491</f>
        <v>1012.8384</v>
      </c>
      <c r="K491" s="3"/>
    </row>
    <row r="492" customFormat="false" ht="19.5" hidden="false" customHeight="false" outlineLevel="0" collapsed="false">
      <c r="A492" s="3" t="s">
        <v>112</v>
      </c>
      <c r="B492" s="3" t="s">
        <v>113</v>
      </c>
      <c r="C492" s="3" t="s">
        <v>94</v>
      </c>
      <c r="D492" s="3" t="s">
        <v>9</v>
      </c>
      <c r="E492" s="3" t="n">
        <v>2000</v>
      </c>
      <c r="F492" s="3" t="n">
        <v>320</v>
      </c>
      <c r="G492" s="3" t="n">
        <v>32</v>
      </c>
      <c r="H492" s="8" t="n">
        <f aca="false">(E492/1000)*(F492/1000)*(G492/1000)*7850</f>
        <v>160.768</v>
      </c>
      <c r="I492" s="3" t="n">
        <v>8</v>
      </c>
      <c r="J492" s="9" t="n">
        <f aca="false">H492*I492</f>
        <v>1286.144</v>
      </c>
      <c r="K492" s="3"/>
    </row>
    <row r="493" customFormat="false" ht="19.5" hidden="false" customHeight="false" outlineLevel="0" collapsed="false">
      <c r="A493" s="3" t="s">
        <v>114</v>
      </c>
      <c r="B493" s="3" t="s">
        <v>115</v>
      </c>
      <c r="C493" s="3" t="s">
        <v>44</v>
      </c>
      <c r="D493" s="3" t="s">
        <v>9</v>
      </c>
      <c r="E493" s="3" t="n">
        <v>15280</v>
      </c>
      <c r="F493" s="3" t="n">
        <v>1000</v>
      </c>
      <c r="G493" s="3" t="n">
        <v>40</v>
      </c>
      <c r="H493" s="8" t="n">
        <f aca="false">(E493/1000)*(F493/1000)*(G493/1000)*7850</f>
        <v>4797.92</v>
      </c>
      <c r="I493" s="3" t="n">
        <v>1</v>
      </c>
      <c r="J493" s="9" t="n">
        <f aca="false">H493*I493</f>
        <v>4797.92</v>
      </c>
      <c r="K493" s="3"/>
    </row>
    <row r="494" customFormat="false" ht="19.5" hidden="false" customHeight="false" outlineLevel="0" collapsed="false">
      <c r="A494" s="3" t="s">
        <v>114</v>
      </c>
      <c r="B494" s="3" t="s">
        <v>115</v>
      </c>
      <c r="C494" s="3" t="s">
        <v>45</v>
      </c>
      <c r="D494" s="3" t="s">
        <v>9</v>
      </c>
      <c r="E494" s="3" t="n">
        <v>13730</v>
      </c>
      <c r="F494" s="3" t="n">
        <v>1000</v>
      </c>
      <c r="G494" s="3" t="n">
        <v>40</v>
      </c>
      <c r="H494" s="8" t="n">
        <f aca="false">(E494/1000)*(F494/1000)*(G494/1000)*7850</f>
        <v>4311.22</v>
      </c>
      <c r="I494" s="3" t="n">
        <v>1</v>
      </c>
      <c r="J494" s="9" t="n">
        <f aca="false">H494*I494</f>
        <v>4311.22</v>
      </c>
      <c r="K494" s="3"/>
    </row>
    <row r="495" customFormat="false" ht="19.5" hidden="false" customHeight="false" outlineLevel="0" collapsed="false">
      <c r="A495" s="3" t="s">
        <v>114</v>
      </c>
      <c r="B495" s="3" t="s">
        <v>115</v>
      </c>
      <c r="C495" s="3" t="s">
        <v>46</v>
      </c>
      <c r="D495" s="3" t="s">
        <v>9</v>
      </c>
      <c r="E495" s="3" t="n">
        <v>7900</v>
      </c>
      <c r="F495" s="3" t="n">
        <v>1200</v>
      </c>
      <c r="G495" s="3" t="n">
        <v>40</v>
      </c>
      <c r="H495" s="8" t="n">
        <f aca="false">(E495/1000)*(F495/1000)*(G495/1000)*7850</f>
        <v>2976.72</v>
      </c>
      <c r="I495" s="3" t="n">
        <v>1</v>
      </c>
      <c r="J495" s="9" t="n">
        <f aca="false">H495*I495</f>
        <v>2976.72</v>
      </c>
      <c r="K495" s="3"/>
    </row>
    <row r="496" customFormat="false" ht="19.5" hidden="false" customHeight="false" outlineLevel="0" collapsed="false">
      <c r="A496" s="3" t="s">
        <v>114</v>
      </c>
      <c r="B496" s="3" t="s">
        <v>115</v>
      </c>
      <c r="C496" s="3" t="s">
        <v>46</v>
      </c>
      <c r="D496" s="3" t="s">
        <v>9</v>
      </c>
      <c r="E496" s="3" t="n">
        <v>24520</v>
      </c>
      <c r="F496" s="3" t="n">
        <v>1000</v>
      </c>
      <c r="G496" s="3" t="n">
        <v>48</v>
      </c>
      <c r="H496" s="8" t="n">
        <f aca="false">(E496/1000)*(F496/1000)*(G496/1000)*7850</f>
        <v>9239.136</v>
      </c>
      <c r="I496" s="3" t="n">
        <v>2</v>
      </c>
      <c r="J496" s="9" t="n">
        <f aca="false">H496*I496</f>
        <v>18478.272</v>
      </c>
      <c r="K496" s="3"/>
    </row>
    <row r="497" customFormat="false" ht="19.5" hidden="false" customHeight="false" outlineLevel="0" collapsed="false">
      <c r="A497" s="3" t="s">
        <v>114</v>
      </c>
      <c r="B497" s="3" t="s">
        <v>115</v>
      </c>
      <c r="C497" s="3" t="s">
        <v>49</v>
      </c>
      <c r="D497" s="3" t="s">
        <v>9</v>
      </c>
      <c r="E497" s="3" t="n">
        <v>7300</v>
      </c>
      <c r="F497" s="3" t="n">
        <v>2048</v>
      </c>
      <c r="G497" s="3" t="n">
        <v>48</v>
      </c>
      <c r="H497" s="8" t="n">
        <f aca="false">(E497/1000)*(F497/1000)*(G497/1000)*7850</f>
        <v>5633.31072</v>
      </c>
      <c r="I497" s="3" t="n">
        <v>2</v>
      </c>
      <c r="J497" s="9" t="n">
        <f aca="false">H497*I497</f>
        <v>11266.62144</v>
      </c>
      <c r="K497" s="3"/>
    </row>
    <row r="498" customFormat="false" ht="19.5" hidden="false" customHeight="false" outlineLevel="0" collapsed="false">
      <c r="A498" s="3" t="s">
        <v>114</v>
      </c>
      <c r="B498" s="3" t="s">
        <v>115</v>
      </c>
      <c r="C498" s="3" t="s">
        <v>50</v>
      </c>
      <c r="D498" s="3" t="s">
        <v>9</v>
      </c>
      <c r="E498" s="3" t="n">
        <v>7900</v>
      </c>
      <c r="F498" s="3" t="n">
        <v>320</v>
      </c>
      <c r="G498" s="3" t="n">
        <v>32</v>
      </c>
      <c r="H498" s="8" t="n">
        <f aca="false">(E498/1000)*(F498/1000)*(G498/1000)*7850</f>
        <v>635.0336</v>
      </c>
      <c r="I498" s="3" t="n">
        <v>6</v>
      </c>
      <c r="J498" s="9" t="n">
        <f aca="false">H498*I498</f>
        <v>3810.2016</v>
      </c>
      <c r="K498" s="3"/>
    </row>
    <row r="499" customFormat="false" ht="19.5" hidden="false" customHeight="false" outlineLevel="0" collapsed="false">
      <c r="A499" s="3" t="s">
        <v>114</v>
      </c>
      <c r="B499" s="3" t="s">
        <v>115</v>
      </c>
      <c r="C499" s="3" t="s">
        <v>66</v>
      </c>
      <c r="D499" s="3" t="s">
        <v>9</v>
      </c>
      <c r="E499" s="3" t="n">
        <v>7100</v>
      </c>
      <c r="F499" s="3" t="n">
        <v>320</v>
      </c>
      <c r="G499" s="3" t="n">
        <v>32</v>
      </c>
      <c r="H499" s="8" t="n">
        <f aca="false">(E499/1000)*(F499/1000)*(G499/1000)*7850</f>
        <v>570.7264</v>
      </c>
      <c r="I499" s="3" t="n">
        <v>6</v>
      </c>
      <c r="J499" s="9" t="n">
        <f aca="false">H499*I499</f>
        <v>3424.3584</v>
      </c>
      <c r="K499" s="3"/>
    </row>
    <row r="500" customFormat="false" ht="19.5" hidden="false" customHeight="false" outlineLevel="0" collapsed="false">
      <c r="A500" s="3" t="s">
        <v>114</v>
      </c>
      <c r="B500" s="3" t="s">
        <v>115</v>
      </c>
      <c r="C500" s="3" t="s">
        <v>51</v>
      </c>
      <c r="D500" s="3" t="s">
        <v>9</v>
      </c>
      <c r="E500" s="3" t="n">
        <v>7900</v>
      </c>
      <c r="F500" s="3" t="n">
        <v>2500</v>
      </c>
      <c r="G500" s="3" t="n">
        <v>32</v>
      </c>
      <c r="H500" s="8" t="n">
        <f aca="false">(E500/1000)*(F500/1000)*(G500/1000)*7850</f>
        <v>4961.2</v>
      </c>
      <c r="I500" s="3" t="n">
        <v>1</v>
      </c>
      <c r="J500" s="9" t="n">
        <f aca="false">H500*I500</f>
        <v>4961.2</v>
      </c>
      <c r="K500" s="3"/>
    </row>
    <row r="501" customFormat="false" ht="19.5" hidden="false" customHeight="false" outlineLevel="0" collapsed="false">
      <c r="A501" s="3" t="s">
        <v>114</v>
      </c>
      <c r="B501" s="3" t="s">
        <v>115</v>
      </c>
      <c r="C501" s="3" t="s">
        <v>70</v>
      </c>
      <c r="D501" s="3" t="s">
        <v>8</v>
      </c>
      <c r="E501" s="3" t="n">
        <v>7100</v>
      </c>
      <c r="F501" s="3" t="n">
        <v>2500</v>
      </c>
      <c r="G501" s="3" t="n">
        <v>24</v>
      </c>
      <c r="H501" s="8" t="n">
        <f aca="false">(E501/1000)*(F501/1000)*(G501/1000)*7850</f>
        <v>3344.1</v>
      </c>
      <c r="I501" s="3" t="n">
        <v>1</v>
      </c>
      <c r="J501" s="9" t="n">
        <f aca="false">H501*I501</f>
        <v>3344.1</v>
      </c>
      <c r="K501" s="3"/>
    </row>
    <row r="502" customFormat="false" ht="19.5" hidden="false" customHeight="false" outlineLevel="0" collapsed="false">
      <c r="A502" s="3" t="s">
        <v>114</v>
      </c>
      <c r="B502" s="3" t="s">
        <v>115</v>
      </c>
      <c r="C502" s="3" t="s">
        <v>52</v>
      </c>
      <c r="D502" s="3" t="s">
        <v>9</v>
      </c>
      <c r="E502" s="3" t="n">
        <v>12960</v>
      </c>
      <c r="F502" s="3" t="n">
        <v>1000</v>
      </c>
      <c r="G502" s="3" t="n">
        <v>32</v>
      </c>
      <c r="H502" s="8" t="n">
        <f aca="false">(E502/1000)*(F502/1000)*(G502/1000)*7850</f>
        <v>3255.552</v>
      </c>
      <c r="I502" s="3" t="n">
        <v>1</v>
      </c>
      <c r="J502" s="9" t="n">
        <f aca="false">H502*I502</f>
        <v>3255.552</v>
      </c>
      <c r="K502" s="3"/>
    </row>
    <row r="503" customFormat="false" ht="19.5" hidden="false" customHeight="false" outlineLevel="0" collapsed="false">
      <c r="A503" s="3" t="s">
        <v>114</v>
      </c>
      <c r="B503" s="3" t="s">
        <v>115</v>
      </c>
      <c r="C503" s="3" t="s">
        <v>53</v>
      </c>
      <c r="D503" s="3" t="s">
        <v>8</v>
      </c>
      <c r="E503" s="3" t="n">
        <v>11130</v>
      </c>
      <c r="F503" s="3" t="n">
        <v>1000</v>
      </c>
      <c r="G503" s="3" t="n">
        <v>24</v>
      </c>
      <c r="H503" s="8" t="n">
        <f aca="false">(E503/1000)*(F503/1000)*(G503/1000)*7850</f>
        <v>2096.892</v>
      </c>
      <c r="I503" s="3" t="n">
        <v>1</v>
      </c>
      <c r="J503" s="9" t="n">
        <f aca="false">H503*I503</f>
        <v>2096.892</v>
      </c>
      <c r="K503" s="3"/>
    </row>
    <row r="504" customFormat="false" ht="19.5" hidden="false" customHeight="false" outlineLevel="0" collapsed="false">
      <c r="A504" s="3" t="s">
        <v>114</v>
      </c>
      <c r="B504" s="3" t="s">
        <v>115</v>
      </c>
      <c r="C504" s="3" t="s">
        <v>67</v>
      </c>
      <c r="D504" s="3" t="s">
        <v>9</v>
      </c>
      <c r="E504" s="3" t="n">
        <v>22490</v>
      </c>
      <c r="F504" s="3" t="n">
        <v>1000</v>
      </c>
      <c r="G504" s="3" t="n">
        <v>48</v>
      </c>
      <c r="H504" s="8" t="n">
        <f aca="false">(E504/1000)*(F504/1000)*(G504/1000)*7850</f>
        <v>8474.232</v>
      </c>
      <c r="I504" s="3" t="n">
        <v>2</v>
      </c>
      <c r="J504" s="9" t="n">
        <f aca="false">H504*I504</f>
        <v>16948.464</v>
      </c>
      <c r="K504" s="3"/>
    </row>
    <row r="505" customFormat="false" ht="19.5" hidden="false" customHeight="false" outlineLevel="0" collapsed="false">
      <c r="A505" s="3" t="s">
        <v>114</v>
      </c>
      <c r="B505" s="3" t="s">
        <v>115</v>
      </c>
      <c r="C505" s="3" t="s">
        <v>55</v>
      </c>
      <c r="D505" s="3" t="s">
        <v>9</v>
      </c>
      <c r="E505" s="3" t="n">
        <v>7900</v>
      </c>
      <c r="F505" s="3" t="n">
        <v>320</v>
      </c>
      <c r="G505" s="3" t="n">
        <v>32</v>
      </c>
      <c r="H505" s="8" t="n">
        <f aca="false">(E505/1000)*(F505/1000)*(G505/1000)*7850</f>
        <v>635.0336</v>
      </c>
      <c r="I505" s="3" t="n">
        <v>4</v>
      </c>
      <c r="J505" s="9" t="n">
        <f aca="false">H505*I505</f>
        <v>2540.1344</v>
      </c>
      <c r="K505" s="3"/>
    </row>
    <row r="506" customFormat="false" ht="19.5" hidden="false" customHeight="false" outlineLevel="0" collapsed="false">
      <c r="A506" s="3" t="s">
        <v>114</v>
      </c>
      <c r="B506" s="3" t="s">
        <v>115</v>
      </c>
      <c r="C506" s="3" t="s">
        <v>55</v>
      </c>
      <c r="D506" s="3" t="s">
        <v>8</v>
      </c>
      <c r="E506" s="3" t="n">
        <v>7100</v>
      </c>
      <c r="F506" s="3" t="n">
        <v>320</v>
      </c>
      <c r="G506" s="3" t="n">
        <v>32</v>
      </c>
      <c r="H506" s="8" t="n">
        <f aca="false">(E506/1000)*(F506/1000)*(G506/1000)*7850</f>
        <v>570.7264</v>
      </c>
      <c r="I506" s="3" t="n">
        <v>4</v>
      </c>
      <c r="J506" s="9" t="n">
        <f aca="false">H506*I506</f>
        <v>2282.9056</v>
      </c>
      <c r="K506" s="3"/>
    </row>
    <row r="507" customFormat="false" ht="19.5" hidden="false" customHeight="false" outlineLevel="0" collapsed="false">
      <c r="A507" s="3" t="s">
        <v>114</v>
      </c>
      <c r="B507" s="3" t="s">
        <v>115</v>
      </c>
      <c r="C507" s="3" t="s">
        <v>55</v>
      </c>
      <c r="D507" s="3" t="s">
        <v>8</v>
      </c>
      <c r="E507" s="3" t="n">
        <v>15000</v>
      </c>
      <c r="F507" s="3" t="n">
        <v>170</v>
      </c>
      <c r="G507" s="3" t="n">
        <v>14</v>
      </c>
      <c r="H507" s="8" t="n">
        <f aca="false">(E507/1000)*(F507/1000)*(G507/1000)*7850</f>
        <v>280.245</v>
      </c>
      <c r="I507" s="3" t="n">
        <v>2</v>
      </c>
      <c r="J507" s="9" t="n">
        <f aca="false">H507*I507</f>
        <v>560.49</v>
      </c>
      <c r="K507" s="3"/>
    </row>
    <row r="508" customFormat="false" ht="19.5" hidden="false" customHeight="false" outlineLevel="0" collapsed="false">
      <c r="A508" s="3" t="s">
        <v>114</v>
      </c>
      <c r="B508" s="3" t="s">
        <v>115</v>
      </c>
      <c r="C508" s="3" t="s">
        <v>55</v>
      </c>
      <c r="D508" s="3" t="s">
        <v>8</v>
      </c>
      <c r="E508" s="3" t="n">
        <v>10823</v>
      </c>
      <c r="F508" s="3" t="n">
        <v>1200</v>
      </c>
      <c r="G508" s="3" t="n">
        <v>36</v>
      </c>
      <c r="H508" s="8" t="n">
        <f aca="false">(E508/1000)*(F508/1000)*(G508/1000)*7850</f>
        <v>3670.29576</v>
      </c>
      <c r="I508" s="3" t="n">
        <v>1</v>
      </c>
      <c r="J508" s="9" t="n">
        <f aca="false">H508*I508</f>
        <v>3670.29576</v>
      </c>
      <c r="K508" s="3"/>
    </row>
    <row r="509" customFormat="false" ht="19.5" hidden="false" customHeight="false" outlineLevel="0" collapsed="false">
      <c r="A509" s="3" t="s">
        <v>114</v>
      </c>
      <c r="B509" s="3" t="s">
        <v>115</v>
      </c>
      <c r="C509" s="3" t="s">
        <v>55</v>
      </c>
      <c r="D509" s="3" t="s">
        <v>8</v>
      </c>
      <c r="E509" s="3" t="n">
        <v>11023</v>
      </c>
      <c r="F509" s="3" t="n">
        <v>1200</v>
      </c>
      <c r="G509" s="3" t="n">
        <v>36</v>
      </c>
      <c r="H509" s="8" t="n">
        <f aca="false">(E509/1000)*(F509/1000)*(G509/1000)*7850</f>
        <v>3738.11976</v>
      </c>
      <c r="I509" s="3" t="n">
        <v>1</v>
      </c>
      <c r="J509" s="9" t="n">
        <f aca="false">H509*I509</f>
        <v>3738.11976</v>
      </c>
      <c r="K509" s="3"/>
    </row>
    <row r="510" customFormat="false" ht="19.5" hidden="false" customHeight="false" outlineLevel="0" collapsed="false">
      <c r="A510" s="3" t="s">
        <v>114</v>
      </c>
      <c r="B510" s="3" t="s">
        <v>115</v>
      </c>
      <c r="C510" s="3" t="s">
        <v>60</v>
      </c>
      <c r="D510" s="3" t="s">
        <v>8</v>
      </c>
      <c r="E510" s="3" t="n">
        <v>7223</v>
      </c>
      <c r="F510" s="3" t="n">
        <v>320</v>
      </c>
      <c r="G510" s="3" t="n">
        <v>32</v>
      </c>
      <c r="H510" s="8" t="n">
        <f aca="false">(E510/1000)*(F510/1000)*(G510/1000)*7850</f>
        <v>580.613632</v>
      </c>
      <c r="I510" s="3" t="n">
        <v>2</v>
      </c>
      <c r="J510" s="9" t="n">
        <f aca="false">H510*I510</f>
        <v>1161.227264</v>
      </c>
      <c r="K510" s="3"/>
    </row>
    <row r="511" customFormat="false" ht="19.5" hidden="false" customHeight="false" outlineLevel="0" collapsed="false">
      <c r="A511" s="3" t="s">
        <v>114</v>
      </c>
      <c r="B511" s="3" t="s">
        <v>115</v>
      </c>
      <c r="C511" s="3" t="s">
        <v>74</v>
      </c>
      <c r="D511" s="3" t="s">
        <v>8</v>
      </c>
      <c r="E511" s="3" t="n">
        <v>9423</v>
      </c>
      <c r="F511" s="3" t="n">
        <v>320</v>
      </c>
      <c r="G511" s="3" t="n">
        <v>32</v>
      </c>
      <c r="H511" s="8" t="n">
        <f aca="false">(E511/1000)*(F511/1000)*(G511/1000)*7850</f>
        <v>757.458432</v>
      </c>
      <c r="I511" s="3" t="n">
        <v>1</v>
      </c>
      <c r="J511" s="9" t="n">
        <f aca="false">H511*I511</f>
        <v>757.458432</v>
      </c>
      <c r="K511" s="3"/>
    </row>
    <row r="512" customFormat="false" ht="19.5" hidden="false" customHeight="false" outlineLevel="0" collapsed="false">
      <c r="A512" s="3" t="s">
        <v>114</v>
      </c>
      <c r="B512" s="3" t="s">
        <v>115</v>
      </c>
      <c r="C512" s="3" t="s">
        <v>71</v>
      </c>
      <c r="D512" s="3" t="s">
        <v>8</v>
      </c>
      <c r="E512" s="3" t="n">
        <v>9623</v>
      </c>
      <c r="F512" s="3" t="n">
        <v>320</v>
      </c>
      <c r="G512" s="3" t="n">
        <v>32</v>
      </c>
      <c r="H512" s="8" t="n">
        <f aca="false">(E512/1000)*(F512/1000)*(G512/1000)*7850</f>
        <v>773.535232</v>
      </c>
      <c r="I512" s="3" t="n">
        <v>1</v>
      </c>
      <c r="J512" s="9" t="n">
        <f aca="false">H512*I512</f>
        <v>773.535232</v>
      </c>
      <c r="K512" s="3"/>
    </row>
    <row r="513" customFormat="false" ht="19.5" hidden="false" customHeight="false" outlineLevel="0" collapsed="false">
      <c r="A513" s="3" t="s">
        <v>114</v>
      </c>
      <c r="B513" s="3" t="s">
        <v>115</v>
      </c>
      <c r="C513" s="3" t="s">
        <v>82</v>
      </c>
      <c r="D513" s="3" t="s">
        <v>8</v>
      </c>
      <c r="E513" s="3" t="n">
        <v>1200</v>
      </c>
      <c r="F513" s="3" t="n">
        <v>1200</v>
      </c>
      <c r="G513" s="3" t="n">
        <v>16</v>
      </c>
      <c r="H513" s="8" t="n">
        <f aca="false">(E513/1000)*(F513/1000)*(G513/1000)*7850</f>
        <v>180.864</v>
      </c>
      <c r="I513" s="3" t="n">
        <v>3</v>
      </c>
      <c r="J513" s="9" t="n">
        <f aca="false">H513*I513</f>
        <v>542.592</v>
      </c>
      <c r="K513" s="3"/>
    </row>
    <row r="514" customFormat="false" ht="19.5" hidden="false" customHeight="false" outlineLevel="0" collapsed="false">
      <c r="A514" s="3" t="s">
        <v>114</v>
      </c>
      <c r="B514" s="3" t="s">
        <v>115</v>
      </c>
      <c r="C514" s="3" t="s">
        <v>61</v>
      </c>
      <c r="D514" s="3" t="s">
        <v>8</v>
      </c>
      <c r="E514" s="3" t="n">
        <v>5429</v>
      </c>
      <c r="F514" s="3" t="n">
        <v>1200</v>
      </c>
      <c r="G514" s="3" t="n">
        <v>36</v>
      </c>
      <c r="H514" s="8" t="n">
        <f aca="false">(E514/1000)*(F514/1000)*(G514/1000)*7850</f>
        <v>1841.08248</v>
      </c>
      <c r="I514" s="3" t="n">
        <v>1</v>
      </c>
      <c r="J514" s="9" t="n">
        <f aca="false">H514*I514</f>
        <v>1841.08248</v>
      </c>
      <c r="K514" s="3"/>
    </row>
    <row r="515" customFormat="false" ht="19.5" hidden="false" customHeight="false" outlineLevel="0" collapsed="false">
      <c r="A515" s="3" t="s">
        <v>114</v>
      </c>
      <c r="B515" s="3" t="s">
        <v>115</v>
      </c>
      <c r="C515" s="3" t="s">
        <v>85</v>
      </c>
      <c r="D515" s="3" t="s">
        <v>8</v>
      </c>
      <c r="E515" s="3" t="n">
        <v>3629</v>
      </c>
      <c r="F515" s="3" t="n">
        <v>1360</v>
      </c>
      <c r="G515" s="3" t="n">
        <v>36</v>
      </c>
      <c r="H515" s="8" t="n">
        <f aca="false">(E515/1000)*(F515/1000)*(G515/1000)*7850</f>
        <v>1394.755344</v>
      </c>
      <c r="I515" s="3" t="n">
        <v>2</v>
      </c>
      <c r="J515" s="9" t="n">
        <f aca="false">H515*I515</f>
        <v>2789.510688</v>
      </c>
      <c r="K515" s="3"/>
    </row>
    <row r="516" customFormat="false" ht="19.5" hidden="false" customHeight="false" outlineLevel="0" collapsed="false">
      <c r="A516" s="3" t="s">
        <v>114</v>
      </c>
      <c r="B516" s="3" t="s">
        <v>115</v>
      </c>
      <c r="C516" s="3" t="s">
        <v>86</v>
      </c>
      <c r="D516" s="3" t="s">
        <v>8</v>
      </c>
      <c r="E516" s="3" t="n">
        <v>3629</v>
      </c>
      <c r="F516" s="3" t="n">
        <v>320</v>
      </c>
      <c r="G516" s="3" t="n">
        <v>32</v>
      </c>
      <c r="H516" s="8" t="n">
        <f aca="false">(E516/1000)*(F516/1000)*(G516/1000)*7850</f>
        <v>291.713536</v>
      </c>
      <c r="I516" s="3" t="n">
        <v>4</v>
      </c>
      <c r="J516" s="9" t="n">
        <f aca="false">H516*I516</f>
        <v>1166.854144</v>
      </c>
      <c r="K516" s="3"/>
    </row>
    <row r="517" customFormat="false" ht="19.5" hidden="false" customHeight="false" outlineLevel="0" collapsed="false">
      <c r="A517" s="3" t="s">
        <v>114</v>
      </c>
      <c r="B517" s="3" t="s">
        <v>115</v>
      </c>
      <c r="C517" s="3" t="s">
        <v>103</v>
      </c>
      <c r="D517" s="3" t="s">
        <v>8</v>
      </c>
      <c r="E517" s="3" t="n">
        <v>4729</v>
      </c>
      <c r="F517" s="3" t="n">
        <v>320</v>
      </c>
      <c r="G517" s="3" t="n">
        <v>32</v>
      </c>
      <c r="H517" s="8" t="n">
        <f aca="false">(E517/1000)*(F517/1000)*(G517/1000)*7850</f>
        <v>380.135936</v>
      </c>
      <c r="I517" s="3" t="n">
        <v>1</v>
      </c>
      <c r="J517" s="9" t="n">
        <f aca="false">H517*I517</f>
        <v>380.135936</v>
      </c>
      <c r="K517" s="3"/>
    </row>
    <row r="518" customFormat="false" ht="19.5" hidden="false" customHeight="false" outlineLevel="0" collapsed="false">
      <c r="A518" s="3" t="s">
        <v>114</v>
      </c>
      <c r="B518" s="3" t="s">
        <v>115</v>
      </c>
      <c r="C518" s="3" t="s">
        <v>104</v>
      </c>
      <c r="D518" s="3" t="s">
        <v>8</v>
      </c>
      <c r="E518" s="3" t="n">
        <v>4929</v>
      </c>
      <c r="F518" s="3" t="n">
        <v>320</v>
      </c>
      <c r="G518" s="3" t="n">
        <v>32</v>
      </c>
      <c r="H518" s="8" t="n">
        <f aca="false">(E518/1000)*(F518/1000)*(G518/1000)*7850</f>
        <v>396.212736</v>
      </c>
      <c r="I518" s="3" t="n">
        <v>1</v>
      </c>
      <c r="J518" s="9" t="n">
        <f aca="false">H518*I518</f>
        <v>396.212736</v>
      </c>
      <c r="K518" s="3"/>
    </row>
    <row r="519" customFormat="false" ht="19.5" hidden="false" customHeight="false" outlineLevel="0" collapsed="false">
      <c r="A519" s="3" t="s">
        <v>114</v>
      </c>
      <c r="B519" s="3" t="s">
        <v>115</v>
      </c>
      <c r="C519" s="3" t="s">
        <v>107</v>
      </c>
      <c r="D519" s="3" t="s">
        <v>8</v>
      </c>
      <c r="E519" s="3" t="n">
        <v>1200</v>
      </c>
      <c r="F519" s="3" t="n">
        <v>1200</v>
      </c>
      <c r="G519" s="3" t="n">
        <v>16</v>
      </c>
      <c r="H519" s="8" t="n">
        <f aca="false">(E519/1000)*(F519/1000)*(G519/1000)*7850</f>
        <v>180.864</v>
      </c>
      <c r="I519" s="3" t="n">
        <v>3</v>
      </c>
      <c r="J519" s="9" t="n">
        <f aca="false">H519*I519</f>
        <v>542.592</v>
      </c>
      <c r="K519" s="3"/>
    </row>
    <row r="520" customFormat="false" ht="19.5" hidden="false" customHeight="false" outlineLevel="0" collapsed="false">
      <c r="A520" s="3" t="s">
        <v>114</v>
      </c>
      <c r="B520" s="3" t="s">
        <v>115</v>
      </c>
      <c r="C520" s="3" t="s">
        <v>97</v>
      </c>
      <c r="D520" s="3" t="s">
        <v>8</v>
      </c>
      <c r="E520" s="3" t="n">
        <v>5426</v>
      </c>
      <c r="F520" s="3" t="n">
        <v>1200</v>
      </c>
      <c r="G520" s="3" t="n">
        <v>36</v>
      </c>
      <c r="H520" s="8" t="n">
        <f aca="false">(E520/1000)*(F520/1000)*(G520/1000)*7850</f>
        <v>1840.06512</v>
      </c>
      <c r="I520" s="3" t="n">
        <v>1</v>
      </c>
      <c r="J520" s="9" t="n">
        <f aca="false">H520*I520</f>
        <v>1840.06512</v>
      </c>
      <c r="K520" s="3"/>
    </row>
    <row r="521" customFormat="false" ht="19.5" hidden="false" customHeight="false" outlineLevel="0" collapsed="false">
      <c r="A521" s="3" t="s">
        <v>114</v>
      </c>
      <c r="B521" s="3" t="s">
        <v>115</v>
      </c>
      <c r="C521" s="3" t="s">
        <v>87</v>
      </c>
      <c r="D521" s="3" t="s">
        <v>8</v>
      </c>
      <c r="E521" s="3" t="n">
        <v>5626</v>
      </c>
      <c r="F521" s="3" t="n">
        <v>1200</v>
      </c>
      <c r="G521" s="3" t="n">
        <v>36</v>
      </c>
      <c r="H521" s="8" t="n">
        <f aca="false">(E521/1000)*(F521/1000)*(G521/1000)*7850</f>
        <v>1907.88912</v>
      </c>
      <c r="I521" s="3" t="n">
        <v>1</v>
      </c>
      <c r="J521" s="9" t="n">
        <f aca="false">H521*I521</f>
        <v>1907.88912</v>
      </c>
      <c r="K521" s="3"/>
    </row>
    <row r="522" customFormat="false" ht="19.5" hidden="false" customHeight="false" outlineLevel="0" collapsed="false">
      <c r="A522" s="3" t="s">
        <v>114</v>
      </c>
      <c r="B522" s="3" t="s">
        <v>115</v>
      </c>
      <c r="C522" s="3" t="s">
        <v>89</v>
      </c>
      <c r="D522" s="3" t="s">
        <v>8</v>
      </c>
      <c r="E522" s="3" t="n">
        <v>3626</v>
      </c>
      <c r="F522" s="3" t="n">
        <v>320</v>
      </c>
      <c r="G522" s="3" t="n">
        <v>32</v>
      </c>
      <c r="H522" s="8" t="n">
        <f aca="false">(E522/1000)*(F522/1000)*(G522/1000)*7850</f>
        <v>291.472384</v>
      </c>
      <c r="I522" s="3" t="n">
        <v>4</v>
      </c>
      <c r="J522" s="9" t="n">
        <f aca="false">H522*I522</f>
        <v>1165.889536</v>
      </c>
      <c r="K522" s="3"/>
    </row>
    <row r="523" customFormat="false" ht="19.5" hidden="false" customHeight="false" outlineLevel="0" collapsed="false">
      <c r="A523" s="3" t="s">
        <v>114</v>
      </c>
      <c r="B523" s="3" t="s">
        <v>115</v>
      </c>
      <c r="C523" s="3" t="s">
        <v>90</v>
      </c>
      <c r="D523" s="3" t="s">
        <v>8</v>
      </c>
      <c r="E523" s="3" t="n">
        <v>4726</v>
      </c>
      <c r="F523" s="3" t="n">
        <v>320</v>
      </c>
      <c r="G523" s="3" t="n">
        <v>32</v>
      </c>
      <c r="H523" s="8" t="n">
        <f aca="false">(E523/1000)*(F523/1000)*(G523/1000)*7850</f>
        <v>379.894784</v>
      </c>
      <c r="I523" s="3" t="n">
        <v>1</v>
      </c>
      <c r="J523" s="9" t="n">
        <f aca="false">H523*I523</f>
        <v>379.894784</v>
      </c>
      <c r="K523" s="3"/>
    </row>
    <row r="524" customFormat="false" ht="19.5" hidden="false" customHeight="false" outlineLevel="0" collapsed="false">
      <c r="A524" s="3" t="s">
        <v>114</v>
      </c>
      <c r="B524" s="3" t="s">
        <v>115</v>
      </c>
      <c r="C524" s="3" t="s">
        <v>91</v>
      </c>
      <c r="D524" s="3" t="s">
        <v>8</v>
      </c>
      <c r="E524" s="3" t="n">
        <v>4926</v>
      </c>
      <c r="F524" s="3" t="n">
        <v>320</v>
      </c>
      <c r="G524" s="3" t="n">
        <v>32</v>
      </c>
      <c r="H524" s="8" t="n">
        <f aca="false">(E524/1000)*(F524/1000)*(G524/1000)*7850</f>
        <v>395.971584</v>
      </c>
      <c r="I524" s="3" t="n">
        <v>1</v>
      </c>
      <c r="J524" s="9" t="n">
        <f aca="false">H524*I524</f>
        <v>395.971584</v>
      </c>
      <c r="K524" s="3"/>
    </row>
    <row r="525" customFormat="false" ht="19.5" hidden="false" customHeight="false" outlineLevel="0" collapsed="false">
      <c r="A525" s="3" t="s">
        <v>114</v>
      </c>
      <c r="B525" s="3" t="s">
        <v>115</v>
      </c>
      <c r="C525" s="3" t="s">
        <v>92</v>
      </c>
      <c r="D525" s="3" t="s">
        <v>8</v>
      </c>
      <c r="E525" s="3" t="n">
        <v>1200</v>
      </c>
      <c r="F525" s="3" t="n">
        <v>1200</v>
      </c>
      <c r="G525" s="3" t="n">
        <v>16</v>
      </c>
      <c r="H525" s="8" t="n">
        <f aca="false">(E525/1000)*(F525/1000)*(G525/1000)*7850</f>
        <v>180.864</v>
      </c>
      <c r="I525" s="3" t="n">
        <v>3</v>
      </c>
      <c r="J525" s="9" t="n">
        <f aca="false">H525*I525</f>
        <v>542.592</v>
      </c>
      <c r="K525" s="3"/>
    </row>
    <row r="526" customFormat="false" ht="19.5" hidden="false" customHeight="false" outlineLevel="0" collapsed="false">
      <c r="A526" s="3" t="s">
        <v>114</v>
      </c>
      <c r="B526" s="3" t="s">
        <v>115</v>
      </c>
      <c r="C526" s="3" t="s">
        <v>93</v>
      </c>
      <c r="D526" s="3" t="s">
        <v>8</v>
      </c>
      <c r="E526" s="3" t="n">
        <v>2300</v>
      </c>
      <c r="F526" s="3" t="n">
        <v>320</v>
      </c>
      <c r="G526" s="3" t="n">
        <v>32</v>
      </c>
      <c r="H526" s="8" t="n">
        <f aca="false">(E526/1000)*(F526/1000)*(G526/1000)*7850</f>
        <v>184.8832</v>
      </c>
      <c r="I526" s="3" t="n">
        <v>4</v>
      </c>
      <c r="J526" s="9" t="n">
        <f aca="false">H526*I526</f>
        <v>739.5328</v>
      </c>
      <c r="K526" s="3"/>
    </row>
    <row r="527" customFormat="false" ht="19.5" hidden="false" customHeight="false" outlineLevel="0" collapsed="false">
      <c r="A527" s="3" t="s">
        <v>114</v>
      </c>
      <c r="B527" s="3" t="s">
        <v>115</v>
      </c>
      <c r="C527" s="3" t="s">
        <v>94</v>
      </c>
      <c r="D527" s="3" t="s">
        <v>8</v>
      </c>
      <c r="E527" s="3" t="n">
        <v>2200</v>
      </c>
      <c r="F527" s="3" t="n">
        <v>320</v>
      </c>
      <c r="G527" s="3" t="n">
        <v>32</v>
      </c>
      <c r="H527" s="8" t="n">
        <f aca="false">(E527/1000)*(F527/1000)*(G527/1000)*7850</f>
        <v>176.8448</v>
      </c>
      <c r="I527" s="3" t="n">
        <v>4</v>
      </c>
      <c r="J527" s="9" t="n">
        <f aca="false">H527*I527</f>
        <v>707.3792</v>
      </c>
      <c r="K527" s="3"/>
    </row>
    <row r="528" customFormat="false" ht="19.5" hidden="false" customHeight="false" outlineLevel="0" collapsed="false">
      <c r="A528" s="3" t="s">
        <v>116</v>
      </c>
      <c r="B528" s="3" t="s">
        <v>117</v>
      </c>
      <c r="C528" s="3" t="s">
        <v>44</v>
      </c>
      <c r="D528" s="3" t="s">
        <v>8</v>
      </c>
      <c r="E528" s="3" t="n">
        <v>15280</v>
      </c>
      <c r="F528" s="3" t="n">
        <v>1000</v>
      </c>
      <c r="G528" s="3" t="n">
        <v>20</v>
      </c>
      <c r="H528" s="8" t="n">
        <f aca="false">(E528/1000)*(F528/1000)*(G528/1000)*7850</f>
        <v>2398.96</v>
      </c>
      <c r="I528" s="3" t="n">
        <v>1</v>
      </c>
      <c r="J528" s="9" t="n">
        <f aca="false">H528*I528</f>
        <v>2398.96</v>
      </c>
      <c r="K528" s="3"/>
    </row>
    <row r="529" customFormat="false" ht="19.5" hidden="false" customHeight="false" outlineLevel="0" collapsed="false">
      <c r="A529" s="3" t="s">
        <v>116</v>
      </c>
      <c r="B529" s="3" t="s">
        <v>117</v>
      </c>
      <c r="C529" s="3" t="s">
        <v>45</v>
      </c>
      <c r="D529" s="3" t="s">
        <v>8</v>
      </c>
      <c r="E529" s="3" t="n">
        <v>13730</v>
      </c>
      <c r="F529" s="3" t="n">
        <v>1000</v>
      </c>
      <c r="G529" s="3" t="n">
        <v>24</v>
      </c>
      <c r="H529" s="8" t="n">
        <f aca="false">(E529/1000)*(F529/1000)*(G529/1000)*7850</f>
        <v>2586.732</v>
      </c>
      <c r="I529" s="3" t="n">
        <v>1</v>
      </c>
      <c r="J529" s="9" t="n">
        <f aca="false">H529*I529</f>
        <v>2586.732</v>
      </c>
      <c r="K529" s="3"/>
    </row>
    <row r="530" customFormat="false" ht="19.5" hidden="false" customHeight="false" outlineLevel="0" collapsed="false">
      <c r="A530" s="3" t="s">
        <v>116</v>
      </c>
      <c r="B530" s="3" t="s">
        <v>117</v>
      </c>
      <c r="C530" s="3" t="s">
        <v>46</v>
      </c>
      <c r="D530" s="3" t="s">
        <v>8</v>
      </c>
      <c r="E530" s="3" t="n">
        <v>7900</v>
      </c>
      <c r="F530" s="3" t="n">
        <v>1200</v>
      </c>
      <c r="G530" s="3" t="n">
        <v>20</v>
      </c>
      <c r="H530" s="8" t="n">
        <f aca="false">(E530/1000)*(F530/1000)*(G530/1000)*7850</f>
        <v>1488.36</v>
      </c>
      <c r="I530" s="3" t="n">
        <v>1</v>
      </c>
      <c r="J530" s="9" t="n">
        <f aca="false">H530*I530</f>
        <v>1488.36</v>
      </c>
      <c r="K530" s="3"/>
    </row>
    <row r="531" customFormat="false" ht="19.5" hidden="false" customHeight="false" outlineLevel="0" collapsed="false">
      <c r="A531" s="3" t="s">
        <v>116</v>
      </c>
      <c r="B531" s="3" t="s">
        <v>117</v>
      </c>
      <c r="C531" s="3" t="s">
        <v>48</v>
      </c>
      <c r="D531" s="3" t="s">
        <v>8</v>
      </c>
      <c r="E531" s="3" t="n">
        <v>7100</v>
      </c>
      <c r="F531" s="3" t="n">
        <v>1200</v>
      </c>
      <c r="G531" s="3" t="n">
        <v>24</v>
      </c>
      <c r="H531" s="8" t="n">
        <f aca="false">(E531/1000)*(F531/1000)*(G531/1000)*7850</f>
        <v>1605.168</v>
      </c>
      <c r="I531" s="3" t="n">
        <v>1</v>
      </c>
      <c r="J531" s="9" t="n">
        <f aca="false">H531*I531</f>
        <v>1605.168</v>
      </c>
      <c r="K531" s="3"/>
    </row>
    <row r="532" customFormat="false" ht="19.5" hidden="false" customHeight="false" outlineLevel="0" collapsed="false">
      <c r="A532" s="3" t="s">
        <v>116</v>
      </c>
      <c r="B532" s="3" t="s">
        <v>117</v>
      </c>
      <c r="C532" s="3" t="s">
        <v>50</v>
      </c>
      <c r="D532" s="3" t="s">
        <v>8</v>
      </c>
      <c r="E532" s="3" t="n">
        <v>7900</v>
      </c>
      <c r="F532" s="3" t="n">
        <v>240</v>
      </c>
      <c r="G532" s="3" t="n">
        <v>20</v>
      </c>
      <c r="H532" s="8" t="n">
        <f aca="false">(E532/1000)*(F532/1000)*(G532/1000)*7850</f>
        <v>297.672</v>
      </c>
      <c r="I532" s="3" t="n">
        <v>6</v>
      </c>
      <c r="J532" s="9" t="n">
        <f aca="false">H532*I532</f>
        <v>1786.032</v>
      </c>
      <c r="K532" s="3"/>
    </row>
    <row r="533" customFormat="false" ht="19.5" hidden="false" customHeight="false" outlineLevel="0" collapsed="false">
      <c r="A533" s="3" t="s">
        <v>116</v>
      </c>
      <c r="B533" s="3" t="s">
        <v>117</v>
      </c>
      <c r="C533" s="3" t="s">
        <v>66</v>
      </c>
      <c r="D533" s="3" t="s">
        <v>8</v>
      </c>
      <c r="E533" s="3" t="n">
        <v>7100</v>
      </c>
      <c r="F533" s="3" t="n">
        <v>320</v>
      </c>
      <c r="G533" s="3" t="n">
        <v>32</v>
      </c>
      <c r="H533" s="8" t="n">
        <f aca="false">(E533/1000)*(F533/1000)*(G533/1000)*7850</f>
        <v>570.7264</v>
      </c>
      <c r="I533" s="3" t="n">
        <v>6</v>
      </c>
      <c r="J533" s="9" t="n">
        <f aca="false">H533*I533</f>
        <v>3424.3584</v>
      </c>
      <c r="K533" s="3"/>
    </row>
    <row r="534" customFormat="false" ht="19.5" hidden="false" customHeight="false" outlineLevel="0" collapsed="false">
      <c r="A534" s="3" t="s">
        <v>116</v>
      </c>
      <c r="B534" s="3" t="s">
        <v>117</v>
      </c>
      <c r="C534" s="3" t="s">
        <v>70</v>
      </c>
      <c r="D534" s="3" t="s">
        <v>8</v>
      </c>
      <c r="E534" s="3" t="n">
        <v>7100</v>
      </c>
      <c r="F534" s="3" t="n">
        <v>2500</v>
      </c>
      <c r="G534" s="3" t="n">
        <v>20</v>
      </c>
      <c r="H534" s="8" t="n">
        <f aca="false">(E534/1000)*(F534/1000)*(G534/1000)*7850</f>
        <v>2786.75</v>
      </c>
      <c r="I534" s="3" t="n">
        <v>1</v>
      </c>
      <c r="J534" s="9" t="n">
        <f aca="false">H534*I534</f>
        <v>2786.75</v>
      </c>
      <c r="K534" s="3"/>
    </row>
    <row r="535" customFormat="false" ht="19.5" hidden="false" customHeight="false" outlineLevel="0" collapsed="false">
      <c r="A535" s="3" t="s">
        <v>116</v>
      </c>
      <c r="B535" s="3" t="s">
        <v>117</v>
      </c>
      <c r="C535" s="3" t="s">
        <v>52</v>
      </c>
      <c r="D535" s="3" t="s">
        <v>8</v>
      </c>
      <c r="E535" s="3" t="n">
        <v>12960</v>
      </c>
      <c r="F535" s="3" t="n">
        <v>1000</v>
      </c>
      <c r="G535" s="3" t="n">
        <v>20</v>
      </c>
      <c r="H535" s="8" t="n">
        <f aca="false">(E535/1000)*(F535/1000)*(G535/1000)*7850</f>
        <v>2034.72</v>
      </c>
      <c r="I535" s="3" t="n">
        <v>1</v>
      </c>
      <c r="J535" s="9" t="n">
        <f aca="false">H535*I535</f>
        <v>2034.72</v>
      </c>
      <c r="K535" s="3"/>
    </row>
    <row r="536" customFormat="false" ht="19.5" hidden="false" customHeight="false" outlineLevel="0" collapsed="false">
      <c r="A536" s="3" t="s">
        <v>116</v>
      </c>
      <c r="B536" s="3" t="s">
        <v>117</v>
      </c>
      <c r="C536" s="3" t="s">
        <v>53</v>
      </c>
      <c r="D536" s="3" t="s">
        <v>8</v>
      </c>
      <c r="E536" s="3" t="n">
        <v>11130</v>
      </c>
      <c r="F536" s="3" t="n">
        <v>1000</v>
      </c>
      <c r="G536" s="3" t="n">
        <v>20</v>
      </c>
      <c r="H536" s="8" t="n">
        <f aca="false">(E536/1000)*(F536/1000)*(G536/1000)*7850</f>
        <v>1747.41</v>
      </c>
      <c r="I536" s="3" t="n">
        <v>1</v>
      </c>
      <c r="J536" s="9" t="n">
        <f aca="false">H536*I536</f>
        <v>1747.41</v>
      </c>
      <c r="K536" s="3"/>
    </row>
    <row r="537" customFormat="false" ht="19.5" hidden="false" customHeight="false" outlineLevel="0" collapsed="false">
      <c r="A537" s="3" t="s">
        <v>116</v>
      </c>
      <c r="B537" s="3" t="s">
        <v>117</v>
      </c>
      <c r="C537" s="3" t="s">
        <v>54</v>
      </c>
      <c r="D537" s="3" t="s">
        <v>8</v>
      </c>
      <c r="E537" s="3" t="n">
        <v>7300</v>
      </c>
      <c r="F537" s="3" t="n">
        <v>1880</v>
      </c>
      <c r="G537" s="3" t="n">
        <v>24</v>
      </c>
      <c r="H537" s="8" t="n">
        <f aca="false">(E537/1000)*(F537/1000)*(G537/1000)*7850</f>
        <v>2585.6016</v>
      </c>
      <c r="I537" s="3" t="n">
        <v>2</v>
      </c>
      <c r="J537" s="9" t="n">
        <f aca="false">H537*I537</f>
        <v>5171.2032</v>
      </c>
      <c r="K537" s="3"/>
    </row>
    <row r="538" customFormat="false" ht="19.5" hidden="false" customHeight="false" outlineLevel="0" collapsed="false">
      <c r="A538" s="3" t="s">
        <v>116</v>
      </c>
      <c r="B538" s="3" t="s">
        <v>117</v>
      </c>
      <c r="C538" s="3" t="s">
        <v>55</v>
      </c>
      <c r="D538" s="3" t="s">
        <v>8</v>
      </c>
      <c r="E538" s="3" t="n">
        <v>7900</v>
      </c>
      <c r="F538" s="3" t="n">
        <v>320</v>
      </c>
      <c r="G538" s="3" t="n">
        <v>32</v>
      </c>
      <c r="H538" s="8" t="n">
        <f aca="false">(E538/1000)*(F538/1000)*(G538/1000)*7850</f>
        <v>635.0336</v>
      </c>
      <c r="I538" s="3" t="n">
        <v>4</v>
      </c>
      <c r="J538" s="9" t="n">
        <f aca="false">H538*I538</f>
        <v>2540.1344</v>
      </c>
      <c r="K538" s="3"/>
    </row>
    <row r="539" customFormat="false" ht="19.5" hidden="false" customHeight="false" outlineLevel="0" collapsed="false">
      <c r="A539" s="3" t="s">
        <v>116</v>
      </c>
      <c r="B539" s="3" t="s">
        <v>117</v>
      </c>
      <c r="C539" s="3" t="s">
        <v>56</v>
      </c>
      <c r="D539" s="3" t="s">
        <v>8</v>
      </c>
      <c r="E539" s="3" t="n">
        <v>7100</v>
      </c>
      <c r="F539" s="3" t="n">
        <v>240</v>
      </c>
      <c r="G539" s="3" t="n">
        <v>20</v>
      </c>
      <c r="H539" s="8" t="n">
        <f aca="false">(E539/1000)*(F539/1000)*(G539/1000)*7850</f>
        <v>267.528</v>
      </c>
      <c r="I539" s="3" t="n">
        <v>4</v>
      </c>
      <c r="J539" s="9" t="n">
        <f aca="false">H539*I539</f>
        <v>1070.112</v>
      </c>
      <c r="K539" s="3"/>
    </row>
    <row r="540" customFormat="false" ht="19.5" hidden="false" customHeight="false" outlineLevel="0" collapsed="false">
      <c r="A540" s="3" t="s">
        <v>116</v>
      </c>
      <c r="B540" s="3" t="s">
        <v>117</v>
      </c>
      <c r="C540" s="3" t="s">
        <v>58</v>
      </c>
      <c r="D540" s="3" t="s">
        <v>8</v>
      </c>
      <c r="E540" s="3" t="n">
        <v>10818</v>
      </c>
      <c r="F540" s="3" t="n">
        <v>1200</v>
      </c>
      <c r="G540" s="3" t="n">
        <v>36</v>
      </c>
      <c r="H540" s="8" t="n">
        <f aca="false">(E540/1000)*(F540/1000)*(G540/1000)*7850</f>
        <v>3668.60016</v>
      </c>
      <c r="I540" s="3" t="n">
        <v>1</v>
      </c>
      <c r="J540" s="9" t="n">
        <f aca="false">H540*I540</f>
        <v>3668.60016</v>
      </c>
      <c r="K540" s="3"/>
    </row>
    <row r="541" customFormat="false" ht="19.5" hidden="false" customHeight="false" outlineLevel="0" collapsed="false">
      <c r="A541" s="3" t="s">
        <v>116</v>
      </c>
      <c r="B541" s="3" t="s">
        <v>117</v>
      </c>
      <c r="C541" s="3" t="s">
        <v>81</v>
      </c>
      <c r="D541" s="3" t="s">
        <v>8</v>
      </c>
      <c r="E541" s="3" t="n">
        <v>11018</v>
      </c>
      <c r="F541" s="3" t="n">
        <v>1200</v>
      </c>
      <c r="G541" s="3" t="n">
        <v>36</v>
      </c>
      <c r="H541" s="8" t="n">
        <f aca="false">(E541/1000)*(F541/1000)*(G541/1000)*7850</f>
        <v>3736.42416</v>
      </c>
      <c r="I541" s="3" t="n">
        <v>1</v>
      </c>
      <c r="J541" s="9" t="n">
        <f aca="false">H541*I541</f>
        <v>3736.42416</v>
      </c>
      <c r="K541" s="3"/>
    </row>
    <row r="542" customFormat="false" ht="19.5" hidden="false" customHeight="false" outlineLevel="0" collapsed="false">
      <c r="A542" s="3" t="s">
        <v>116</v>
      </c>
      <c r="B542" s="3" t="s">
        <v>117</v>
      </c>
      <c r="C542" s="3" t="s">
        <v>59</v>
      </c>
      <c r="D542" s="3" t="s">
        <v>8</v>
      </c>
      <c r="E542" s="3" t="n">
        <v>7218</v>
      </c>
      <c r="F542" s="3" t="n">
        <v>1360</v>
      </c>
      <c r="G542" s="3" t="n">
        <v>36</v>
      </c>
      <c r="H542" s="8" t="n">
        <f aca="false">(E542/1000)*(F542/1000)*(G542/1000)*7850</f>
        <v>2774.137248</v>
      </c>
      <c r="I542" s="3" t="n">
        <v>2</v>
      </c>
      <c r="J542" s="9" t="n">
        <f aca="false">H542*I542</f>
        <v>5548.274496</v>
      </c>
      <c r="K542" s="3"/>
    </row>
    <row r="543" customFormat="false" ht="19.5" hidden="false" customHeight="false" outlineLevel="0" collapsed="false">
      <c r="A543" s="3" t="s">
        <v>116</v>
      </c>
      <c r="B543" s="3" t="s">
        <v>117</v>
      </c>
      <c r="C543" s="3" t="s">
        <v>60</v>
      </c>
      <c r="D543" s="3" t="s">
        <v>8</v>
      </c>
      <c r="E543" s="3" t="n">
        <v>7218</v>
      </c>
      <c r="F543" s="3" t="n">
        <v>320</v>
      </c>
      <c r="G543" s="3" t="n">
        <v>32</v>
      </c>
      <c r="H543" s="8" t="n">
        <f aca="false">(E543/1000)*(F543/1000)*(G543/1000)*7850</f>
        <v>580.211712</v>
      </c>
      <c r="I543" s="3" t="n">
        <v>2</v>
      </c>
      <c r="J543" s="9" t="n">
        <f aca="false">H543*I543</f>
        <v>1160.423424</v>
      </c>
      <c r="K543" s="3"/>
    </row>
    <row r="544" customFormat="false" ht="19.5" hidden="false" customHeight="false" outlineLevel="0" collapsed="false">
      <c r="A544" s="3" t="s">
        <v>116</v>
      </c>
      <c r="B544" s="3" t="s">
        <v>117</v>
      </c>
      <c r="C544" s="3" t="s">
        <v>74</v>
      </c>
      <c r="D544" s="3" t="s">
        <v>8</v>
      </c>
      <c r="E544" s="3" t="n">
        <v>9418</v>
      </c>
      <c r="F544" s="3" t="n">
        <v>320</v>
      </c>
      <c r="G544" s="3" t="n">
        <v>32</v>
      </c>
      <c r="H544" s="8" t="n">
        <f aca="false">(E544/1000)*(F544/1000)*(G544/1000)*7850</f>
        <v>757.056512</v>
      </c>
      <c r="I544" s="3" t="n">
        <v>1</v>
      </c>
      <c r="J544" s="9" t="n">
        <f aca="false">H544*I544</f>
        <v>757.056512</v>
      </c>
      <c r="K544" s="3"/>
    </row>
    <row r="545" customFormat="false" ht="19.5" hidden="false" customHeight="false" outlineLevel="0" collapsed="false">
      <c r="A545" s="3" t="s">
        <v>116</v>
      </c>
      <c r="B545" s="3" t="s">
        <v>117</v>
      </c>
      <c r="C545" s="3" t="s">
        <v>71</v>
      </c>
      <c r="D545" s="3" t="s">
        <v>8</v>
      </c>
      <c r="E545" s="3" t="n">
        <v>9618</v>
      </c>
      <c r="F545" s="3" t="n">
        <v>320</v>
      </c>
      <c r="G545" s="3" t="n">
        <v>32</v>
      </c>
      <c r="H545" s="8" t="n">
        <f aca="false">(E545/1000)*(F545/1000)*(G545/1000)*7850</f>
        <v>773.133312</v>
      </c>
      <c r="I545" s="3" t="n">
        <v>1</v>
      </c>
      <c r="J545" s="9" t="n">
        <f aca="false">H545*I545</f>
        <v>773.133312</v>
      </c>
      <c r="K545" s="3"/>
    </row>
    <row r="546" customFormat="false" ht="19.5" hidden="false" customHeight="false" outlineLevel="0" collapsed="false">
      <c r="A546" s="3" t="s">
        <v>116</v>
      </c>
      <c r="B546" s="3" t="s">
        <v>117</v>
      </c>
      <c r="C546" s="3" t="s">
        <v>82</v>
      </c>
      <c r="D546" s="3" t="s">
        <v>8</v>
      </c>
      <c r="E546" s="3" t="n">
        <v>1200</v>
      </c>
      <c r="F546" s="3" t="n">
        <v>1200</v>
      </c>
      <c r="G546" s="3" t="n">
        <v>16</v>
      </c>
      <c r="H546" s="8" t="n">
        <f aca="false">(E546/1000)*(F546/1000)*(G546/1000)*7850</f>
        <v>180.864</v>
      </c>
      <c r="I546" s="3" t="n">
        <v>3</v>
      </c>
      <c r="J546" s="9" t="n">
        <f aca="false">H546*I546</f>
        <v>542.592</v>
      </c>
      <c r="K546" s="3"/>
    </row>
    <row r="547" customFormat="false" ht="19.5" hidden="false" customHeight="false" outlineLevel="0" collapsed="false">
      <c r="A547" s="3" t="s">
        <v>116</v>
      </c>
      <c r="B547" s="3" t="s">
        <v>117</v>
      </c>
      <c r="C547" s="3" t="s">
        <v>61</v>
      </c>
      <c r="D547" s="3" t="s">
        <v>8</v>
      </c>
      <c r="E547" s="3" t="n">
        <v>3640</v>
      </c>
      <c r="F547" s="3" t="n">
        <v>900</v>
      </c>
      <c r="G547" s="3" t="n">
        <v>36</v>
      </c>
      <c r="H547" s="8" t="n">
        <f aca="false">(E547/1000)*(F547/1000)*(G547/1000)*7850</f>
        <v>925.7976</v>
      </c>
      <c r="I547" s="3" t="n">
        <v>2</v>
      </c>
      <c r="J547" s="9" t="n">
        <f aca="false">H547*I547</f>
        <v>1851.5952</v>
      </c>
      <c r="K547" s="3"/>
    </row>
    <row r="548" customFormat="false" ht="19.5" hidden="false" customHeight="false" outlineLevel="0" collapsed="false">
      <c r="A548" s="3" t="s">
        <v>116</v>
      </c>
      <c r="B548" s="3" t="s">
        <v>117</v>
      </c>
      <c r="C548" s="3" t="s">
        <v>86</v>
      </c>
      <c r="D548" s="3" t="s">
        <v>8</v>
      </c>
      <c r="E548" s="3" t="n">
        <v>5240</v>
      </c>
      <c r="F548" s="3" t="n">
        <v>240</v>
      </c>
      <c r="G548" s="3" t="n">
        <v>24</v>
      </c>
      <c r="H548" s="8" t="n">
        <f aca="false">(E548/1000)*(F548/1000)*(G548/1000)*7850</f>
        <v>236.93184</v>
      </c>
      <c r="I548" s="3" t="n">
        <v>2</v>
      </c>
      <c r="J548" s="9" t="n">
        <f aca="false">H548*I548</f>
        <v>473.86368</v>
      </c>
      <c r="K548" s="3"/>
    </row>
    <row r="549" customFormat="false" ht="19.5" hidden="false" customHeight="false" outlineLevel="0" collapsed="false">
      <c r="A549" s="3" t="s">
        <v>116</v>
      </c>
      <c r="B549" s="3" t="s">
        <v>117</v>
      </c>
      <c r="C549" s="3" t="s">
        <v>97</v>
      </c>
      <c r="D549" s="3" t="s">
        <v>8</v>
      </c>
      <c r="E549" s="3" t="n">
        <v>5829</v>
      </c>
      <c r="F549" s="3" t="n">
        <v>1200</v>
      </c>
      <c r="G549" s="3" t="n">
        <v>36</v>
      </c>
      <c r="H549" s="8" t="n">
        <f aca="false">(E549/1000)*(F549/1000)*(G549/1000)*7850</f>
        <v>1976.73048</v>
      </c>
      <c r="I549" s="3" t="n">
        <v>1</v>
      </c>
      <c r="J549" s="9" t="n">
        <f aca="false">H549*I549</f>
        <v>1976.73048</v>
      </c>
      <c r="K549" s="3"/>
    </row>
    <row r="550" customFormat="false" ht="19.5" hidden="false" customHeight="false" outlineLevel="0" collapsed="false">
      <c r="A550" s="3" t="s">
        <v>116</v>
      </c>
      <c r="B550" s="3" t="s">
        <v>117</v>
      </c>
      <c r="C550" s="3" t="s">
        <v>87</v>
      </c>
      <c r="D550" s="3" t="s">
        <v>8</v>
      </c>
      <c r="E550" s="3" t="n">
        <v>5429</v>
      </c>
      <c r="F550" s="3" t="n">
        <v>1200</v>
      </c>
      <c r="G550" s="3" t="n">
        <v>36</v>
      </c>
      <c r="H550" s="8" t="n">
        <f aca="false">(E550/1000)*(F550/1000)*(G550/1000)*7850</f>
        <v>1841.08248</v>
      </c>
      <c r="I550" s="3" t="n">
        <v>1</v>
      </c>
      <c r="J550" s="9" t="n">
        <f aca="false">H550*I550</f>
        <v>1841.08248</v>
      </c>
      <c r="K550" s="3"/>
    </row>
    <row r="551" customFormat="false" ht="19.5" hidden="false" customHeight="false" outlineLevel="0" collapsed="false">
      <c r="A551" s="3" t="s">
        <v>116</v>
      </c>
      <c r="B551" s="3" t="s">
        <v>117</v>
      </c>
      <c r="C551" s="3" t="s">
        <v>87</v>
      </c>
      <c r="D551" s="3" t="s">
        <v>8</v>
      </c>
      <c r="E551" s="3" t="n">
        <v>3629</v>
      </c>
      <c r="F551" s="3" t="n">
        <v>1360</v>
      </c>
      <c r="G551" s="3" t="n">
        <v>36</v>
      </c>
      <c r="H551" s="8" t="n">
        <f aca="false">(E551/1000)*(F551/1000)*(G551/1000)*7850</f>
        <v>1394.755344</v>
      </c>
      <c r="I551" s="3" t="n">
        <v>2</v>
      </c>
      <c r="J551" s="9" t="n">
        <f aca="false">H551*I551</f>
        <v>2789.510688</v>
      </c>
      <c r="K551" s="3"/>
    </row>
    <row r="552" customFormat="false" ht="19.5" hidden="false" customHeight="false" outlineLevel="0" collapsed="false">
      <c r="A552" s="3" t="s">
        <v>116</v>
      </c>
      <c r="B552" s="3" t="s">
        <v>117</v>
      </c>
      <c r="C552" s="3" t="s">
        <v>87</v>
      </c>
      <c r="D552" s="3" t="s">
        <v>8</v>
      </c>
      <c r="E552" s="3" t="n">
        <v>3629</v>
      </c>
      <c r="F552" s="3" t="n">
        <v>320</v>
      </c>
      <c r="G552" s="3" t="n">
        <v>32</v>
      </c>
      <c r="H552" s="8" t="n">
        <f aca="false">(E552/1000)*(F552/1000)*(G552/1000)*7850</f>
        <v>291.713536</v>
      </c>
      <c r="I552" s="3" t="n">
        <v>2</v>
      </c>
      <c r="J552" s="9" t="n">
        <f aca="false">H552*I552</f>
        <v>583.427072</v>
      </c>
      <c r="K552" s="3"/>
    </row>
    <row r="553" customFormat="false" ht="19.5" hidden="false" customHeight="false" outlineLevel="0" collapsed="false">
      <c r="A553" s="3" t="s">
        <v>116</v>
      </c>
      <c r="B553" s="3" t="s">
        <v>117</v>
      </c>
      <c r="C553" s="3" t="s">
        <v>90</v>
      </c>
      <c r="D553" s="3" t="s">
        <v>8</v>
      </c>
      <c r="E553" s="3" t="n">
        <v>5129</v>
      </c>
      <c r="F553" s="3" t="n">
        <v>320</v>
      </c>
      <c r="G553" s="3" t="n">
        <v>32</v>
      </c>
      <c r="H553" s="8" t="n">
        <f aca="false">(E553/1000)*(F553/1000)*(G553/1000)*7850</f>
        <v>412.289536</v>
      </c>
      <c r="I553" s="3" t="n">
        <v>1</v>
      </c>
      <c r="J553" s="9" t="n">
        <f aca="false">H553*I553</f>
        <v>412.289536</v>
      </c>
      <c r="K553" s="3"/>
    </row>
    <row r="554" customFormat="false" ht="19.5" hidden="false" customHeight="false" outlineLevel="0" collapsed="false">
      <c r="A554" s="3" t="s">
        <v>116</v>
      </c>
      <c r="B554" s="3" t="s">
        <v>117</v>
      </c>
      <c r="C554" s="3" t="s">
        <v>91</v>
      </c>
      <c r="D554" s="3" t="s">
        <v>8</v>
      </c>
      <c r="E554" s="3" t="n">
        <v>4729</v>
      </c>
      <c r="F554" s="3" t="n">
        <v>320</v>
      </c>
      <c r="G554" s="3" t="n">
        <v>32</v>
      </c>
      <c r="H554" s="8" t="n">
        <f aca="false">(E554/1000)*(F554/1000)*(G554/1000)*7850</f>
        <v>380.135936</v>
      </c>
      <c r="I554" s="3" t="n">
        <v>1</v>
      </c>
      <c r="J554" s="9" t="n">
        <f aca="false">H554*I554</f>
        <v>380.135936</v>
      </c>
      <c r="K554" s="3"/>
    </row>
    <row r="555" customFormat="false" ht="19.5" hidden="false" customHeight="false" outlineLevel="0" collapsed="false">
      <c r="A555" s="3" t="s">
        <v>116</v>
      </c>
      <c r="B555" s="3" t="s">
        <v>117</v>
      </c>
      <c r="C555" s="3" t="s">
        <v>92</v>
      </c>
      <c r="D555" s="3" t="s">
        <v>8</v>
      </c>
      <c r="E555" s="3" t="n">
        <v>1200</v>
      </c>
      <c r="F555" s="3" t="n">
        <v>1200</v>
      </c>
      <c r="G555" s="3" t="n">
        <v>16</v>
      </c>
      <c r="H555" s="8" t="n">
        <f aca="false">(E555/1000)*(F555/1000)*(G555/1000)*7850</f>
        <v>180.864</v>
      </c>
      <c r="I555" s="3" t="n">
        <v>3</v>
      </c>
      <c r="J555" s="9" t="n">
        <f aca="false">H555*I555</f>
        <v>542.592</v>
      </c>
      <c r="K555" s="3"/>
    </row>
    <row r="556" customFormat="false" ht="19.5" hidden="false" customHeight="false" outlineLevel="0" collapsed="false">
      <c r="A556" s="3" t="s">
        <v>116</v>
      </c>
      <c r="B556" s="3" t="s">
        <v>117</v>
      </c>
      <c r="C556" s="3" t="s">
        <v>93</v>
      </c>
      <c r="D556" s="3" t="s">
        <v>8</v>
      </c>
      <c r="E556" s="3" t="n">
        <v>2300</v>
      </c>
      <c r="F556" s="3" t="n">
        <v>320</v>
      </c>
      <c r="G556" s="3" t="n">
        <v>32</v>
      </c>
      <c r="H556" s="8" t="n">
        <f aca="false">(E556/1000)*(F556/1000)*(G556/1000)*7850</f>
        <v>184.8832</v>
      </c>
      <c r="I556" s="3" t="n">
        <v>2</v>
      </c>
      <c r="J556" s="9" t="n">
        <f aca="false">H556*I556</f>
        <v>369.7664</v>
      </c>
      <c r="K556" s="3"/>
    </row>
    <row r="557" customFormat="false" ht="19.5" hidden="false" customHeight="false" outlineLevel="0" collapsed="false">
      <c r="A557" s="3" t="s">
        <v>118</v>
      </c>
      <c r="B557" s="3" t="s">
        <v>119</v>
      </c>
      <c r="C557" s="3" t="s">
        <v>44</v>
      </c>
      <c r="D557" s="3" t="s">
        <v>8</v>
      </c>
      <c r="E557" s="3" t="n">
        <v>15280</v>
      </c>
      <c r="F557" s="3" t="n">
        <v>1000</v>
      </c>
      <c r="G557" s="3" t="n">
        <v>20</v>
      </c>
      <c r="H557" s="8" t="n">
        <f aca="false">(E557/1000)*(F557/1000)*(G557/1000)*7850</f>
        <v>2398.96</v>
      </c>
      <c r="I557" s="3" t="n">
        <v>1</v>
      </c>
      <c r="J557" s="9" t="n">
        <f aca="false">H557*I557</f>
        <v>2398.96</v>
      </c>
      <c r="K557" s="3"/>
    </row>
    <row r="558" customFormat="false" ht="19.5" hidden="false" customHeight="false" outlineLevel="0" collapsed="false">
      <c r="A558" s="3" t="s">
        <v>118</v>
      </c>
      <c r="B558" s="3" t="s">
        <v>119</v>
      </c>
      <c r="C558" s="3" t="s">
        <v>45</v>
      </c>
      <c r="D558" s="3" t="s">
        <v>8</v>
      </c>
      <c r="E558" s="3" t="n">
        <v>13730</v>
      </c>
      <c r="F558" s="3" t="n">
        <v>1000</v>
      </c>
      <c r="G558" s="3" t="n">
        <v>20</v>
      </c>
      <c r="H558" s="8" t="n">
        <f aca="false">(E558/1000)*(F558/1000)*(G558/1000)*7850</f>
        <v>2155.61</v>
      </c>
      <c r="I558" s="3" t="n">
        <v>1</v>
      </c>
      <c r="J558" s="9" t="n">
        <f aca="false">H558*I558</f>
        <v>2155.61</v>
      </c>
      <c r="K558" s="3"/>
    </row>
    <row r="559" customFormat="false" ht="19.5" hidden="false" customHeight="false" outlineLevel="0" collapsed="false">
      <c r="A559" s="3" t="s">
        <v>118</v>
      </c>
      <c r="B559" s="3" t="s">
        <v>119</v>
      </c>
      <c r="C559" s="3" t="s">
        <v>46</v>
      </c>
      <c r="D559" s="3" t="s">
        <v>8</v>
      </c>
      <c r="E559" s="3" t="n">
        <v>7900</v>
      </c>
      <c r="F559" s="3" t="n">
        <v>1200</v>
      </c>
      <c r="G559" s="3" t="n">
        <v>20</v>
      </c>
      <c r="H559" s="8" t="n">
        <f aca="false">(E559/1000)*(F559/1000)*(G559/1000)*7850</f>
        <v>1488.36</v>
      </c>
      <c r="I559" s="3" t="n">
        <v>1</v>
      </c>
      <c r="J559" s="9" t="n">
        <f aca="false">H559*I559</f>
        <v>1488.36</v>
      </c>
      <c r="K559" s="3"/>
    </row>
    <row r="560" customFormat="false" ht="19.5" hidden="false" customHeight="false" outlineLevel="0" collapsed="false">
      <c r="A560" s="3" t="s">
        <v>118</v>
      </c>
      <c r="B560" s="3" t="s">
        <v>119</v>
      </c>
      <c r="C560" s="3" t="s">
        <v>47</v>
      </c>
      <c r="D560" s="3" t="s">
        <v>8</v>
      </c>
      <c r="E560" s="3" t="n">
        <v>7100</v>
      </c>
      <c r="F560" s="3" t="n">
        <v>1200</v>
      </c>
      <c r="G560" s="3" t="n">
        <v>20</v>
      </c>
      <c r="H560" s="8" t="n">
        <f aca="false">(E560/1000)*(F560/1000)*(G560/1000)*7850</f>
        <v>1337.64</v>
      </c>
      <c r="I560" s="3" t="n">
        <v>1</v>
      </c>
      <c r="J560" s="9" t="n">
        <f aca="false">H560*I560</f>
        <v>1337.64</v>
      </c>
      <c r="K560" s="3"/>
    </row>
    <row r="561" customFormat="false" ht="19.5" hidden="false" customHeight="false" outlineLevel="0" collapsed="false">
      <c r="A561" s="3" t="s">
        <v>118</v>
      </c>
      <c r="B561" s="3" t="s">
        <v>119</v>
      </c>
      <c r="C561" s="3" t="s">
        <v>48</v>
      </c>
      <c r="D561" s="3" t="s">
        <v>8</v>
      </c>
      <c r="E561" s="3" t="n">
        <v>22300</v>
      </c>
      <c r="F561" s="3" t="n">
        <v>1000</v>
      </c>
      <c r="G561" s="3" t="n">
        <v>40</v>
      </c>
      <c r="H561" s="8" t="n">
        <f aca="false">(E561/1000)*(F561/1000)*(G561/1000)*7850</f>
        <v>7002.2</v>
      </c>
      <c r="I561" s="3" t="n">
        <v>2</v>
      </c>
      <c r="J561" s="9" t="n">
        <f aca="false">H561*I561</f>
        <v>14004.4</v>
      </c>
      <c r="K561" s="3"/>
    </row>
    <row r="562" customFormat="false" ht="19.5" hidden="false" customHeight="false" outlineLevel="0" collapsed="false">
      <c r="A562" s="3" t="s">
        <v>118</v>
      </c>
      <c r="B562" s="3" t="s">
        <v>119</v>
      </c>
      <c r="C562" s="3" t="s">
        <v>49</v>
      </c>
      <c r="D562" s="3" t="s">
        <v>8</v>
      </c>
      <c r="E562" s="3" t="n">
        <v>7300</v>
      </c>
      <c r="F562" s="3" t="n">
        <v>2048</v>
      </c>
      <c r="G562" s="3" t="n">
        <v>20</v>
      </c>
      <c r="H562" s="8" t="n">
        <f aca="false">(E562/1000)*(F562/1000)*(G562/1000)*7850</f>
        <v>2347.2128</v>
      </c>
      <c r="I562" s="3" t="n">
        <v>2</v>
      </c>
      <c r="J562" s="9" t="n">
        <f aca="false">H562*I562</f>
        <v>4694.4256</v>
      </c>
      <c r="K562" s="3"/>
    </row>
    <row r="563" customFormat="false" ht="19.5" hidden="false" customHeight="false" outlineLevel="0" collapsed="false">
      <c r="A563" s="3" t="s">
        <v>118</v>
      </c>
      <c r="B563" s="3" t="s">
        <v>119</v>
      </c>
      <c r="C563" s="3" t="s">
        <v>70</v>
      </c>
      <c r="D563" s="3" t="s">
        <v>8</v>
      </c>
      <c r="E563" s="3" t="n">
        <v>7100</v>
      </c>
      <c r="F563" s="3" t="n">
        <v>2500</v>
      </c>
      <c r="G563" s="3" t="n">
        <v>20</v>
      </c>
      <c r="H563" s="8" t="n">
        <f aca="false">(E563/1000)*(F563/1000)*(G563/1000)*7850</f>
        <v>2786.75</v>
      </c>
      <c r="I563" s="3" t="n">
        <v>1</v>
      </c>
      <c r="J563" s="9" t="n">
        <f aca="false">H563*I563</f>
        <v>2786.75</v>
      </c>
      <c r="K563" s="3"/>
    </row>
    <row r="564" customFormat="false" ht="19.5" hidden="false" customHeight="false" outlineLevel="0" collapsed="false">
      <c r="A564" s="3" t="s">
        <v>118</v>
      </c>
      <c r="B564" s="3" t="s">
        <v>119</v>
      </c>
      <c r="C564" s="3" t="s">
        <v>52</v>
      </c>
      <c r="D564" s="3" t="s">
        <v>8</v>
      </c>
      <c r="E564" s="3" t="n">
        <v>12960</v>
      </c>
      <c r="F564" s="3" t="n">
        <v>1000</v>
      </c>
      <c r="G564" s="3" t="n">
        <v>20</v>
      </c>
      <c r="H564" s="8" t="n">
        <f aca="false">(E564/1000)*(F564/1000)*(G564/1000)*7850</f>
        <v>2034.72</v>
      </c>
      <c r="I564" s="3" t="n">
        <v>1</v>
      </c>
      <c r="J564" s="9" t="n">
        <f aca="false">H564*I564</f>
        <v>2034.72</v>
      </c>
      <c r="K564" s="3"/>
    </row>
    <row r="565" customFormat="false" ht="19.5" hidden="false" customHeight="false" outlineLevel="0" collapsed="false">
      <c r="A565" s="3" t="s">
        <v>118</v>
      </c>
      <c r="B565" s="3" t="s">
        <v>119</v>
      </c>
      <c r="C565" s="3" t="s">
        <v>67</v>
      </c>
      <c r="D565" s="3" t="s">
        <v>8</v>
      </c>
      <c r="E565" s="3" t="n">
        <v>20360</v>
      </c>
      <c r="F565" s="3" t="n">
        <v>1000</v>
      </c>
      <c r="G565" s="3" t="n">
        <v>40</v>
      </c>
      <c r="H565" s="8" t="n">
        <f aca="false">(E565/1000)*(F565/1000)*(G565/1000)*7850</f>
        <v>6393.04</v>
      </c>
      <c r="I565" s="3" t="n">
        <v>2</v>
      </c>
      <c r="J565" s="9" t="n">
        <f aca="false">H565*I565</f>
        <v>12786.08</v>
      </c>
      <c r="K565" s="3"/>
    </row>
    <row r="566" customFormat="false" ht="19.5" hidden="false" customHeight="false" outlineLevel="0" collapsed="false">
      <c r="A566" s="3" t="s">
        <v>118</v>
      </c>
      <c r="B566" s="3" t="s">
        <v>119</v>
      </c>
      <c r="C566" s="3" t="s">
        <v>54</v>
      </c>
      <c r="D566" s="3" t="s">
        <v>8</v>
      </c>
      <c r="E566" s="3" t="n">
        <v>7300</v>
      </c>
      <c r="F566" s="3" t="n">
        <v>1880</v>
      </c>
      <c r="G566" s="3" t="n">
        <v>24</v>
      </c>
      <c r="H566" s="8" t="n">
        <f aca="false">(E566/1000)*(F566/1000)*(G566/1000)*7850</f>
        <v>2585.6016</v>
      </c>
      <c r="I566" s="3" t="n">
        <v>2</v>
      </c>
      <c r="J566" s="9" t="n">
        <f aca="false">H566*I566</f>
        <v>5171.2032</v>
      </c>
      <c r="K566" s="3"/>
    </row>
    <row r="567" customFormat="false" ht="19.5" hidden="false" customHeight="false" outlineLevel="0" collapsed="false">
      <c r="A567" s="3" t="s">
        <v>118</v>
      </c>
      <c r="B567" s="3" t="s">
        <v>119</v>
      </c>
      <c r="C567" s="3" t="s">
        <v>55</v>
      </c>
      <c r="D567" s="3" t="s">
        <v>8</v>
      </c>
      <c r="E567" s="3" t="n">
        <v>7900</v>
      </c>
      <c r="F567" s="3" t="n">
        <v>240</v>
      </c>
      <c r="G567" s="3" t="n">
        <v>20</v>
      </c>
      <c r="H567" s="8" t="n">
        <f aca="false">(E567/1000)*(F567/1000)*(G567/1000)*7850</f>
        <v>297.672</v>
      </c>
      <c r="I567" s="3" t="n">
        <v>4</v>
      </c>
      <c r="J567" s="9" t="n">
        <f aca="false">H567*I567</f>
        <v>1190.688</v>
      </c>
      <c r="K567" s="3"/>
    </row>
    <row r="568" customFormat="false" ht="19.5" hidden="false" customHeight="false" outlineLevel="0" collapsed="false">
      <c r="A568" s="3" t="s">
        <v>118</v>
      </c>
      <c r="B568" s="3" t="s">
        <v>119</v>
      </c>
      <c r="C568" s="3" t="s">
        <v>56</v>
      </c>
      <c r="D568" s="3" t="s">
        <v>8</v>
      </c>
      <c r="E568" s="3" t="n">
        <v>7100</v>
      </c>
      <c r="F568" s="3" t="n">
        <v>240</v>
      </c>
      <c r="G568" s="3" t="n">
        <v>20</v>
      </c>
      <c r="H568" s="8" t="n">
        <f aca="false">(E568/1000)*(F568/1000)*(G568/1000)*7850</f>
        <v>267.528</v>
      </c>
      <c r="I568" s="3" t="n">
        <v>4</v>
      </c>
      <c r="J568" s="9" t="n">
        <f aca="false">H568*I568</f>
        <v>1070.112</v>
      </c>
      <c r="K568" s="3"/>
    </row>
    <row r="569" customFormat="false" ht="19.5" hidden="false" customHeight="false" outlineLevel="0" collapsed="false">
      <c r="A569" s="3" t="s">
        <v>118</v>
      </c>
      <c r="B569" s="3" t="s">
        <v>119</v>
      </c>
      <c r="C569" s="3" t="s">
        <v>57</v>
      </c>
      <c r="D569" s="3" t="s">
        <v>8</v>
      </c>
      <c r="E569" s="3" t="n">
        <v>15000</v>
      </c>
      <c r="F569" s="3" t="n">
        <v>170</v>
      </c>
      <c r="G569" s="3" t="n">
        <v>14</v>
      </c>
      <c r="H569" s="8" t="n">
        <f aca="false">(E569/1000)*(F569/1000)*(G569/1000)*7850</f>
        <v>280.245</v>
      </c>
      <c r="I569" s="3" t="n">
        <v>2</v>
      </c>
      <c r="J569" s="9" t="n">
        <f aca="false">H569*I569</f>
        <v>560.49</v>
      </c>
      <c r="K569" s="3"/>
    </row>
    <row r="570" customFormat="false" ht="19.5" hidden="false" customHeight="false" outlineLevel="0" collapsed="false">
      <c r="A570" s="3" t="s">
        <v>118</v>
      </c>
      <c r="B570" s="3" t="s">
        <v>119</v>
      </c>
      <c r="C570" s="3" t="s">
        <v>58</v>
      </c>
      <c r="D570" s="3" t="s">
        <v>8</v>
      </c>
      <c r="E570" s="3" t="n">
        <v>7227</v>
      </c>
      <c r="F570" s="3" t="n">
        <v>900</v>
      </c>
      <c r="G570" s="3" t="n">
        <v>36</v>
      </c>
      <c r="H570" s="8" t="n">
        <f aca="false">(E570/1000)*(F570/1000)*(G570/1000)*7850</f>
        <v>1838.11518</v>
      </c>
      <c r="I570" s="3" t="n">
        <v>2</v>
      </c>
      <c r="J570" s="9" t="n">
        <f aca="false">H570*I570</f>
        <v>3676.23036</v>
      </c>
      <c r="K570" s="3"/>
    </row>
    <row r="571" customFormat="false" ht="19.5" hidden="false" customHeight="false" outlineLevel="0" collapsed="false">
      <c r="A571" s="3" t="s">
        <v>118</v>
      </c>
      <c r="B571" s="3" t="s">
        <v>119</v>
      </c>
      <c r="C571" s="3" t="s">
        <v>59</v>
      </c>
      <c r="D571" s="3" t="s">
        <v>8</v>
      </c>
      <c r="E571" s="3" t="n">
        <v>11727</v>
      </c>
      <c r="F571" s="3" t="n">
        <v>1200</v>
      </c>
      <c r="G571" s="3" t="n">
        <v>32</v>
      </c>
      <c r="H571" s="8" t="n">
        <f aca="false">(E571/1000)*(F571/1000)*(G571/1000)*7850</f>
        <v>3534.98688</v>
      </c>
      <c r="I571" s="3" t="n">
        <v>1</v>
      </c>
      <c r="J571" s="9" t="n">
        <f aca="false">H571*I571</f>
        <v>3534.98688</v>
      </c>
      <c r="K571" s="3"/>
    </row>
    <row r="572" customFormat="false" ht="19.5" hidden="false" customHeight="false" outlineLevel="0" collapsed="false">
      <c r="A572" s="3" t="s">
        <v>118</v>
      </c>
      <c r="B572" s="3" t="s">
        <v>119</v>
      </c>
      <c r="C572" s="3" t="s">
        <v>60</v>
      </c>
      <c r="D572" s="3" t="s">
        <v>8</v>
      </c>
      <c r="E572" s="3" t="n">
        <v>10327</v>
      </c>
      <c r="F572" s="3" t="n">
        <v>240</v>
      </c>
      <c r="G572" s="3" t="n">
        <v>24</v>
      </c>
      <c r="H572" s="8" t="n">
        <f aca="false">(E572/1000)*(F572/1000)*(G572/1000)*7850</f>
        <v>466.945632</v>
      </c>
      <c r="I572" s="3" t="n">
        <v>2</v>
      </c>
      <c r="J572" s="9" t="n">
        <f aca="false">H572*I572</f>
        <v>933.891264</v>
      </c>
      <c r="K572" s="3"/>
    </row>
    <row r="573" customFormat="false" ht="19.5" hidden="false" customHeight="false" outlineLevel="0" collapsed="false">
      <c r="A573" s="3" t="s">
        <v>118</v>
      </c>
      <c r="B573" s="3" t="s">
        <v>119</v>
      </c>
      <c r="C573" s="3" t="s">
        <v>61</v>
      </c>
      <c r="D573" s="3" t="s">
        <v>8</v>
      </c>
      <c r="E573" s="3" t="n">
        <v>3657</v>
      </c>
      <c r="F573" s="3" t="n">
        <v>900</v>
      </c>
      <c r="G573" s="3" t="n">
        <v>36</v>
      </c>
      <c r="H573" s="8" t="n">
        <f aca="false">(E573/1000)*(F573/1000)*(G573/1000)*7850</f>
        <v>930.12138</v>
      </c>
      <c r="I573" s="3" t="n">
        <v>2</v>
      </c>
      <c r="J573" s="9" t="n">
        <f aca="false">H573*I573</f>
        <v>1860.24276</v>
      </c>
      <c r="K573" s="3"/>
    </row>
    <row r="574" customFormat="false" ht="19.5" hidden="false" customHeight="false" outlineLevel="0" collapsed="false">
      <c r="A574" s="3" t="s">
        <v>118</v>
      </c>
      <c r="B574" s="3" t="s">
        <v>119</v>
      </c>
      <c r="C574" s="3" t="s">
        <v>85</v>
      </c>
      <c r="D574" s="3" t="s">
        <v>8</v>
      </c>
      <c r="E574" s="3" t="n">
        <v>5957</v>
      </c>
      <c r="F574" s="3" t="n">
        <v>1200</v>
      </c>
      <c r="G574" s="3" t="n">
        <v>32</v>
      </c>
      <c r="H574" s="8" t="n">
        <f aca="false">(E574/1000)*(F574/1000)*(G574/1000)*7850</f>
        <v>1795.67808</v>
      </c>
      <c r="I574" s="3" t="n">
        <v>1</v>
      </c>
      <c r="J574" s="9" t="n">
        <f aca="false">H574*I574</f>
        <v>1795.67808</v>
      </c>
      <c r="K574" s="3"/>
    </row>
    <row r="575" customFormat="false" ht="19.5" hidden="false" customHeight="false" outlineLevel="0" collapsed="false">
      <c r="A575" s="3" t="s">
        <v>118</v>
      </c>
      <c r="B575" s="3" t="s">
        <v>119</v>
      </c>
      <c r="C575" s="3" t="s">
        <v>86</v>
      </c>
      <c r="D575" s="3" t="s">
        <v>8</v>
      </c>
      <c r="E575" s="3" t="n">
        <v>5257</v>
      </c>
      <c r="F575" s="3" t="n">
        <v>240</v>
      </c>
      <c r="G575" s="3" t="n">
        <v>24</v>
      </c>
      <c r="H575" s="8" t="n">
        <f aca="false">(E575/1000)*(F575/1000)*(G575/1000)*7850</f>
        <v>237.700512</v>
      </c>
      <c r="I575" s="3" t="n">
        <v>2</v>
      </c>
      <c r="J575" s="9" t="n">
        <f aca="false">H575*I575</f>
        <v>475.401024</v>
      </c>
      <c r="K575" s="3"/>
    </row>
    <row r="576" customFormat="false" ht="19.5" hidden="false" customHeight="false" outlineLevel="0" collapsed="false">
      <c r="A576" s="3" t="s">
        <v>118</v>
      </c>
      <c r="B576" s="3" t="s">
        <v>119</v>
      </c>
      <c r="C576" s="3" t="s">
        <v>97</v>
      </c>
      <c r="D576" s="3" t="s">
        <v>8</v>
      </c>
      <c r="E576" s="3" t="n">
        <v>3640</v>
      </c>
      <c r="F576" s="3" t="n">
        <v>900</v>
      </c>
      <c r="G576" s="3" t="n">
        <v>36</v>
      </c>
      <c r="H576" s="8" t="n">
        <f aca="false">(E576/1000)*(F576/1000)*(G576/1000)*7850</f>
        <v>925.7976</v>
      </c>
      <c r="I576" s="3" t="n">
        <v>2</v>
      </c>
      <c r="J576" s="9" t="n">
        <f aca="false">H576*I576</f>
        <v>1851.5952</v>
      </c>
      <c r="K576" s="3"/>
    </row>
    <row r="577" customFormat="false" ht="19.5" hidden="false" customHeight="false" outlineLevel="0" collapsed="false">
      <c r="A577" s="3" t="s">
        <v>118</v>
      </c>
      <c r="B577" s="3" t="s">
        <v>119</v>
      </c>
      <c r="C577" s="3" t="s">
        <v>88</v>
      </c>
      <c r="D577" s="3" t="s">
        <v>8</v>
      </c>
      <c r="E577" s="3" t="n">
        <v>5940</v>
      </c>
      <c r="F577" s="3" t="n">
        <v>1200</v>
      </c>
      <c r="G577" s="3" t="n">
        <v>32</v>
      </c>
      <c r="H577" s="8" t="n">
        <f aca="false">(E577/1000)*(F577/1000)*(G577/1000)*7850</f>
        <v>1790.5536</v>
      </c>
      <c r="I577" s="3" t="n">
        <v>1</v>
      </c>
      <c r="J577" s="9" t="n">
        <f aca="false">H577*I577</f>
        <v>1790.5536</v>
      </c>
      <c r="K577" s="3"/>
    </row>
    <row r="578" customFormat="false" ht="19.5" hidden="false" customHeight="false" outlineLevel="0" collapsed="false">
      <c r="A578" s="3" t="s">
        <v>118</v>
      </c>
      <c r="B578" s="3" t="s">
        <v>119</v>
      </c>
      <c r="C578" s="3" t="s">
        <v>89</v>
      </c>
      <c r="D578" s="3" t="s">
        <v>8</v>
      </c>
      <c r="E578" s="3" t="n">
        <v>5240</v>
      </c>
      <c r="F578" s="3" t="n">
        <v>240</v>
      </c>
      <c r="G578" s="3" t="n">
        <v>24</v>
      </c>
      <c r="H578" s="8" t="n">
        <f aca="false">(E578/1000)*(F578/1000)*(G578/1000)*7850</f>
        <v>236.93184</v>
      </c>
      <c r="I578" s="3" t="n">
        <v>2</v>
      </c>
      <c r="J578" s="9" t="n">
        <f aca="false">H578*I578</f>
        <v>473.86368</v>
      </c>
      <c r="K578" s="3"/>
    </row>
    <row r="579" customFormat="false" ht="19.5" hidden="false" customHeight="false" outlineLevel="0" collapsed="false">
      <c r="A579" s="3" t="s">
        <v>120</v>
      </c>
      <c r="B579" s="3" t="s">
        <v>121</v>
      </c>
      <c r="C579" s="3" t="s">
        <v>44</v>
      </c>
      <c r="D579" s="3" t="s">
        <v>8</v>
      </c>
      <c r="E579" s="3" t="n">
        <v>15280</v>
      </c>
      <c r="F579" s="3" t="n">
        <v>1000</v>
      </c>
      <c r="G579" s="3" t="n">
        <v>20</v>
      </c>
      <c r="H579" s="8" t="n">
        <f aca="false">(E579/1000)*(F579/1000)*(G579/1000)*7850</f>
        <v>2398.96</v>
      </c>
      <c r="I579" s="3" t="n">
        <v>1</v>
      </c>
      <c r="J579" s="9" t="n">
        <f aca="false">H579*I579</f>
        <v>2398.96</v>
      </c>
      <c r="K579" s="3"/>
    </row>
    <row r="580" customFormat="false" ht="19.5" hidden="false" customHeight="false" outlineLevel="0" collapsed="false">
      <c r="A580" s="3" t="s">
        <v>120</v>
      </c>
      <c r="B580" s="3" t="s">
        <v>121</v>
      </c>
      <c r="C580" s="3" t="s">
        <v>45</v>
      </c>
      <c r="D580" s="3" t="s">
        <v>8</v>
      </c>
      <c r="E580" s="3" t="n">
        <v>16430</v>
      </c>
      <c r="F580" s="3" t="n">
        <v>1000</v>
      </c>
      <c r="G580" s="3" t="n">
        <v>20</v>
      </c>
      <c r="H580" s="8" t="n">
        <f aca="false">(E580/1000)*(F580/1000)*(G580/1000)*7850</f>
        <v>2579.51</v>
      </c>
      <c r="I580" s="3" t="n">
        <v>1</v>
      </c>
      <c r="J580" s="9" t="n">
        <f aca="false">H580*I580</f>
        <v>2579.51</v>
      </c>
      <c r="K580" s="3"/>
    </row>
    <row r="581" customFormat="false" ht="19.5" hidden="false" customHeight="false" outlineLevel="0" collapsed="false">
      <c r="A581" s="3" t="s">
        <v>120</v>
      </c>
      <c r="B581" s="3" t="s">
        <v>121</v>
      </c>
      <c r="C581" s="3" t="s">
        <v>46</v>
      </c>
      <c r="D581" s="3" t="s">
        <v>8</v>
      </c>
      <c r="E581" s="3" t="n">
        <v>7900</v>
      </c>
      <c r="F581" s="3" t="n">
        <v>1200</v>
      </c>
      <c r="G581" s="3" t="n">
        <v>20</v>
      </c>
      <c r="H581" s="8" t="n">
        <f aca="false">(E581/1000)*(F581/1000)*(G581/1000)*7850</f>
        <v>1488.36</v>
      </c>
      <c r="I581" s="3" t="n">
        <v>1</v>
      </c>
      <c r="J581" s="9" t="n">
        <f aca="false">H581*I581</f>
        <v>1488.36</v>
      </c>
      <c r="K581" s="3"/>
    </row>
    <row r="582" customFormat="false" ht="19.5" hidden="false" customHeight="false" outlineLevel="0" collapsed="false">
      <c r="A582" s="3" t="s">
        <v>120</v>
      </c>
      <c r="B582" s="3" t="s">
        <v>121</v>
      </c>
      <c r="C582" s="3" t="s">
        <v>47</v>
      </c>
      <c r="D582" s="3" t="s">
        <v>8</v>
      </c>
      <c r="E582" s="3" t="n">
        <v>8600</v>
      </c>
      <c r="F582" s="3" t="n">
        <v>1200</v>
      </c>
      <c r="G582" s="3" t="n">
        <v>20</v>
      </c>
      <c r="H582" s="8" t="n">
        <f aca="false">(E582/1000)*(F582/1000)*(G582/1000)*7850</f>
        <v>1620.24</v>
      </c>
      <c r="I582" s="3" t="n">
        <v>1</v>
      </c>
      <c r="J582" s="9" t="n">
        <f aca="false">H582*I582</f>
        <v>1620.24</v>
      </c>
      <c r="K582" s="3"/>
    </row>
    <row r="583" customFormat="false" ht="19.5" hidden="false" customHeight="false" outlineLevel="0" collapsed="false">
      <c r="A583" s="3" t="s">
        <v>120</v>
      </c>
      <c r="B583" s="3" t="s">
        <v>121</v>
      </c>
      <c r="C583" s="3" t="s">
        <v>48</v>
      </c>
      <c r="D583" s="3" t="s">
        <v>8</v>
      </c>
      <c r="E583" s="3" t="n">
        <v>22280</v>
      </c>
      <c r="F583" s="3" t="n">
        <v>1000</v>
      </c>
      <c r="G583" s="3" t="n">
        <v>40</v>
      </c>
      <c r="H583" s="8" t="n">
        <f aca="false">(E583/1000)*(F583/1000)*(G583/1000)*7850</f>
        <v>6995.92</v>
      </c>
      <c r="I583" s="3" t="n">
        <v>2</v>
      </c>
      <c r="J583" s="9" t="n">
        <f aca="false">H583*I583</f>
        <v>13991.84</v>
      </c>
      <c r="K583" s="3"/>
    </row>
    <row r="584" customFormat="false" ht="19.5" hidden="false" customHeight="false" outlineLevel="0" collapsed="false">
      <c r="A584" s="3" t="s">
        <v>120</v>
      </c>
      <c r="B584" s="3" t="s">
        <v>121</v>
      </c>
      <c r="C584" s="3" t="s">
        <v>49</v>
      </c>
      <c r="D584" s="3" t="s">
        <v>8</v>
      </c>
      <c r="E584" s="3" t="n">
        <v>8800</v>
      </c>
      <c r="F584" s="3" t="n">
        <v>2048</v>
      </c>
      <c r="G584" s="3" t="n">
        <v>20</v>
      </c>
      <c r="H584" s="8" t="n">
        <f aca="false">(E584/1000)*(F584/1000)*(G584/1000)*7850</f>
        <v>2829.5168</v>
      </c>
      <c r="I584" s="3" t="n">
        <v>2</v>
      </c>
      <c r="J584" s="9" t="n">
        <f aca="false">H584*I584</f>
        <v>5659.0336</v>
      </c>
      <c r="K584" s="3"/>
    </row>
    <row r="585" customFormat="false" ht="19.5" hidden="false" customHeight="false" outlineLevel="0" collapsed="false">
      <c r="A585" s="3" t="s">
        <v>120</v>
      </c>
      <c r="B585" s="3" t="s">
        <v>121</v>
      </c>
      <c r="C585" s="3" t="s">
        <v>50</v>
      </c>
      <c r="D585" s="3" t="s">
        <v>8</v>
      </c>
      <c r="E585" s="3" t="n">
        <v>7900</v>
      </c>
      <c r="F585" s="3" t="n">
        <v>240</v>
      </c>
      <c r="G585" s="3" t="n">
        <v>20</v>
      </c>
      <c r="H585" s="8" t="n">
        <f aca="false">(E585/1000)*(F585/1000)*(G585/1000)*7850</f>
        <v>297.672</v>
      </c>
      <c r="I585" s="3" t="n">
        <v>6</v>
      </c>
      <c r="J585" s="9" t="n">
        <f aca="false">H585*I585</f>
        <v>1786.032</v>
      </c>
      <c r="K585" s="3"/>
    </row>
    <row r="586" customFormat="false" ht="19.5" hidden="false" customHeight="false" outlineLevel="0" collapsed="false">
      <c r="A586" s="3" t="s">
        <v>120</v>
      </c>
      <c r="B586" s="3" t="s">
        <v>121</v>
      </c>
      <c r="C586" s="3" t="s">
        <v>66</v>
      </c>
      <c r="D586" s="3" t="s">
        <v>8</v>
      </c>
      <c r="E586" s="3" t="n">
        <v>8600</v>
      </c>
      <c r="F586" s="3" t="n">
        <v>240</v>
      </c>
      <c r="G586" s="3" t="n">
        <v>20</v>
      </c>
      <c r="H586" s="8" t="n">
        <f aca="false">(E586/1000)*(F586/1000)*(G586/1000)*7850</f>
        <v>324.048</v>
      </c>
      <c r="I586" s="3" t="n">
        <v>6</v>
      </c>
      <c r="J586" s="9" t="n">
        <f aca="false">H586*I586</f>
        <v>1944.288</v>
      </c>
      <c r="K586" s="3"/>
    </row>
    <row r="587" customFormat="false" ht="19.5" hidden="false" customHeight="false" outlineLevel="0" collapsed="false">
      <c r="A587" s="3" t="s">
        <v>120</v>
      </c>
      <c r="B587" s="3" t="s">
        <v>121</v>
      </c>
      <c r="C587" s="3" t="s">
        <v>51</v>
      </c>
      <c r="D587" s="3" t="s">
        <v>8</v>
      </c>
      <c r="E587" s="3" t="n">
        <v>7900</v>
      </c>
      <c r="F587" s="3" t="n">
        <v>2500</v>
      </c>
      <c r="G587" s="3" t="n">
        <v>20</v>
      </c>
      <c r="H587" s="8" t="n">
        <f aca="false">(E587/1000)*(F587/1000)*(G587/1000)*7850</f>
        <v>3100.75</v>
      </c>
      <c r="I587" s="3" t="n">
        <v>1</v>
      </c>
      <c r="J587" s="9" t="n">
        <f aca="false">H587*I587</f>
        <v>3100.75</v>
      </c>
      <c r="K587" s="3"/>
    </row>
    <row r="588" customFormat="false" ht="19.5" hidden="false" customHeight="false" outlineLevel="0" collapsed="false">
      <c r="A588" s="3" t="s">
        <v>120</v>
      </c>
      <c r="B588" s="3" t="s">
        <v>121</v>
      </c>
      <c r="C588" s="3" t="s">
        <v>52</v>
      </c>
      <c r="D588" s="3" t="s">
        <v>8</v>
      </c>
      <c r="E588" s="3" t="n">
        <v>12960</v>
      </c>
      <c r="F588" s="3" t="n">
        <v>1000</v>
      </c>
      <c r="G588" s="3" t="n">
        <v>20</v>
      </c>
      <c r="H588" s="8" t="n">
        <f aca="false">(E588/1000)*(F588/1000)*(G588/1000)*7850</f>
        <v>2034.72</v>
      </c>
      <c r="I588" s="3" t="n">
        <v>1</v>
      </c>
      <c r="J588" s="9" t="n">
        <f aca="false">H588*I588</f>
        <v>2034.72</v>
      </c>
      <c r="K588" s="3"/>
    </row>
    <row r="589" customFormat="false" ht="19.5" hidden="false" customHeight="false" outlineLevel="0" collapsed="false">
      <c r="A589" s="3" t="s">
        <v>120</v>
      </c>
      <c r="B589" s="3" t="s">
        <v>121</v>
      </c>
      <c r="C589" s="3" t="s">
        <v>53</v>
      </c>
      <c r="D589" s="3" t="s">
        <v>8</v>
      </c>
      <c r="E589" s="3" t="n">
        <v>15210</v>
      </c>
      <c r="F589" s="3" t="n">
        <v>1000</v>
      </c>
      <c r="G589" s="3" t="n">
        <v>20</v>
      </c>
      <c r="H589" s="8" t="n">
        <f aca="false">(E589/1000)*(F589/1000)*(G589/1000)*7850</f>
        <v>2387.97</v>
      </c>
      <c r="I589" s="3" t="n">
        <v>1</v>
      </c>
      <c r="J589" s="9" t="n">
        <f aca="false">H589*I589</f>
        <v>2387.97</v>
      </c>
      <c r="K589" s="3"/>
    </row>
    <row r="590" customFormat="false" ht="19.5" hidden="false" customHeight="false" outlineLevel="0" collapsed="false">
      <c r="A590" s="3" t="s">
        <v>120</v>
      </c>
      <c r="B590" s="3" t="s">
        <v>121</v>
      </c>
      <c r="C590" s="3" t="s">
        <v>67</v>
      </c>
      <c r="D590" s="3" t="s">
        <v>8</v>
      </c>
      <c r="E590" s="3" t="n">
        <v>20310</v>
      </c>
      <c r="F590" s="3" t="n">
        <v>1000</v>
      </c>
      <c r="G590" s="3" t="n">
        <v>40</v>
      </c>
      <c r="H590" s="8" t="n">
        <f aca="false">(E590/1000)*(F590/1000)*(G590/1000)*7850</f>
        <v>6377.34</v>
      </c>
      <c r="I590" s="3" t="n">
        <v>2</v>
      </c>
      <c r="J590" s="9" t="n">
        <f aca="false">H590*I590</f>
        <v>12754.68</v>
      </c>
      <c r="K590" s="3"/>
    </row>
    <row r="591" customFormat="false" ht="19.5" hidden="false" customHeight="false" outlineLevel="0" collapsed="false">
      <c r="A591" s="3" t="s">
        <v>120</v>
      </c>
      <c r="B591" s="3" t="s">
        <v>121</v>
      </c>
      <c r="C591" s="3" t="s">
        <v>54</v>
      </c>
      <c r="D591" s="3" t="s">
        <v>8</v>
      </c>
      <c r="E591" s="3" t="n">
        <v>10300</v>
      </c>
      <c r="F591" s="3" t="n">
        <v>1880</v>
      </c>
      <c r="G591" s="3" t="n">
        <v>24</v>
      </c>
      <c r="H591" s="8" t="n">
        <f aca="false">(E591/1000)*(F591/1000)*(G591/1000)*7850</f>
        <v>3648.1776</v>
      </c>
      <c r="I591" s="3" t="n">
        <v>2</v>
      </c>
      <c r="J591" s="9" t="n">
        <f aca="false">H591*I591</f>
        <v>7296.3552</v>
      </c>
      <c r="K591" s="3"/>
    </row>
    <row r="592" customFormat="false" ht="19.5" hidden="false" customHeight="false" outlineLevel="0" collapsed="false">
      <c r="A592" s="3" t="s">
        <v>120</v>
      </c>
      <c r="B592" s="3" t="s">
        <v>121</v>
      </c>
      <c r="C592" s="3" t="s">
        <v>55</v>
      </c>
      <c r="D592" s="3" t="s">
        <v>8</v>
      </c>
      <c r="E592" s="3" t="n">
        <v>7900</v>
      </c>
      <c r="F592" s="3" t="n">
        <v>240</v>
      </c>
      <c r="G592" s="3" t="n">
        <v>20</v>
      </c>
      <c r="H592" s="8" t="n">
        <f aca="false">(E592/1000)*(F592/1000)*(G592/1000)*7850</f>
        <v>297.672</v>
      </c>
      <c r="I592" s="3" t="n">
        <v>4</v>
      </c>
      <c r="J592" s="9" t="n">
        <f aca="false">H592*I592</f>
        <v>1190.688</v>
      </c>
      <c r="K592" s="3"/>
    </row>
    <row r="593" customFormat="false" ht="19.5" hidden="false" customHeight="false" outlineLevel="0" collapsed="false">
      <c r="A593" s="3" t="s">
        <v>120</v>
      </c>
      <c r="B593" s="3" t="s">
        <v>121</v>
      </c>
      <c r="C593" s="3" t="s">
        <v>56</v>
      </c>
      <c r="D593" s="3" t="s">
        <v>8</v>
      </c>
      <c r="E593" s="3" t="n">
        <v>10100</v>
      </c>
      <c r="F593" s="3" t="n">
        <v>240</v>
      </c>
      <c r="G593" s="3" t="n">
        <v>20</v>
      </c>
      <c r="H593" s="8" t="n">
        <f aca="false">(E593/1000)*(F593/1000)*(G593/1000)*7850</f>
        <v>380.568</v>
      </c>
      <c r="I593" s="3" t="n">
        <v>4</v>
      </c>
      <c r="J593" s="9" t="n">
        <f aca="false">H593*I593</f>
        <v>1522.272</v>
      </c>
      <c r="K593" s="3"/>
    </row>
    <row r="594" customFormat="false" ht="19.5" hidden="false" customHeight="false" outlineLevel="0" collapsed="false">
      <c r="A594" s="3" t="s">
        <v>120</v>
      </c>
      <c r="B594" s="3" t="s">
        <v>121</v>
      </c>
      <c r="C594" s="3" t="s">
        <v>57</v>
      </c>
      <c r="D594" s="3" t="s">
        <v>8</v>
      </c>
      <c r="E594" s="3" t="n">
        <v>18000</v>
      </c>
      <c r="F594" s="3" t="n">
        <v>170</v>
      </c>
      <c r="G594" s="3" t="n">
        <v>14</v>
      </c>
      <c r="H594" s="8" t="n">
        <f aca="false">(E594/1000)*(F594/1000)*(G594/1000)*7850</f>
        <v>336.294</v>
      </c>
      <c r="I594" s="3" t="n">
        <v>2</v>
      </c>
      <c r="J594" s="9" t="n">
        <f aca="false">H594*I594</f>
        <v>672.588</v>
      </c>
      <c r="K594" s="3"/>
    </row>
    <row r="595" customFormat="false" ht="19.5" hidden="false" customHeight="false" outlineLevel="0" collapsed="false">
      <c r="A595" s="3" t="s">
        <v>120</v>
      </c>
      <c r="B595" s="3" t="s">
        <v>121</v>
      </c>
      <c r="C595" s="3" t="s">
        <v>58</v>
      </c>
      <c r="D595" s="3" t="s">
        <v>8</v>
      </c>
      <c r="E595" s="3" t="n">
        <v>8075</v>
      </c>
      <c r="F595" s="3" t="n">
        <v>900</v>
      </c>
      <c r="G595" s="3" t="n">
        <v>36</v>
      </c>
      <c r="H595" s="8" t="n">
        <f aca="false">(E595/1000)*(F595/1000)*(G595/1000)*7850</f>
        <v>2053.7955</v>
      </c>
      <c r="I595" s="3" t="n">
        <v>2</v>
      </c>
      <c r="J595" s="9" t="n">
        <f aca="false">H595*I595</f>
        <v>4107.591</v>
      </c>
      <c r="K595" s="3"/>
    </row>
    <row r="596" customFormat="false" ht="19.5" hidden="false" customHeight="false" outlineLevel="0" collapsed="false">
      <c r="A596" s="3" t="s">
        <v>120</v>
      </c>
      <c r="B596" s="3" t="s">
        <v>121</v>
      </c>
      <c r="C596" s="3" t="s">
        <v>59</v>
      </c>
      <c r="D596" s="3" t="s">
        <v>8</v>
      </c>
      <c r="E596" s="3" t="n">
        <v>12575</v>
      </c>
      <c r="F596" s="3" t="n">
        <v>1200</v>
      </c>
      <c r="G596" s="3" t="n">
        <v>32</v>
      </c>
      <c r="H596" s="8" t="n">
        <f aca="false">(E596/1000)*(F596/1000)*(G596/1000)*7850</f>
        <v>3790.608</v>
      </c>
      <c r="I596" s="3" t="n">
        <v>1</v>
      </c>
      <c r="J596" s="9" t="n">
        <f aca="false">H596*I596</f>
        <v>3790.608</v>
      </c>
      <c r="K596" s="3"/>
    </row>
    <row r="597" customFormat="false" ht="19.5" hidden="false" customHeight="false" outlineLevel="0" collapsed="false">
      <c r="A597" s="3" t="s">
        <v>120</v>
      </c>
      <c r="B597" s="3" t="s">
        <v>121</v>
      </c>
      <c r="C597" s="3" t="s">
        <v>60</v>
      </c>
      <c r="D597" s="3" t="s">
        <v>8</v>
      </c>
      <c r="E597" s="3" t="n">
        <v>11175</v>
      </c>
      <c r="F597" s="3" t="n">
        <v>240</v>
      </c>
      <c r="G597" s="3" t="n">
        <v>24</v>
      </c>
      <c r="H597" s="8" t="n">
        <f aca="false">(E597/1000)*(F597/1000)*(G597/1000)*7850</f>
        <v>505.2888</v>
      </c>
      <c r="I597" s="3" t="n">
        <v>2</v>
      </c>
      <c r="J597" s="9" t="n">
        <f aca="false">H597*I597</f>
        <v>1010.5776</v>
      </c>
      <c r="K597" s="3"/>
    </row>
    <row r="598" customFormat="false" ht="19.5" hidden="false" customHeight="false" outlineLevel="0" collapsed="false">
      <c r="A598" s="3" t="s">
        <v>120</v>
      </c>
      <c r="B598" s="3" t="s">
        <v>121</v>
      </c>
      <c r="C598" s="3" t="s">
        <v>61</v>
      </c>
      <c r="D598" s="3" t="s">
        <v>8</v>
      </c>
      <c r="E598" s="3" t="n">
        <v>4104</v>
      </c>
      <c r="F598" s="3" t="n">
        <v>900</v>
      </c>
      <c r="G598" s="3" t="n">
        <v>36</v>
      </c>
      <c r="H598" s="8" t="n">
        <f aca="false">(E598/1000)*(F598/1000)*(G598/1000)*7850</f>
        <v>1043.81136</v>
      </c>
      <c r="I598" s="3" t="n">
        <v>2</v>
      </c>
      <c r="J598" s="9" t="n">
        <f aca="false">H598*I598</f>
        <v>2087.62272</v>
      </c>
      <c r="K598" s="3"/>
    </row>
    <row r="599" customFormat="false" ht="19.5" hidden="false" customHeight="false" outlineLevel="0" collapsed="false">
      <c r="A599" s="3" t="s">
        <v>120</v>
      </c>
      <c r="B599" s="3" t="s">
        <v>121</v>
      </c>
      <c r="C599" s="3" t="s">
        <v>85</v>
      </c>
      <c r="D599" s="3" t="s">
        <v>8</v>
      </c>
      <c r="E599" s="3" t="n">
        <v>6404</v>
      </c>
      <c r="F599" s="3" t="n">
        <v>1200</v>
      </c>
      <c r="G599" s="3" t="n">
        <v>32</v>
      </c>
      <c r="H599" s="8" t="n">
        <f aca="false">(E599/1000)*(F599/1000)*(G599/1000)*7850</f>
        <v>1930.42176</v>
      </c>
      <c r="I599" s="3" t="n">
        <v>1</v>
      </c>
      <c r="J599" s="9" t="n">
        <f aca="false">H599*I599</f>
        <v>1930.42176</v>
      </c>
      <c r="K599" s="3"/>
    </row>
    <row r="600" customFormat="false" ht="19.5" hidden="false" customHeight="false" outlineLevel="0" collapsed="false">
      <c r="A600" s="3" t="s">
        <v>120</v>
      </c>
      <c r="B600" s="3" t="s">
        <v>121</v>
      </c>
      <c r="C600" s="3" t="s">
        <v>86</v>
      </c>
      <c r="D600" s="3" t="s">
        <v>8</v>
      </c>
      <c r="E600" s="3" t="n">
        <v>5704</v>
      </c>
      <c r="F600" s="3" t="n">
        <v>240</v>
      </c>
      <c r="G600" s="3" t="n">
        <v>24</v>
      </c>
      <c r="H600" s="8" t="n">
        <f aca="false">(E600/1000)*(F600/1000)*(G600/1000)*7850</f>
        <v>257.912064</v>
      </c>
      <c r="I600" s="3" t="n">
        <v>2</v>
      </c>
      <c r="J600" s="9" t="n">
        <f aca="false">H600*I600</f>
        <v>515.824128</v>
      </c>
      <c r="K600" s="3"/>
    </row>
    <row r="601" customFormat="false" ht="19.5" hidden="false" customHeight="false" outlineLevel="0" collapsed="false">
      <c r="A601" s="3" t="s">
        <v>120</v>
      </c>
      <c r="B601" s="3" t="s">
        <v>121</v>
      </c>
      <c r="C601" s="3" t="s">
        <v>97</v>
      </c>
      <c r="D601" s="3" t="s">
        <v>8</v>
      </c>
      <c r="E601" s="3" t="n">
        <v>3657</v>
      </c>
      <c r="F601" s="3" t="n">
        <v>900</v>
      </c>
      <c r="G601" s="3" t="n">
        <v>36</v>
      </c>
      <c r="H601" s="8" t="n">
        <f aca="false">(E601/1000)*(F601/1000)*(G601/1000)*7850</f>
        <v>930.12138</v>
      </c>
      <c r="I601" s="3" t="n">
        <v>2</v>
      </c>
      <c r="J601" s="9" t="n">
        <f aca="false">H601*I601</f>
        <v>1860.24276</v>
      </c>
      <c r="K601" s="3"/>
    </row>
    <row r="602" customFormat="false" ht="19.5" hidden="false" customHeight="false" outlineLevel="0" collapsed="false">
      <c r="A602" s="3" t="s">
        <v>120</v>
      </c>
      <c r="B602" s="3" t="s">
        <v>121</v>
      </c>
      <c r="C602" s="3" t="s">
        <v>88</v>
      </c>
      <c r="D602" s="3" t="s">
        <v>8</v>
      </c>
      <c r="E602" s="3" t="n">
        <v>5857</v>
      </c>
      <c r="F602" s="3" t="n">
        <v>1200</v>
      </c>
      <c r="G602" s="3" t="n">
        <v>32</v>
      </c>
      <c r="H602" s="8" t="n">
        <f aca="false">(E602/1000)*(F602/1000)*(G602/1000)*7850</f>
        <v>1765.53408</v>
      </c>
      <c r="I602" s="3" t="n">
        <v>1</v>
      </c>
      <c r="J602" s="9" t="n">
        <f aca="false">H602*I602</f>
        <v>1765.53408</v>
      </c>
      <c r="K602" s="3"/>
    </row>
    <row r="603" customFormat="false" ht="19.5" hidden="false" customHeight="false" outlineLevel="0" collapsed="false">
      <c r="A603" s="3" t="s">
        <v>120</v>
      </c>
      <c r="B603" s="3" t="s">
        <v>121</v>
      </c>
      <c r="C603" s="3" t="s">
        <v>89</v>
      </c>
      <c r="D603" s="3" t="s">
        <v>8</v>
      </c>
      <c r="E603" s="3" t="n">
        <v>5157</v>
      </c>
      <c r="F603" s="3" t="n">
        <v>240</v>
      </c>
      <c r="G603" s="3" t="n">
        <v>24</v>
      </c>
      <c r="H603" s="8" t="n">
        <f aca="false">(E603/1000)*(F603/1000)*(G603/1000)*7850</f>
        <v>233.178912</v>
      </c>
      <c r="I603" s="3" t="n">
        <v>2</v>
      </c>
      <c r="J603" s="9" t="n">
        <f aca="false">H603*I603</f>
        <v>466.357824</v>
      </c>
      <c r="K603" s="3"/>
    </row>
    <row r="604" customFormat="false" ht="19.5" hidden="false" customHeight="false" outlineLevel="0" collapsed="false">
      <c r="A604" s="3" t="s">
        <v>122</v>
      </c>
      <c r="B604" s="3" t="s">
        <v>123</v>
      </c>
      <c r="C604" s="3" t="s">
        <v>124</v>
      </c>
      <c r="D604" s="3" t="s">
        <v>8</v>
      </c>
      <c r="E604" s="3" t="n">
        <v>46820</v>
      </c>
      <c r="F604" s="3" t="n">
        <v>1000</v>
      </c>
      <c r="G604" s="3" t="n">
        <v>20</v>
      </c>
      <c r="H604" s="8" t="n">
        <f aca="false">(E604/1000)*(F604/1000)*(G604/1000)*7850</f>
        <v>7350.74</v>
      </c>
      <c r="I604" s="3" t="n">
        <v>1</v>
      </c>
      <c r="J604" s="9" t="n">
        <f aca="false">H604*I604</f>
        <v>7350.74</v>
      </c>
      <c r="K604" s="3"/>
    </row>
    <row r="605" customFormat="false" ht="19.5" hidden="false" customHeight="false" outlineLevel="0" collapsed="false">
      <c r="A605" s="3" t="s">
        <v>122</v>
      </c>
      <c r="B605" s="3" t="s">
        <v>123</v>
      </c>
      <c r="C605" s="3" t="s">
        <v>125</v>
      </c>
      <c r="D605" s="3" t="s">
        <v>8</v>
      </c>
      <c r="E605" s="3" t="n">
        <v>23690</v>
      </c>
      <c r="F605" s="3" t="n">
        <v>1200</v>
      </c>
      <c r="G605" s="3" t="n">
        <v>20</v>
      </c>
      <c r="H605" s="8" t="n">
        <f aca="false">(E605/1000)*(F605/1000)*(G605/1000)*7850</f>
        <v>4463.196</v>
      </c>
      <c r="I605" s="3" t="n">
        <v>1</v>
      </c>
      <c r="J605" s="9" t="n">
        <f aca="false">H605*I605</f>
        <v>4463.196</v>
      </c>
      <c r="K605" s="3"/>
    </row>
    <row r="606" customFormat="false" ht="19.5" hidden="false" customHeight="false" outlineLevel="0" collapsed="false">
      <c r="A606" s="3" t="s">
        <v>122</v>
      </c>
      <c r="B606" s="3" t="s">
        <v>123</v>
      </c>
      <c r="C606" s="3" t="s">
        <v>48</v>
      </c>
      <c r="D606" s="3" t="s">
        <v>8</v>
      </c>
      <c r="E606" s="3" t="n">
        <v>10300</v>
      </c>
      <c r="F606" s="3" t="n">
        <v>1200</v>
      </c>
      <c r="G606" s="3" t="n">
        <v>20</v>
      </c>
      <c r="H606" s="8" t="n">
        <f aca="false">(E606/1000)*(F606/1000)*(G606/1000)*7850</f>
        <v>1940.52</v>
      </c>
      <c r="I606" s="3" t="n">
        <v>2</v>
      </c>
      <c r="J606" s="9" t="n">
        <f aca="false">H606*I606</f>
        <v>3881.04</v>
      </c>
      <c r="K606" s="3"/>
    </row>
    <row r="607" customFormat="false" ht="19.5" hidden="false" customHeight="false" outlineLevel="0" collapsed="false">
      <c r="A607" s="3" t="s">
        <v>122</v>
      </c>
      <c r="B607" s="3" t="s">
        <v>123</v>
      </c>
      <c r="C607" s="3" t="s">
        <v>126</v>
      </c>
      <c r="D607" s="3" t="s">
        <v>8</v>
      </c>
      <c r="E607" s="3" t="n">
        <v>24910</v>
      </c>
      <c r="F607" s="3" t="n">
        <v>1000</v>
      </c>
      <c r="G607" s="3" t="n">
        <v>40</v>
      </c>
      <c r="H607" s="8" t="n">
        <f aca="false">(E607/1000)*(F607/1000)*(G607/1000)*7850</f>
        <v>7821.74</v>
      </c>
      <c r="I607" s="3" t="n">
        <v>2</v>
      </c>
      <c r="J607" s="9" t="n">
        <f aca="false">H607*I607</f>
        <v>15643.48</v>
      </c>
      <c r="K607" s="3"/>
    </row>
    <row r="608" customFormat="false" ht="19.5" hidden="false" customHeight="false" outlineLevel="0" collapsed="false">
      <c r="A608" s="3" t="s">
        <v>122</v>
      </c>
      <c r="B608" s="3" t="s">
        <v>123</v>
      </c>
      <c r="C608" s="3" t="s">
        <v>50</v>
      </c>
      <c r="D608" s="3" t="s">
        <v>8</v>
      </c>
      <c r="E608" s="3" t="n">
        <v>5651</v>
      </c>
      <c r="F608" s="3" t="n">
        <v>320</v>
      </c>
      <c r="G608" s="3" t="n">
        <v>32</v>
      </c>
      <c r="H608" s="8" t="n">
        <f aca="false">(E608/1000)*(F608/1000)*(G608/1000)*7850</f>
        <v>454.249984</v>
      </c>
      <c r="I608" s="3" t="n">
        <v>4</v>
      </c>
      <c r="J608" s="9" t="n">
        <f aca="false">H608*I608</f>
        <v>1816.999936</v>
      </c>
      <c r="K608" s="3"/>
    </row>
    <row r="609" customFormat="false" ht="19.5" hidden="false" customHeight="false" outlineLevel="0" collapsed="false">
      <c r="A609" s="3" t="s">
        <v>122</v>
      </c>
      <c r="B609" s="3" t="s">
        <v>123</v>
      </c>
      <c r="C609" s="3" t="s">
        <v>66</v>
      </c>
      <c r="D609" s="3" t="s">
        <v>8</v>
      </c>
      <c r="E609" s="3" t="n">
        <v>10300</v>
      </c>
      <c r="F609" s="3" t="n">
        <v>240</v>
      </c>
      <c r="G609" s="3" t="n">
        <v>20</v>
      </c>
      <c r="H609" s="8" t="n">
        <f aca="false">(E609/1000)*(F609/1000)*(G609/1000)*7850</f>
        <v>388.104</v>
      </c>
      <c r="I609" s="3" t="n">
        <v>4</v>
      </c>
      <c r="J609" s="9" t="n">
        <f aca="false">H609*I609</f>
        <v>1552.416</v>
      </c>
      <c r="K609" s="3"/>
    </row>
    <row r="610" customFormat="false" ht="19.5" hidden="false" customHeight="false" outlineLevel="0" collapsed="false">
      <c r="A610" s="3" t="s">
        <v>122</v>
      </c>
      <c r="B610" s="3" t="s">
        <v>123</v>
      </c>
      <c r="C610" s="3" t="s">
        <v>127</v>
      </c>
      <c r="D610" s="3" t="s">
        <v>8</v>
      </c>
      <c r="E610" s="3" t="n">
        <v>7700</v>
      </c>
      <c r="F610" s="3" t="n">
        <v>320</v>
      </c>
      <c r="G610" s="3" t="n">
        <v>32</v>
      </c>
      <c r="H610" s="8" t="n">
        <f aca="false">(E610/1000)*(F610/1000)*(G610/1000)*7850</f>
        <v>618.9568</v>
      </c>
      <c r="I610" s="3" t="n">
        <v>4</v>
      </c>
      <c r="J610" s="9" t="n">
        <f aca="false">H610*I610</f>
        <v>2475.8272</v>
      </c>
      <c r="K610" s="3"/>
    </row>
    <row r="611" customFormat="false" ht="19.5" hidden="false" customHeight="false" outlineLevel="0" collapsed="false">
      <c r="A611" s="3" t="s">
        <v>122</v>
      </c>
      <c r="B611" s="3" t="s">
        <v>123</v>
      </c>
      <c r="C611" s="3" t="s">
        <v>128</v>
      </c>
      <c r="D611" s="3" t="s">
        <v>8</v>
      </c>
      <c r="E611" s="3" t="n">
        <v>23640</v>
      </c>
      <c r="F611" s="3" t="n">
        <v>240</v>
      </c>
      <c r="G611" s="3" t="n">
        <v>20</v>
      </c>
      <c r="H611" s="8" t="n">
        <f aca="false">(E611/1000)*(F611/1000)*(G611/1000)*7850</f>
        <v>890.7552</v>
      </c>
      <c r="I611" s="3" t="n">
        <v>1</v>
      </c>
      <c r="J611" s="9" t="n">
        <f aca="false">H611*I611</f>
        <v>890.7552</v>
      </c>
      <c r="K611" s="3"/>
    </row>
    <row r="612" customFormat="false" ht="19.5" hidden="false" customHeight="false" outlineLevel="0" collapsed="false">
      <c r="A612" s="3" t="s">
        <v>122</v>
      </c>
      <c r="B612" s="3" t="s">
        <v>123</v>
      </c>
      <c r="C612" s="3" t="s">
        <v>129</v>
      </c>
      <c r="D612" s="3" t="s">
        <v>8</v>
      </c>
      <c r="E612" s="3" t="n">
        <v>23640</v>
      </c>
      <c r="F612" s="3" t="n">
        <v>240</v>
      </c>
      <c r="G612" s="3" t="n">
        <v>20</v>
      </c>
      <c r="H612" s="8" t="n">
        <f aca="false">(E612/1000)*(F612/1000)*(G612/1000)*7850</f>
        <v>890.7552</v>
      </c>
      <c r="I612" s="3" t="n">
        <v>1</v>
      </c>
      <c r="J612" s="9" t="n">
        <f aca="false">H612*I612</f>
        <v>890.7552</v>
      </c>
      <c r="K612" s="3"/>
    </row>
    <row r="613" customFormat="false" ht="19.5" hidden="false" customHeight="false" outlineLevel="0" collapsed="false">
      <c r="A613" s="3" t="s">
        <v>122</v>
      </c>
      <c r="B613" s="3" t="s">
        <v>123</v>
      </c>
      <c r="C613" s="3" t="s">
        <v>130</v>
      </c>
      <c r="D613" s="3" t="s">
        <v>8</v>
      </c>
      <c r="E613" s="3" t="n">
        <v>4809</v>
      </c>
      <c r="F613" s="3" t="n">
        <v>2500</v>
      </c>
      <c r="G613" s="3" t="n">
        <v>20</v>
      </c>
      <c r="H613" s="8" t="n">
        <f aca="false">(E613/1000)*(F613/1000)*(G613/1000)*7850</f>
        <v>1887.5325</v>
      </c>
      <c r="I613" s="3" t="n">
        <v>1</v>
      </c>
      <c r="J613" s="9" t="n">
        <f aca="false">H613*I613</f>
        <v>1887.5325</v>
      </c>
      <c r="K613" s="3"/>
    </row>
    <row r="614" customFormat="false" ht="19.5" hidden="false" customHeight="false" outlineLevel="0" collapsed="false">
      <c r="A614" s="3" t="s">
        <v>122</v>
      </c>
      <c r="B614" s="3" t="s">
        <v>123</v>
      </c>
      <c r="C614" s="3" t="s">
        <v>131</v>
      </c>
      <c r="D614" s="3" t="s">
        <v>8</v>
      </c>
      <c r="E614" s="3" t="n">
        <v>9360</v>
      </c>
      <c r="F614" s="3" t="n">
        <v>1000</v>
      </c>
      <c r="G614" s="3" t="n">
        <v>36</v>
      </c>
      <c r="H614" s="8" t="n">
        <f aca="false">(E614/1000)*(F614/1000)*(G614/1000)*7850</f>
        <v>2645.136</v>
      </c>
      <c r="I614" s="3" t="n">
        <v>1</v>
      </c>
      <c r="J614" s="9" t="n">
        <f aca="false">H614*I614</f>
        <v>2645.136</v>
      </c>
      <c r="K614" s="3"/>
    </row>
    <row r="615" customFormat="false" ht="19.5" hidden="false" customHeight="false" outlineLevel="0" collapsed="false">
      <c r="A615" s="3" t="s">
        <v>122</v>
      </c>
      <c r="B615" s="3" t="s">
        <v>123</v>
      </c>
      <c r="C615" s="3" t="s">
        <v>52</v>
      </c>
      <c r="D615" s="3" t="s">
        <v>8</v>
      </c>
      <c r="E615" s="3" t="n">
        <v>28360</v>
      </c>
      <c r="F615" s="3" t="n">
        <v>1000</v>
      </c>
      <c r="G615" s="3" t="n">
        <v>20</v>
      </c>
      <c r="H615" s="8" t="n">
        <f aca="false">(E615/1000)*(F615/1000)*(G615/1000)*7850</f>
        <v>4452.52</v>
      </c>
      <c r="I615" s="3" t="n">
        <v>1</v>
      </c>
      <c r="J615" s="9" t="n">
        <f aca="false">H615*I615</f>
        <v>4452.52</v>
      </c>
      <c r="K615" s="3"/>
    </row>
    <row r="616" customFormat="false" ht="19.5" hidden="false" customHeight="false" outlineLevel="0" collapsed="false">
      <c r="A616" s="3" t="s">
        <v>122</v>
      </c>
      <c r="B616" s="3" t="s">
        <v>123</v>
      </c>
      <c r="C616" s="3" t="s">
        <v>67</v>
      </c>
      <c r="D616" s="3" t="s">
        <v>8</v>
      </c>
      <c r="E616" s="3" t="n">
        <v>10103</v>
      </c>
      <c r="F616" s="3" t="n">
        <v>1880</v>
      </c>
      <c r="G616" s="3" t="n">
        <v>24</v>
      </c>
      <c r="H616" s="8" t="n">
        <f aca="false">(E616/1000)*(F616/1000)*(G616/1000)*7850</f>
        <v>3578.401776</v>
      </c>
      <c r="I616" s="3" t="n">
        <v>2</v>
      </c>
      <c r="J616" s="9" t="n">
        <f aca="false">H616*I616</f>
        <v>7156.803552</v>
      </c>
      <c r="K616" s="3"/>
    </row>
    <row r="617" customFormat="false" ht="19.5" hidden="false" customHeight="false" outlineLevel="0" collapsed="false">
      <c r="A617" s="3" t="s">
        <v>122</v>
      </c>
      <c r="B617" s="3" t="s">
        <v>123</v>
      </c>
      <c r="C617" s="3" t="s">
        <v>54</v>
      </c>
      <c r="D617" s="3" t="s">
        <v>8</v>
      </c>
      <c r="E617" s="3" t="n">
        <v>17540</v>
      </c>
      <c r="F617" s="3" t="n">
        <v>1000</v>
      </c>
      <c r="G617" s="3" t="n">
        <v>40</v>
      </c>
      <c r="H617" s="8" t="n">
        <f aca="false">(E617/1000)*(F617/1000)*(G617/1000)*7850</f>
        <v>5507.56</v>
      </c>
      <c r="I617" s="3" t="n">
        <v>2</v>
      </c>
      <c r="J617" s="9" t="n">
        <f aca="false">H617*I617</f>
        <v>11015.12</v>
      </c>
      <c r="K617" s="3"/>
    </row>
    <row r="618" customFormat="false" ht="19.5" hidden="false" customHeight="false" outlineLevel="0" collapsed="false">
      <c r="A618" s="3" t="s">
        <v>122</v>
      </c>
      <c r="B618" s="3" t="s">
        <v>123</v>
      </c>
      <c r="C618" s="3" t="s">
        <v>132</v>
      </c>
      <c r="D618" s="3" t="s">
        <v>8</v>
      </c>
      <c r="E618" s="3" t="n">
        <v>20070</v>
      </c>
      <c r="F618" s="3" t="n">
        <v>1000</v>
      </c>
      <c r="G618" s="3" t="n">
        <v>40</v>
      </c>
      <c r="H618" s="8" t="n">
        <f aca="false">(E618/1000)*(F618/1000)*(G618/1000)*7850</f>
        <v>6301.98</v>
      </c>
      <c r="I618" s="3" t="n">
        <v>2</v>
      </c>
      <c r="J618" s="9" t="n">
        <f aca="false">H618*I618</f>
        <v>12603.96</v>
      </c>
      <c r="K618" s="3"/>
    </row>
    <row r="619" customFormat="false" ht="19.5" hidden="false" customHeight="false" outlineLevel="0" collapsed="false">
      <c r="A619" s="3" t="s">
        <v>122</v>
      </c>
      <c r="B619" s="3" t="s">
        <v>123</v>
      </c>
      <c r="C619" s="3" t="s">
        <v>55</v>
      </c>
      <c r="D619" s="3" t="s">
        <v>8</v>
      </c>
      <c r="E619" s="3" t="n">
        <v>2792</v>
      </c>
      <c r="F619" s="3" t="n">
        <v>320</v>
      </c>
      <c r="G619" s="3" t="n">
        <v>32</v>
      </c>
      <c r="H619" s="8" t="n">
        <f aca="false">(E619/1000)*(F619/1000)*(G619/1000)*7850</f>
        <v>224.432128</v>
      </c>
      <c r="I619" s="3" t="n">
        <v>2</v>
      </c>
      <c r="J619" s="9" t="n">
        <f aca="false">H619*I619</f>
        <v>448.864256</v>
      </c>
      <c r="K619" s="3"/>
    </row>
    <row r="620" customFormat="false" ht="19.5" hidden="false" customHeight="false" outlineLevel="0" collapsed="false">
      <c r="A620" s="3" t="s">
        <v>122</v>
      </c>
      <c r="B620" s="3" t="s">
        <v>123</v>
      </c>
      <c r="C620" s="3" t="s">
        <v>56</v>
      </c>
      <c r="D620" s="3" t="s">
        <v>8</v>
      </c>
      <c r="E620" s="3" t="n">
        <v>10103</v>
      </c>
      <c r="F620" s="3" t="n">
        <v>240</v>
      </c>
      <c r="G620" s="3" t="n">
        <v>20</v>
      </c>
      <c r="H620" s="8" t="n">
        <f aca="false">(E620/1000)*(F620/1000)*(G620/1000)*7850</f>
        <v>380.68104</v>
      </c>
      <c r="I620" s="3" t="n">
        <v>2</v>
      </c>
      <c r="J620" s="9" t="n">
        <f aca="false">H620*I620</f>
        <v>761.36208</v>
      </c>
      <c r="K620" s="3"/>
    </row>
    <row r="621" customFormat="false" ht="19.5" hidden="false" customHeight="false" outlineLevel="0" collapsed="false">
      <c r="A621" s="3" t="s">
        <v>122</v>
      </c>
      <c r="B621" s="3" t="s">
        <v>123</v>
      </c>
      <c r="C621" s="3" t="s">
        <v>57</v>
      </c>
      <c r="D621" s="3" t="s">
        <v>8</v>
      </c>
      <c r="E621" s="3" t="n">
        <v>7700</v>
      </c>
      <c r="F621" s="3" t="n">
        <v>240</v>
      </c>
      <c r="G621" s="3" t="n">
        <v>20</v>
      </c>
      <c r="H621" s="8" t="n">
        <f aca="false">(E621/1000)*(F621/1000)*(G621/1000)*7850</f>
        <v>290.136</v>
      </c>
      <c r="I621" s="3" t="n">
        <v>2</v>
      </c>
      <c r="J621" s="9" t="n">
        <f aca="false">H621*I621</f>
        <v>580.272</v>
      </c>
      <c r="K621" s="3"/>
    </row>
    <row r="622" customFormat="false" ht="19.5" hidden="false" customHeight="false" outlineLevel="0" collapsed="false">
      <c r="A622" s="3" t="s">
        <v>122</v>
      </c>
      <c r="B622" s="3" t="s">
        <v>123</v>
      </c>
      <c r="C622" s="3" t="s">
        <v>133</v>
      </c>
      <c r="D622" s="3" t="s">
        <v>8</v>
      </c>
      <c r="E622" s="3" t="n">
        <v>20592</v>
      </c>
      <c r="F622" s="3" t="n">
        <v>240</v>
      </c>
      <c r="G622" s="3" t="n">
        <v>20</v>
      </c>
      <c r="H622" s="8" t="n">
        <f aca="false">(E622/1000)*(F622/1000)*(G622/1000)*7850</f>
        <v>775.90656</v>
      </c>
      <c r="I622" s="3" t="n">
        <v>2</v>
      </c>
      <c r="J622" s="9" t="n">
        <f aca="false">H622*I622</f>
        <v>1551.81312</v>
      </c>
      <c r="K622" s="3"/>
    </row>
    <row r="623" customFormat="false" ht="19.5" hidden="false" customHeight="false" outlineLevel="0" collapsed="false">
      <c r="A623" s="3" t="s">
        <v>122</v>
      </c>
      <c r="B623" s="3" t="s">
        <v>123</v>
      </c>
      <c r="C623" s="3" t="s">
        <v>134</v>
      </c>
      <c r="D623" s="3" t="s">
        <v>8</v>
      </c>
      <c r="E623" s="3" t="n">
        <v>20592</v>
      </c>
      <c r="F623" s="3" t="n">
        <v>170</v>
      </c>
      <c r="G623" s="3" t="n">
        <v>14</v>
      </c>
      <c r="H623" s="8" t="n">
        <f aca="false">(E623/1000)*(F623/1000)*(G623/1000)*7850</f>
        <v>384.720336</v>
      </c>
      <c r="I623" s="3" t="n">
        <v>2</v>
      </c>
      <c r="J623" s="9" t="n">
        <f aca="false">H623*I623</f>
        <v>769.440672</v>
      </c>
      <c r="K623" s="3"/>
    </row>
    <row r="624" customFormat="false" ht="19.5" hidden="false" customHeight="false" outlineLevel="0" collapsed="false">
      <c r="A624" s="3" t="s">
        <v>122</v>
      </c>
      <c r="B624" s="3" t="s">
        <v>123</v>
      </c>
      <c r="C624" s="3" t="s">
        <v>81</v>
      </c>
      <c r="D624" s="3" t="s">
        <v>8</v>
      </c>
      <c r="E624" s="3" t="n">
        <v>11968</v>
      </c>
      <c r="F624" s="3" t="n">
        <v>1200</v>
      </c>
      <c r="G624" s="3" t="n">
        <v>36</v>
      </c>
      <c r="H624" s="8" t="n">
        <f aca="false">(E624/1000)*(F624/1000)*(G624/1000)*7850</f>
        <v>4058.58816</v>
      </c>
      <c r="I624" s="3" t="n">
        <v>1</v>
      </c>
      <c r="J624" s="9" t="n">
        <f aca="false">H624*I624</f>
        <v>4058.58816</v>
      </c>
      <c r="K624" s="3"/>
    </row>
    <row r="625" customFormat="false" ht="19.5" hidden="false" customHeight="false" outlineLevel="0" collapsed="false">
      <c r="A625" s="3" t="s">
        <v>122</v>
      </c>
      <c r="B625" s="3" t="s">
        <v>123</v>
      </c>
      <c r="C625" s="3" t="s">
        <v>59</v>
      </c>
      <c r="D625" s="3" t="s">
        <v>8</v>
      </c>
      <c r="E625" s="3" t="n">
        <v>7568</v>
      </c>
      <c r="F625" s="3" t="n">
        <v>1360</v>
      </c>
      <c r="G625" s="3" t="n">
        <v>36</v>
      </c>
      <c r="H625" s="8" t="n">
        <f aca="false">(E625/1000)*(F625/1000)*(G625/1000)*7850</f>
        <v>2908.654848</v>
      </c>
      <c r="I625" s="3" t="n">
        <v>2</v>
      </c>
      <c r="J625" s="9" t="n">
        <f aca="false">H625*I625</f>
        <v>5817.309696</v>
      </c>
      <c r="K625" s="3"/>
    </row>
    <row r="626" customFormat="false" ht="19.5" hidden="false" customHeight="false" outlineLevel="0" collapsed="false">
      <c r="A626" s="3" t="s">
        <v>122</v>
      </c>
      <c r="B626" s="3" t="s">
        <v>123</v>
      </c>
      <c r="C626" s="3" t="s">
        <v>60</v>
      </c>
      <c r="D626" s="3" t="s">
        <v>8</v>
      </c>
      <c r="E626" s="3" t="n">
        <v>7568</v>
      </c>
      <c r="F626" s="3" t="n">
        <v>320</v>
      </c>
      <c r="G626" s="3" t="n">
        <v>32</v>
      </c>
      <c r="H626" s="8" t="n">
        <f aca="false">(E626/1000)*(F626/1000)*(G626/1000)*7850</f>
        <v>608.346112</v>
      </c>
      <c r="I626" s="3" t="n">
        <v>2</v>
      </c>
      <c r="J626" s="9" t="n">
        <f aca="false">H626*I626</f>
        <v>1216.692224</v>
      </c>
      <c r="K626" s="3"/>
    </row>
    <row r="627" customFormat="false" ht="19.5" hidden="false" customHeight="false" outlineLevel="0" collapsed="false">
      <c r="A627" s="3" t="s">
        <v>122</v>
      </c>
      <c r="B627" s="3" t="s">
        <v>123</v>
      </c>
      <c r="C627" s="3" t="s">
        <v>74</v>
      </c>
      <c r="D627" s="3" t="s">
        <v>8</v>
      </c>
      <c r="E627" s="3" t="n">
        <v>10368</v>
      </c>
      <c r="F627" s="3" t="n">
        <v>320</v>
      </c>
      <c r="G627" s="3" t="n">
        <v>32</v>
      </c>
      <c r="H627" s="8" t="n">
        <f aca="false">(E627/1000)*(F627/1000)*(G627/1000)*7850</f>
        <v>833.421312</v>
      </c>
      <c r="I627" s="3" t="n">
        <v>1</v>
      </c>
      <c r="J627" s="9" t="n">
        <f aca="false">H627*I627</f>
        <v>833.421312</v>
      </c>
      <c r="K627" s="3"/>
    </row>
    <row r="628" customFormat="false" ht="19.5" hidden="false" customHeight="false" outlineLevel="0" collapsed="false">
      <c r="A628" s="3" t="s">
        <v>122</v>
      </c>
      <c r="B628" s="3" t="s">
        <v>123</v>
      </c>
      <c r="C628" s="3" t="s">
        <v>82</v>
      </c>
      <c r="D628" s="3" t="s">
        <v>8</v>
      </c>
      <c r="E628" s="3" t="n">
        <v>1200</v>
      </c>
      <c r="F628" s="3" t="n">
        <v>1200</v>
      </c>
      <c r="G628" s="3" t="n">
        <v>16</v>
      </c>
      <c r="H628" s="8" t="n">
        <f aca="false">(E628/1000)*(F628/1000)*(G628/1000)*7850</f>
        <v>180.864</v>
      </c>
      <c r="I628" s="3" t="n">
        <v>3</v>
      </c>
      <c r="J628" s="9" t="n">
        <f aca="false">H628*I628</f>
        <v>542.592</v>
      </c>
      <c r="K628" s="3"/>
    </row>
    <row r="629" customFormat="false" ht="19.5" hidden="false" customHeight="false" outlineLevel="0" collapsed="false">
      <c r="A629" s="3" t="s">
        <v>122</v>
      </c>
      <c r="B629" s="3" t="s">
        <v>123</v>
      </c>
      <c r="C629" s="3" t="s">
        <v>61</v>
      </c>
      <c r="D629" s="3" t="s">
        <v>8</v>
      </c>
      <c r="E629" s="3" t="n">
        <v>11917</v>
      </c>
      <c r="F629" s="3" t="n">
        <v>1200</v>
      </c>
      <c r="G629" s="3" t="n">
        <v>36</v>
      </c>
      <c r="H629" s="8" t="n">
        <f aca="false">(E629/1000)*(F629/1000)*(G629/1000)*7850</f>
        <v>4041.29304</v>
      </c>
      <c r="I629" s="3" t="n">
        <v>1</v>
      </c>
      <c r="J629" s="9" t="n">
        <f aca="false">H629*I629</f>
        <v>4041.29304</v>
      </c>
      <c r="K629" s="3"/>
    </row>
    <row r="630" customFormat="false" ht="19.5" hidden="false" customHeight="false" outlineLevel="0" collapsed="false">
      <c r="A630" s="3" t="s">
        <v>122</v>
      </c>
      <c r="B630" s="3" t="s">
        <v>123</v>
      </c>
      <c r="C630" s="3" t="s">
        <v>86</v>
      </c>
      <c r="D630" s="3" t="s">
        <v>8</v>
      </c>
      <c r="E630" s="3" t="n">
        <v>7717</v>
      </c>
      <c r="F630" s="3" t="n">
        <v>320</v>
      </c>
      <c r="G630" s="3" t="n">
        <v>32</v>
      </c>
      <c r="H630" s="8" t="n">
        <f aca="false">(E630/1000)*(F630/1000)*(G630/1000)*7850</f>
        <v>620.323328</v>
      </c>
      <c r="I630" s="3" t="n">
        <v>2</v>
      </c>
      <c r="J630" s="9" t="n">
        <f aca="false">H630*I630</f>
        <v>1240.646656</v>
      </c>
      <c r="K630" s="3"/>
    </row>
    <row r="631" customFormat="false" ht="19.5" hidden="false" customHeight="false" outlineLevel="0" collapsed="false">
      <c r="A631" s="3" t="s">
        <v>122</v>
      </c>
      <c r="B631" s="3" t="s">
        <v>123</v>
      </c>
      <c r="C631" s="3" t="s">
        <v>103</v>
      </c>
      <c r="D631" s="3" t="s">
        <v>8</v>
      </c>
      <c r="E631" s="3" t="n">
        <v>11217</v>
      </c>
      <c r="F631" s="3" t="n">
        <v>320</v>
      </c>
      <c r="G631" s="3" t="n">
        <v>32</v>
      </c>
      <c r="H631" s="8" t="n">
        <f aca="false">(E631/1000)*(F631/1000)*(G631/1000)*7850</f>
        <v>901.667328</v>
      </c>
      <c r="I631" s="3" t="n">
        <v>1</v>
      </c>
      <c r="J631" s="9" t="n">
        <f aca="false">H631*I631</f>
        <v>901.667328</v>
      </c>
      <c r="K631" s="3"/>
    </row>
    <row r="632" customFormat="false" ht="19.5" hidden="false" customHeight="false" outlineLevel="0" collapsed="false">
      <c r="A632" s="3" t="s">
        <v>122</v>
      </c>
      <c r="B632" s="3" t="s">
        <v>123</v>
      </c>
      <c r="C632" s="3" t="s">
        <v>107</v>
      </c>
      <c r="D632" s="3" t="s">
        <v>8</v>
      </c>
      <c r="E632" s="3" t="n">
        <v>1200</v>
      </c>
      <c r="F632" s="3" t="n">
        <v>1200</v>
      </c>
      <c r="G632" s="3" t="n">
        <v>16</v>
      </c>
      <c r="H632" s="8" t="n">
        <f aca="false">(E632/1000)*(F632/1000)*(G632/1000)*7850</f>
        <v>180.864</v>
      </c>
      <c r="I632" s="3" t="n">
        <v>3</v>
      </c>
      <c r="J632" s="9" t="n">
        <f aca="false">H632*I632</f>
        <v>542.592</v>
      </c>
      <c r="K632" s="3"/>
    </row>
    <row r="633" customFormat="false" ht="19.5" hidden="false" customHeight="false" outlineLevel="0" collapsed="false">
      <c r="A633" s="3" t="s">
        <v>122</v>
      </c>
      <c r="B633" s="3" t="s">
        <v>123</v>
      </c>
      <c r="C633" s="3" t="s">
        <v>87</v>
      </c>
      <c r="D633" s="3" t="s">
        <v>8</v>
      </c>
      <c r="E633" s="3" t="n">
        <v>9422</v>
      </c>
      <c r="F633" s="3" t="n">
        <v>1200</v>
      </c>
      <c r="G633" s="3" t="n">
        <v>20</v>
      </c>
      <c r="H633" s="8" t="n">
        <f aca="false">(E633/1000)*(F633/1000)*(G633/1000)*7850</f>
        <v>1775.1048</v>
      </c>
      <c r="I633" s="3" t="n">
        <v>1</v>
      </c>
      <c r="J633" s="9" t="n">
        <f aca="false">H633*I633</f>
        <v>1775.1048</v>
      </c>
      <c r="K633" s="3"/>
    </row>
    <row r="634" customFormat="false" ht="19.5" hidden="false" customHeight="false" outlineLevel="0" collapsed="false">
      <c r="A634" s="3" t="s">
        <v>122</v>
      </c>
      <c r="B634" s="3" t="s">
        <v>123</v>
      </c>
      <c r="C634" s="3" t="s">
        <v>92</v>
      </c>
      <c r="D634" s="3" t="s">
        <v>8</v>
      </c>
      <c r="E634" s="3" t="n">
        <v>1400</v>
      </c>
      <c r="F634" s="3" t="n">
        <v>1200</v>
      </c>
      <c r="G634" s="3" t="n">
        <v>16</v>
      </c>
      <c r="H634" s="8" t="n">
        <f aca="false">(E634/1000)*(F634/1000)*(G634/1000)*7850</f>
        <v>211.008</v>
      </c>
      <c r="I634" s="3" t="n">
        <v>3</v>
      </c>
      <c r="J634" s="9" t="n">
        <f aca="false">H634*I634</f>
        <v>633.024</v>
      </c>
      <c r="K634" s="3"/>
    </row>
    <row r="635" customFormat="false" ht="19.5" hidden="false" customHeight="false" outlineLevel="0" collapsed="false">
      <c r="A635" s="3" t="s">
        <v>122</v>
      </c>
      <c r="B635" s="3" t="s">
        <v>123</v>
      </c>
      <c r="C635" s="3" t="s">
        <v>90</v>
      </c>
      <c r="D635" s="3" t="s">
        <v>8</v>
      </c>
      <c r="E635" s="3" t="n">
        <v>9622</v>
      </c>
      <c r="F635" s="3" t="n">
        <v>190</v>
      </c>
      <c r="G635" s="3" t="n">
        <v>16</v>
      </c>
      <c r="H635" s="8" t="n">
        <f aca="false">(E635/1000)*(F635/1000)*(G635/1000)*7850</f>
        <v>229.619408</v>
      </c>
      <c r="I635" s="3" t="n">
        <v>1</v>
      </c>
      <c r="J635" s="9" t="n">
        <f aca="false">H635*I635</f>
        <v>229.619408</v>
      </c>
      <c r="K635" s="3"/>
    </row>
    <row r="636" customFormat="false" ht="19.5" hidden="false" customHeight="false" outlineLevel="0" collapsed="false">
      <c r="A636" s="3" t="s">
        <v>135</v>
      </c>
      <c r="B636" s="3" t="s">
        <v>136</v>
      </c>
      <c r="C636" s="3" t="s">
        <v>124</v>
      </c>
      <c r="D636" s="3" t="s">
        <v>8</v>
      </c>
      <c r="E636" s="3" t="n">
        <v>20500</v>
      </c>
      <c r="F636" s="3" t="n">
        <v>1000</v>
      </c>
      <c r="G636" s="3" t="n">
        <v>20</v>
      </c>
      <c r="H636" s="8" t="n">
        <f aca="false">(E636/1000)*(F636/1000)*(G636/1000)*7850</f>
        <v>3218.5</v>
      </c>
      <c r="I636" s="3" t="n">
        <v>1</v>
      </c>
      <c r="J636" s="9" t="n">
        <f aca="false">H636*I636</f>
        <v>3218.5</v>
      </c>
      <c r="K636" s="3"/>
    </row>
    <row r="637" customFormat="false" ht="19.5" hidden="false" customHeight="false" outlineLevel="0" collapsed="false">
      <c r="A637" s="3" t="s">
        <v>135</v>
      </c>
      <c r="B637" s="3" t="s">
        <v>136</v>
      </c>
      <c r="C637" s="3" t="s">
        <v>125</v>
      </c>
      <c r="D637" s="3" t="s">
        <v>8</v>
      </c>
      <c r="E637" s="3" t="n">
        <v>13350</v>
      </c>
      <c r="F637" s="3" t="n">
        <v>1200</v>
      </c>
      <c r="G637" s="3" t="n">
        <v>20</v>
      </c>
      <c r="H637" s="8" t="n">
        <f aca="false">(E637/1000)*(F637/1000)*(G637/1000)*7850</f>
        <v>2515.14</v>
      </c>
      <c r="I637" s="3" t="n">
        <v>1</v>
      </c>
      <c r="J637" s="9" t="n">
        <f aca="false">H637*I637</f>
        <v>2515.14</v>
      </c>
      <c r="K637" s="3"/>
    </row>
    <row r="638" customFormat="false" ht="19.5" hidden="false" customHeight="false" outlineLevel="0" collapsed="false">
      <c r="A638" s="3" t="s">
        <v>135</v>
      </c>
      <c r="B638" s="3" t="s">
        <v>136</v>
      </c>
      <c r="C638" s="3" t="s">
        <v>48</v>
      </c>
      <c r="D638" s="3" t="s">
        <v>8</v>
      </c>
      <c r="E638" s="3" t="n">
        <v>10350</v>
      </c>
      <c r="F638" s="3" t="n">
        <v>1648</v>
      </c>
      <c r="G638" s="3" t="n">
        <v>20</v>
      </c>
      <c r="H638" s="8" t="n">
        <f aca="false">(E638/1000)*(F638/1000)*(G638/1000)*7850</f>
        <v>2677.9176</v>
      </c>
      <c r="I638" s="3" t="n">
        <v>1</v>
      </c>
      <c r="J638" s="9" t="n">
        <f aca="false">H638*I638</f>
        <v>2677.9176</v>
      </c>
      <c r="K638" s="3"/>
    </row>
    <row r="639" customFormat="false" ht="19.5" hidden="false" customHeight="false" outlineLevel="0" collapsed="false">
      <c r="A639" s="3" t="s">
        <v>135</v>
      </c>
      <c r="B639" s="3" t="s">
        <v>136</v>
      </c>
      <c r="C639" s="3" t="s">
        <v>49</v>
      </c>
      <c r="D639" s="3" t="s">
        <v>8</v>
      </c>
      <c r="E639" s="3" t="n">
        <v>10770</v>
      </c>
      <c r="F639" s="3" t="n">
        <v>1000</v>
      </c>
      <c r="G639" s="3" t="n">
        <v>28</v>
      </c>
      <c r="H639" s="8" t="n">
        <f aca="false">(E639/1000)*(F639/1000)*(G639/1000)*7850</f>
        <v>2367.246</v>
      </c>
      <c r="I639" s="3" t="n">
        <v>2</v>
      </c>
      <c r="J639" s="9" t="n">
        <f aca="false">H639*I639</f>
        <v>4734.492</v>
      </c>
      <c r="K639" s="3"/>
    </row>
    <row r="640" customFormat="false" ht="19.5" hidden="false" customHeight="false" outlineLevel="0" collapsed="false">
      <c r="A640" s="3" t="s">
        <v>135</v>
      </c>
      <c r="B640" s="3" t="s">
        <v>136</v>
      </c>
      <c r="C640" s="3" t="s">
        <v>126</v>
      </c>
      <c r="D640" s="3" t="s">
        <v>8</v>
      </c>
      <c r="E640" s="3" t="n">
        <v>21370</v>
      </c>
      <c r="F640" s="3" t="n">
        <v>1000</v>
      </c>
      <c r="G640" s="3" t="n">
        <v>40</v>
      </c>
      <c r="H640" s="8" t="n">
        <f aca="false">(E640/1000)*(F640/1000)*(G640/1000)*7850</f>
        <v>6710.18</v>
      </c>
      <c r="I640" s="3" t="n">
        <v>2</v>
      </c>
      <c r="J640" s="9" t="n">
        <f aca="false">H640*I640</f>
        <v>13420.36</v>
      </c>
      <c r="K640" s="3"/>
    </row>
    <row r="641" customFormat="false" ht="19.5" hidden="false" customHeight="false" outlineLevel="0" collapsed="false">
      <c r="A641" s="3" t="s">
        <v>135</v>
      </c>
      <c r="B641" s="3" t="s">
        <v>136</v>
      </c>
      <c r="C641" s="3" t="s">
        <v>131</v>
      </c>
      <c r="D641" s="3" t="s">
        <v>8</v>
      </c>
      <c r="E641" s="3" t="n">
        <v>9360</v>
      </c>
      <c r="F641" s="3" t="n">
        <v>1000</v>
      </c>
      <c r="G641" s="3" t="n">
        <v>36</v>
      </c>
      <c r="H641" s="8" t="n">
        <f aca="false">(E641/1000)*(F641/1000)*(G641/1000)*7850</f>
        <v>2645.136</v>
      </c>
      <c r="I641" s="3" t="n">
        <v>1</v>
      </c>
      <c r="J641" s="9" t="n">
        <f aca="false">H641*I641</f>
        <v>2645.136</v>
      </c>
      <c r="K641" s="3"/>
    </row>
    <row r="642" customFormat="false" ht="19.5" hidden="false" customHeight="false" outlineLevel="0" collapsed="false">
      <c r="A642" s="3" t="s">
        <v>135</v>
      </c>
      <c r="B642" s="3" t="s">
        <v>136</v>
      </c>
      <c r="C642" s="3" t="s">
        <v>52</v>
      </c>
      <c r="D642" s="3" t="s">
        <v>8</v>
      </c>
      <c r="E642" s="3" t="n">
        <v>14570</v>
      </c>
      <c r="F642" s="3" t="n">
        <v>1000</v>
      </c>
      <c r="G642" s="3" t="n">
        <v>24</v>
      </c>
      <c r="H642" s="8" t="n">
        <f aca="false">(E642/1000)*(F642/1000)*(G642/1000)*7850</f>
        <v>2744.988</v>
      </c>
      <c r="I642" s="3" t="n">
        <v>1</v>
      </c>
      <c r="J642" s="9" t="n">
        <f aca="false">H642*I642</f>
        <v>2744.988</v>
      </c>
      <c r="K642" s="3"/>
    </row>
    <row r="643" customFormat="false" ht="19.5" hidden="false" customHeight="false" outlineLevel="0" collapsed="false">
      <c r="A643" s="3" t="s">
        <v>135</v>
      </c>
      <c r="B643" s="3" t="s">
        <v>136</v>
      </c>
      <c r="C643" s="3" t="s">
        <v>67</v>
      </c>
      <c r="D643" s="3" t="s">
        <v>8</v>
      </c>
      <c r="E643" s="3" t="n">
        <v>10105</v>
      </c>
      <c r="F643" s="3" t="n">
        <v>1530</v>
      </c>
      <c r="G643" s="3" t="n">
        <v>24</v>
      </c>
      <c r="H643" s="8" t="n">
        <f aca="false">(E643/1000)*(F643/1000)*(G643/1000)*7850</f>
        <v>2912.78646</v>
      </c>
      <c r="I643" s="3" t="n">
        <v>2</v>
      </c>
      <c r="J643" s="9" t="n">
        <f aca="false">H643*I643</f>
        <v>5825.57292</v>
      </c>
      <c r="K643" s="3"/>
    </row>
    <row r="644" customFormat="false" ht="19.5" hidden="false" customHeight="false" outlineLevel="0" collapsed="false">
      <c r="A644" s="3" t="s">
        <v>135</v>
      </c>
      <c r="B644" s="3" t="s">
        <v>136</v>
      </c>
      <c r="C644" s="3" t="s">
        <v>54</v>
      </c>
      <c r="D644" s="3" t="s">
        <v>8</v>
      </c>
      <c r="E644" s="3" t="n">
        <v>16420</v>
      </c>
      <c r="F644" s="3" t="n">
        <v>1000</v>
      </c>
      <c r="G644" s="3" t="n">
        <v>40</v>
      </c>
      <c r="H644" s="8" t="n">
        <f aca="false">(E644/1000)*(F644/1000)*(G644/1000)*7850</f>
        <v>5155.88</v>
      </c>
      <c r="I644" s="3" t="n">
        <v>1</v>
      </c>
      <c r="J644" s="9" t="n">
        <f aca="false">H644*I644</f>
        <v>5155.88</v>
      </c>
      <c r="K644" s="3"/>
    </row>
    <row r="645" customFormat="false" ht="19.5" hidden="false" customHeight="false" outlineLevel="0" collapsed="false">
      <c r="A645" s="3" t="s">
        <v>135</v>
      </c>
      <c r="B645" s="3" t="s">
        <v>136</v>
      </c>
      <c r="C645" s="3" t="s">
        <v>55</v>
      </c>
      <c r="D645" s="3" t="s">
        <v>8</v>
      </c>
      <c r="E645" s="3" t="n">
        <v>2792</v>
      </c>
      <c r="F645" s="3" t="n">
        <v>240</v>
      </c>
      <c r="G645" s="3" t="n">
        <v>20</v>
      </c>
      <c r="H645" s="8" t="n">
        <f aca="false">(E645/1000)*(F645/1000)*(G645/1000)*7850</f>
        <v>105.20256</v>
      </c>
      <c r="I645" s="3" t="n">
        <v>2</v>
      </c>
      <c r="J645" s="9" t="n">
        <f aca="false">H645*I645</f>
        <v>210.40512</v>
      </c>
      <c r="K645" s="3"/>
    </row>
    <row r="646" customFormat="false" ht="19.5" hidden="false" customHeight="false" outlineLevel="0" collapsed="false">
      <c r="A646" s="3" t="s">
        <v>135</v>
      </c>
      <c r="B646" s="3" t="s">
        <v>136</v>
      </c>
      <c r="C646" s="3" t="s">
        <v>56</v>
      </c>
      <c r="D646" s="3" t="s">
        <v>8</v>
      </c>
      <c r="E646" s="3" t="n">
        <v>10105</v>
      </c>
      <c r="F646" s="3" t="n">
        <v>240</v>
      </c>
      <c r="G646" s="3" t="n">
        <v>20</v>
      </c>
      <c r="H646" s="8" t="n">
        <f aca="false">(E646/1000)*(F646/1000)*(G646/1000)*7850</f>
        <v>380.7564</v>
      </c>
      <c r="I646" s="3" t="n">
        <v>2</v>
      </c>
      <c r="J646" s="9" t="n">
        <f aca="false">H646*I646</f>
        <v>761.5128</v>
      </c>
      <c r="K646" s="3"/>
    </row>
    <row r="647" customFormat="false" ht="19.5" hidden="false" customHeight="false" outlineLevel="0" collapsed="false">
      <c r="A647" s="3" t="s">
        <v>135</v>
      </c>
      <c r="B647" s="3" t="s">
        <v>136</v>
      </c>
      <c r="C647" s="3"/>
      <c r="D647" s="3" t="s">
        <v>8</v>
      </c>
      <c r="E647" s="3" t="n">
        <v>12897</v>
      </c>
      <c r="F647" s="3" t="n">
        <v>240</v>
      </c>
      <c r="G647" s="3" t="n">
        <v>20</v>
      </c>
      <c r="H647" s="8" t="n">
        <f aca="false">(E647/1000)*(F647/1000)*(G647/1000)*7850</f>
        <v>485.95896</v>
      </c>
      <c r="I647" s="3" t="n">
        <v>1</v>
      </c>
      <c r="J647" s="9" t="n">
        <f aca="false">H647*I647</f>
        <v>485.95896</v>
      </c>
      <c r="K647" s="3"/>
    </row>
    <row r="648" customFormat="false" ht="19.5" hidden="false" customHeight="false" outlineLevel="0" collapsed="false">
      <c r="A648" s="3" t="s">
        <v>135</v>
      </c>
      <c r="B648" s="3" t="s">
        <v>136</v>
      </c>
      <c r="C648" s="3" t="s">
        <v>133</v>
      </c>
      <c r="D648" s="3" t="s">
        <v>8</v>
      </c>
      <c r="E648" s="3" t="n">
        <v>10105</v>
      </c>
      <c r="F648" s="3" t="n">
        <v>240</v>
      </c>
      <c r="G648" s="3" t="n">
        <v>20</v>
      </c>
      <c r="H648" s="8" t="n">
        <f aca="false">(E648/1000)*(F648/1000)*(G648/1000)*7850</f>
        <v>380.7564</v>
      </c>
      <c r="I648" s="3" t="n">
        <v>1</v>
      </c>
      <c r="J648" s="9" t="n">
        <f aca="false">H648*I648</f>
        <v>380.7564</v>
      </c>
      <c r="K648" s="3"/>
    </row>
    <row r="649" customFormat="false" ht="19.5" hidden="false" customHeight="false" outlineLevel="0" collapsed="false">
      <c r="A649" s="3" t="s">
        <v>135</v>
      </c>
      <c r="B649" s="3" t="s">
        <v>136</v>
      </c>
      <c r="C649" s="3" t="s">
        <v>133</v>
      </c>
      <c r="D649" s="3" t="s">
        <v>8</v>
      </c>
      <c r="E649" s="3" t="n">
        <v>2792</v>
      </c>
      <c r="F649" s="3" t="n">
        <v>320</v>
      </c>
      <c r="G649" s="3" t="n">
        <v>32</v>
      </c>
      <c r="H649" s="8" t="n">
        <f aca="false">(E649/1000)*(F649/1000)*(G649/1000)*7850</f>
        <v>224.432128</v>
      </c>
      <c r="I649" s="3" t="n">
        <v>1</v>
      </c>
      <c r="J649" s="9" t="n">
        <f aca="false">H649*I649</f>
        <v>224.432128</v>
      </c>
      <c r="K649" s="3"/>
    </row>
    <row r="650" customFormat="false" ht="19.5" hidden="false" customHeight="false" outlineLevel="0" collapsed="false">
      <c r="A650" s="3" t="s">
        <v>135</v>
      </c>
      <c r="B650" s="3" t="s">
        <v>136</v>
      </c>
      <c r="C650" s="3" t="s">
        <v>133</v>
      </c>
      <c r="D650" s="3" t="s">
        <v>8</v>
      </c>
      <c r="E650" s="3" t="n">
        <v>12897</v>
      </c>
      <c r="F650" s="3" t="n">
        <v>170</v>
      </c>
      <c r="G650" s="3" t="n">
        <v>14</v>
      </c>
      <c r="H650" s="8" t="n">
        <f aca="false">(E650/1000)*(F650/1000)*(G650/1000)*7850</f>
        <v>240.954651</v>
      </c>
      <c r="I650" s="3" t="n">
        <v>1</v>
      </c>
      <c r="J650" s="9" t="n">
        <f aca="false">H650*I650</f>
        <v>240.954651</v>
      </c>
      <c r="K650" s="3"/>
    </row>
    <row r="651" customFormat="false" ht="19.5" hidden="false" customHeight="false" outlineLevel="0" collapsed="false">
      <c r="A651" s="3" t="s">
        <v>135</v>
      </c>
      <c r="B651" s="3" t="s">
        <v>136</v>
      </c>
      <c r="C651" s="3" t="s">
        <v>133</v>
      </c>
      <c r="D651" s="3" t="s">
        <v>8</v>
      </c>
      <c r="E651" s="3" t="n">
        <v>14038</v>
      </c>
      <c r="F651" s="3" t="n">
        <v>1200</v>
      </c>
      <c r="G651" s="3" t="n">
        <v>36</v>
      </c>
      <c r="H651" s="8" t="n">
        <f aca="false">(E651/1000)*(F651/1000)*(G651/1000)*7850</f>
        <v>4760.56656</v>
      </c>
      <c r="I651" s="3" t="n">
        <v>1</v>
      </c>
      <c r="J651" s="9" t="n">
        <f aca="false">H651*I651</f>
        <v>4760.56656</v>
      </c>
      <c r="K651" s="3"/>
    </row>
    <row r="652" customFormat="false" ht="19.5" hidden="false" customHeight="false" outlineLevel="0" collapsed="false">
      <c r="A652" s="3" t="s">
        <v>135</v>
      </c>
      <c r="B652" s="3" t="s">
        <v>136</v>
      </c>
      <c r="C652" s="3" t="s">
        <v>133</v>
      </c>
      <c r="D652" s="3" t="s">
        <v>8</v>
      </c>
      <c r="E652" s="3" t="n">
        <v>14338</v>
      </c>
      <c r="F652" s="3" t="n">
        <v>1200</v>
      </c>
      <c r="G652" s="3" t="n">
        <v>36</v>
      </c>
      <c r="H652" s="8" t="n">
        <f aca="false">(E652/1000)*(F652/1000)*(G652/1000)*7850</f>
        <v>4862.30256</v>
      </c>
      <c r="I652" s="3" t="n">
        <v>1</v>
      </c>
      <c r="J652" s="9" t="n">
        <f aca="false">H652*I652</f>
        <v>4862.30256</v>
      </c>
      <c r="K652" s="3"/>
    </row>
    <row r="653" customFormat="false" ht="19.5" hidden="false" customHeight="false" outlineLevel="0" collapsed="false">
      <c r="A653" s="3" t="s">
        <v>135</v>
      </c>
      <c r="B653" s="3" t="s">
        <v>136</v>
      </c>
      <c r="C653" s="3" t="s">
        <v>133</v>
      </c>
      <c r="D653" s="3" t="s">
        <v>8</v>
      </c>
      <c r="E653" s="3" t="n">
        <v>9838</v>
      </c>
      <c r="F653" s="3" t="n">
        <v>1360</v>
      </c>
      <c r="G653" s="3" t="n">
        <v>36</v>
      </c>
      <c r="H653" s="8" t="n">
        <f aca="false">(E653/1000)*(F653/1000)*(G653/1000)*7850</f>
        <v>3781.097568</v>
      </c>
      <c r="I653" s="3" t="n">
        <v>2</v>
      </c>
      <c r="J653" s="9" t="n">
        <f aca="false">H653*I653</f>
        <v>7562.195136</v>
      </c>
      <c r="K653" s="3"/>
    </row>
    <row r="654" customFormat="false" ht="19.5" hidden="false" customHeight="false" outlineLevel="0" collapsed="false">
      <c r="A654" s="3" t="s">
        <v>135</v>
      </c>
      <c r="B654" s="3" t="s">
        <v>136</v>
      </c>
      <c r="C654" s="3" t="s">
        <v>133</v>
      </c>
      <c r="D654" s="3" t="s">
        <v>8</v>
      </c>
      <c r="E654" s="3" t="n">
        <v>9838</v>
      </c>
      <c r="F654" s="3" t="n">
        <v>320</v>
      </c>
      <c r="G654" s="3" t="n">
        <v>32</v>
      </c>
      <c r="H654" s="8" t="n">
        <f aca="false">(E654/1000)*(F654/1000)*(G654/1000)*7850</f>
        <v>790.817792</v>
      </c>
      <c r="I654" s="3" t="n">
        <v>2</v>
      </c>
      <c r="J654" s="9" t="n">
        <f aca="false">H654*I654</f>
        <v>1581.635584</v>
      </c>
      <c r="K654" s="3"/>
    </row>
    <row r="655" customFormat="false" ht="19.5" hidden="false" customHeight="false" outlineLevel="0" collapsed="false">
      <c r="A655" s="3" t="s">
        <v>135</v>
      </c>
      <c r="B655" s="3" t="s">
        <v>136</v>
      </c>
      <c r="C655" s="3" t="s">
        <v>133</v>
      </c>
      <c r="D655" s="3" t="s">
        <v>8</v>
      </c>
      <c r="E655" s="3" t="n">
        <v>12938</v>
      </c>
      <c r="F655" s="3" t="n">
        <v>320</v>
      </c>
      <c r="G655" s="3" t="n">
        <v>32</v>
      </c>
      <c r="H655" s="8" t="n">
        <f aca="false">(E655/1000)*(F655/1000)*(G655/1000)*7850</f>
        <v>1040.008192</v>
      </c>
      <c r="I655" s="3" t="n">
        <v>1</v>
      </c>
      <c r="J655" s="9" t="n">
        <f aca="false">H655*I655</f>
        <v>1040.008192</v>
      </c>
      <c r="K655" s="3"/>
    </row>
    <row r="656" customFormat="false" ht="19.5" hidden="false" customHeight="false" outlineLevel="0" collapsed="false">
      <c r="A656" s="3" t="s">
        <v>135</v>
      </c>
      <c r="B656" s="3" t="s">
        <v>136</v>
      </c>
      <c r="C656" s="3" t="s">
        <v>133</v>
      </c>
      <c r="D656" s="3" t="s">
        <v>8</v>
      </c>
      <c r="E656" s="3" t="n">
        <v>1200</v>
      </c>
      <c r="F656" s="3" t="n">
        <v>1200</v>
      </c>
      <c r="G656" s="3" t="n">
        <v>16</v>
      </c>
      <c r="H656" s="8" t="n">
        <f aca="false">(E656/1000)*(F656/1000)*(G656/1000)*7850</f>
        <v>180.864</v>
      </c>
      <c r="I656" s="3" t="n">
        <v>4</v>
      </c>
      <c r="J656" s="9" t="n">
        <f aca="false">H656*I656</f>
        <v>723.456</v>
      </c>
      <c r="K656" s="3"/>
    </row>
    <row r="657" customFormat="false" ht="19.5" hidden="false" customHeight="false" outlineLevel="0" collapsed="false">
      <c r="A657" s="3" t="s">
        <v>135</v>
      </c>
      <c r="B657" s="3" t="s">
        <v>136</v>
      </c>
      <c r="C657" s="3" t="s">
        <v>133</v>
      </c>
      <c r="D657" s="3" t="s">
        <v>8</v>
      </c>
      <c r="E657" s="3" t="n">
        <v>6725</v>
      </c>
      <c r="F657" s="3" t="n">
        <v>1200</v>
      </c>
      <c r="G657" s="3" t="n">
        <v>36</v>
      </c>
      <c r="H657" s="8" t="n">
        <f aca="false">(E657/1000)*(F657/1000)*(G657/1000)*7850</f>
        <v>2280.582</v>
      </c>
      <c r="I657" s="3" t="n">
        <v>1</v>
      </c>
      <c r="J657" s="9" t="n">
        <f aca="false">H657*I657</f>
        <v>2280.582</v>
      </c>
      <c r="K657" s="3"/>
    </row>
    <row r="658" customFormat="false" ht="19.5" hidden="false" customHeight="false" outlineLevel="0" collapsed="false">
      <c r="A658" s="3" t="s">
        <v>135</v>
      </c>
      <c r="B658" s="3" t="s">
        <v>136</v>
      </c>
      <c r="C658" s="3" t="s">
        <v>133</v>
      </c>
      <c r="D658" s="3" t="s">
        <v>8</v>
      </c>
      <c r="E658" s="3" t="n">
        <v>6925</v>
      </c>
      <c r="F658" s="3" t="n">
        <v>1200</v>
      </c>
      <c r="G658" s="3" t="n">
        <v>36</v>
      </c>
      <c r="H658" s="8" t="n">
        <f aca="false">(E658/1000)*(F658/1000)*(G658/1000)*7850</f>
        <v>2348.406</v>
      </c>
      <c r="I658" s="3" t="n">
        <v>1</v>
      </c>
      <c r="J658" s="9" t="n">
        <f aca="false">H658*I658</f>
        <v>2348.406</v>
      </c>
      <c r="K658" s="3"/>
    </row>
    <row r="659" customFormat="false" ht="19.5" hidden="false" customHeight="false" outlineLevel="0" collapsed="false">
      <c r="A659" s="3" t="s">
        <v>135</v>
      </c>
      <c r="B659" s="3" t="s">
        <v>136</v>
      </c>
      <c r="C659" s="3" t="s">
        <v>133</v>
      </c>
      <c r="D659" s="3" t="s">
        <v>8</v>
      </c>
      <c r="E659" s="3" t="n">
        <v>4925</v>
      </c>
      <c r="F659" s="3" t="n">
        <v>1360</v>
      </c>
      <c r="G659" s="3" t="n">
        <v>36</v>
      </c>
      <c r="H659" s="8" t="n">
        <f aca="false">(E659/1000)*(F659/1000)*(G659/1000)*7850</f>
        <v>1892.8548</v>
      </c>
      <c r="I659" s="3" t="n">
        <v>2</v>
      </c>
      <c r="J659" s="9" t="n">
        <f aca="false">H659*I659</f>
        <v>3785.7096</v>
      </c>
      <c r="K659" s="3"/>
    </row>
    <row r="660" customFormat="false" ht="19.5" hidden="false" customHeight="false" outlineLevel="0" collapsed="false">
      <c r="A660" s="3" t="s">
        <v>135</v>
      </c>
      <c r="B660" s="3" t="s">
        <v>136</v>
      </c>
      <c r="C660" s="3" t="s">
        <v>133</v>
      </c>
      <c r="D660" s="3" t="s">
        <v>8</v>
      </c>
      <c r="E660" s="3" t="n">
        <v>4925</v>
      </c>
      <c r="F660" s="3" t="n">
        <v>320</v>
      </c>
      <c r="G660" s="3" t="n">
        <v>32</v>
      </c>
      <c r="H660" s="8" t="n">
        <f aca="false">(E660/1000)*(F660/1000)*(G660/1000)*7850</f>
        <v>395.8912</v>
      </c>
      <c r="I660" s="3" t="n">
        <v>2</v>
      </c>
      <c r="J660" s="9" t="n">
        <f aca="false">H660*I660</f>
        <v>791.7824</v>
      </c>
      <c r="K660" s="3"/>
    </row>
    <row r="661" customFormat="false" ht="19.5" hidden="false" customHeight="false" outlineLevel="0" collapsed="false">
      <c r="A661" s="3" t="s">
        <v>135</v>
      </c>
      <c r="B661" s="3" t="s">
        <v>136</v>
      </c>
      <c r="C661" s="3" t="s">
        <v>103</v>
      </c>
      <c r="D661" s="3" t="s">
        <v>8</v>
      </c>
      <c r="E661" s="3" t="n">
        <v>6025</v>
      </c>
      <c r="F661" s="3" t="n">
        <v>320</v>
      </c>
      <c r="G661" s="3" t="n">
        <v>32</v>
      </c>
      <c r="H661" s="8" t="n">
        <f aca="false">(E661/1000)*(F661/1000)*(G661/1000)*7850</f>
        <v>484.3136</v>
      </c>
      <c r="I661" s="3" t="n">
        <v>1</v>
      </c>
      <c r="J661" s="9" t="n">
        <f aca="false">H661*I661</f>
        <v>484.3136</v>
      </c>
      <c r="K661" s="3"/>
    </row>
    <row r="662" customFormat="false" ht="19.5" hidden="false" customHeight="false" outlineLevel="0" collapsed="false">
      <c r="A662" s="3" t="s">
        <v>135</v>
      </c>
      <c r="B662" s="3" t="s">
        <v>136</v>
      </c>
      <c r="C662" s="3" t="s">
        <v>104</v>
      </c>
      <c r="D662" s="3" t="s">
        <v>8</v>
      </c>
      <c r="E662" s="3" t="n">
        <v>6225</v>
      </c>
      <c r="F662" s="3" t="n">
        <v>320</v>
      </c>
      <c r="G662" s="3" t="n">
        <v>32</v>
      </c>
      <c r="H662" s="8" t="n">
        <f aca="false">(E662/1000)*(F662/1000)*(G662/1000)*7850</f>
        <v>500.3904</v>
      </c>
      <c r="I662" s="3" t="n">
        <v>1</v>
      </c>
      <c r="J662" s="9" t="n">
        <f aca="false">H662*I662</f>
        <v>500.3904</v>
      </c>
      <c r="K662" s="3"/>
    </row>
    <row r="663" customFormat="false" ht="19.5" hidden="false" customHeight="false" outlineLevel="0" collapsed="false">
      <c r="A663" s="3" t="s">
        <v>135</v>
      </c>
      <c r="B663" s="3" t="s">
        <v>136</v>
      </c>
      <c r="C663" s="3" t="s">
        <v>107</v>
      </c>
      <c r="D663" s="3" t="s">
        <v>8</v>
      </c>
      <c r="E663" s="3" t="n">
        <v>1200</v>
      </c>
      <c r="F663" s="3" t="n">
        <v>1200</v>
      </c>
      <c r="G663" s="3" t="n">
        <v>16</v>
      </c>
      <c r="H663" s="8" t="n">
        <f aca="false">(E663/1000)*(F663/1000)*(G663/1000)*7850</f>
        <v>180.864</v>
      </c>
      <c r="I663" s="3" t="n">
        <v>4</v>
      </c>
      <c r="J663" s="9" t="n">
        <f aca="false">H663*I663</f>
        <v>723.456</v>
      </c>
      <c r="K663" s="3"/>
    </row>
    <row r="664" customFormat="false" ht="19.5" hidden="false" customHeight="false" outlineLevel="0" collapsed="false">
      <c r="A664" s="3" t="s">
        <v>135</v>
      </c>
      <c r="B664" s="3" t="s">
        <v>136</v>
      </c>
      <c r="C664" s="3" t="s">
        <v>97</v>
      </c>
      <c r="D664" s="3" t="s">
        <v>8</v>
      </c>
      <c r="E664" s="3" t="n">
        <v>13718</v>
      </c>
      <c r="F664" s="3" t="n">
        <v>1200</v>
      </c>
      <c r="G664" s="3" t="n">
        <v>20</v>
      </c>
      <c r="H664" s="8" t="n">
        <f aca="false">(E664/1000)*(F664/1000)*(G664/1000)*7850</f>
        <v>2584.4712</v>
      </c>
      <c r="I664" s="3" t="n">
        <v>1</v>
      </c>
      <c r="J664" s="9" t="n">
        <f aca="false">H664*I664</f>
        <v>2584.4712</v>
      </c>
      <c r="K664" s="3"/>
    </row>
    <row r="665" customFormat="false" ht="19.5" hidden="false" customHeight="false" outlineLevel="0" collapsed="false">
      <c r="A665" s="3" t="s">
        <v>135</v>
      </c>
      <c r="B665" s="3" t="s">
        <v>136</v>
      </c>
      <c r="C665" s="3" t="s">
        <v>92</v>
      </c>
      <c r="D665" s="3" t="s">
        <v>8</v>
      </c>
      <c r="E665" s="3" t="n">
        <v>1400</v>
      </c>
      <c r="F665" s="3" t="n">
        <v>1200</v>
      </c>
      <c r="G665" s="3" t="n">
        <v>16</v>
      </c>
      <c r="H665" s="8" t="n">
        <f aca="false">(E665/1000)*(F665/1000)*(G665/1000)*7850</f>
        <v>211.008</v>
      </c>
      <c r="I665" s="3" t="n">
        <v>3</v>
      </c>
      <c r="J665" s="9" t="n">
        <f aca="false">H665*I665</f>
        <v>633.024</v>
      </c>
      <c r="K665" s="3"/>
    </row>
    <row r="666" customFormat="false" ht="19.5" hidden="false" customHeight="false" outlineLevel="0" collapsed="false">
      <c r="A666" s="3" t="s">
        <v>135</v>
      </c>
      <c r="B666" s="3" t="s">
        <v>136</v>
      </c>
      <c r="C666" s="3" t="s">
        <v>89</v>
      </c>
      <c r="D666" s="3" t="s">
        <v>8</v>
      </c>
      <c r="E666" s="3" t="n">
        <v>9133</v>
      </c>
      <c r="F666" s="3" t="n">
        <v>190</v>
      </c>
      <c r="G666" s="3" t="n">
        <v>16</v>
      </c>
      <c r="H666" s="8" t="n">
        <f aca="false">(E666/1000)*(F666/1000)*(G666/1000)*7850</f>
        <v>217.949912</v>
      </c>
      <c r="I666" s="3" t="n">
        <v>2</v>
      </c>
      <c r="J666" s="9" t="n">
        <f aca="false">H666*I666</f>
        <v>435.899824</v>
      </c>
      <c r="K666" s="3"/>
    </row>
    <row r="667" customFormat="false" ht="19.5" hidden="false" customHeight="false" outlineLevel="0" collapsed="false">
      <c r="A667" s="3" t="s">
        <v>137</v>
      </c>
      <c r="B667" s="3" t="s">
        <v>138</v>
      </c>
      <c r="C667" s="3" t="s">
        <v>44</v>
      </c>
      <c r="D667" s="3" t="s">
        <v>8</v>
      </c>
      <c r="E667" s="3" t="n">
        <v>11850</v>
      </c>
      <c r="F667" s="3" t="n">
        <v>1000</v>
      </c>
      <c r="G667" s="3" t="n">
        <v>20</v>
      </c>
      <c r="H667" s="8" t="n">
        <f aca="false">(E667/1000)*(F667/1000)*(G667/1000)*7850</f>
        <v>1860.45</v>
      </c>
      <c r="I667" s="3" t="n">
        <v>1</v>
      </c>
      <c r="J667" s="9" t="n">
        <f aca="false">H667*I667</f>
        <v>1860.45</v>
      </c>
      <c r="K667" s="3"/>
    </row>
    <row r="668" customFormat="false" ht="19.5" hidden="false" customHeight="false" outlineLevel="0" collapsed="false">
      <c r="A668" s="3" t="s">
        <v>137</v>
      </c>
      <c r="B668" s="3" t="s">
        <v>138</v>
      </c>
      <c r="C668" s="3" t="s">
        <v>45</v>
      </c>
      <c r="D668" s="3" t="s">
        <v>8</v>
      </c>
      <c r="E668" s="3" t="n">
        <v>12800</v>
      </c>
      <c r="F668" s="3" t="n">
        <v>1000</v>
      </c>
      <c r="G668" s="3" t="n">
        <v>20</v>
      </c>
      <c r="H668" s="8" t="n">
        <f aca="false">(E668/1000)*(F668/1000)*(G668/1000)*7850</f>
        <v>2009.6</v>
      </c>
      <c r="I668" s="3" t="n">
        <v>1</v>
      </c>
      <c r="J668" s="9" t="n">
        <f aca="false">H668*I668</f>
        <v>2009.6</v>
      </c>
      <c r="K668" s="3"/>
    </row>
    <row r="669" customFormat="false" ht="19.5" hidden="false" customHeight="false" outlineLevel="0" collapsed="false">
      <c r="A669" s="3" t="s">
        <v>137</v>
      </c>
      <c r="B669" s="3" t="s">
        <v>138</v>
      </c>
      <c r="C669" s="3" t="s">
        <v>46</v>
      </c>
      <c r="D669" s="3" t="s">
        <v>8</v>
      </c>
      <c r="E669" s="3" t="n">
        <v>7902</v>
      </c>
      <c r="F669" s="3" t="n">
        <v>1200</v>
      </c>
      <c r="G669" s="3" t="n">
        <v>20</v>
      </c>
      <c r="H669" s="8" t="n">
        <f aca="false">(E669/1000)*(F669/1000)*(G669/1000)*7850</f>
        <v>1488.7368</v>
      </c>
      <c r="I669" s="3" t="n">
        <v>1</v>
      </c>
      <c r="J669" s="9" t="n">
        <f aca="false">H669*I669</f>
        <v>1488.7368</v>
      </c>
      <c r="K669" s="3"/>
    </row>
    <row r="670" customFormat="false" ht="19.5" hidden="false" customHeight="false" outlineLevel="0" collapsed="false">
      <c r="A670" s="3" t="s">
        <v>137</v>
      </c>
      <c r="B670" s="3" t="s">
        <v>138</v>
      </c>
      <c r="C670" s="3" t="s">
        <v>47</v>
      </c>
      <c r="D670" s="3" t="s">
        <v>8</v>
      </c>
      <c r="E670" s="3" t="n">
        <v>10150</v>
      </c>
      <c r="F670" s="3" t="n">
        <v>1200</v>
      </c>
      <c r="G670" s="3" t="n">
        <v>20</v>
      </c>
      <c r="H670" s="8" t="n">
        <f aca="false">(E670/1000)*(F670/1000)*(G670/1000)*7850</f>
        <v>1912.26</v>
      </c>
      <c r="I670" s="3" t="n">
        <v>1</v>
      </c>
      <c r="J670" s="9" t="n">
        <f aca="false">H670*I670</f>
        <v>1912.26</v>
      </c>
      <c r="K670" s="3"/>
    </row>
    <row r="671" customFormat="false" ht="19.5" hidden="false" customHeight="false" outlineLevel="0" collapsed="false">
      <c r="A671" s="3" t="s">
        <v>137</v>
      </c>
      <c r="B671" s="3" t="s">
        <v>138</v>
      </c>
      <c r="C671" s="3" t="s">
        <v>48</v>
      </c>
      <c r="D671" s="3" t="s">
        <v>8</v>
      </c>
      <c r="E671" s="3" t="n">
        <v>19240</v>
      </c>
      <c r="F671" s="3" t="n">
        <v>1000</v>
      </c>
      <c r="G671" s="3" t="n">
        <v>40</v>
      </c>
      <c r="H671" s="8" t="n">
        <f aca="false">(E671/1000)*(F671/1000)*(G671/1000)*7850</f>
        <v>6041.36</v>
      </c>
      <c r="I671" s="3" t="n">
        <v>2</v>
      </c>
      <c r="J671" s="9" t="n">
        <f aca="false">H671*I671</f>
        <v>12082.72</v>
      </c>
      <c r="K671" s="3"/>
    </row>
    <row r="672" customFormat="false" ht="19.5" hidden="false" customHeight="false" outlineLevel="0" collapsed="false">
      <c r="A672" s="3" t="s">
        <v>137</v>
      </c>
      <c r="B672" s="3" t="s">
        <v>138</v>
      </c>
      <c r="C672" s="3" t="s">
        <v>49</v>
      </c>
      <c r="D672" s="3" t="s">
        <v>8</v>
      </c>
      <c r="E672" s="3" t="n">
        <v>10350</v>
      </c>
      <c r="F672" s="3" t="n">
        <v>1648</v>
      </c>
      <c r="G672" s="3" t="n">
        <v>20</v>
      </c>
      <c r="H672" s="8" t="n">
        <f aca="false">(E672/1000)*(F672/1000)*(G672/1000)*7850</f>
        <v>2677.9176</v>
      </c>
      <c r="I672" s="3" t="n">
        <v>2</v>
      </c>
      <c r="J672" s="9" t="n">
        <f aca="false">H672*I672</f>
        <v>5355.8352</v>
      </c>
      <c r="K672" s="3"/>
    </row>
    <row r="673" customFormat="false" ht="19.5" hidden="false" customHeight="false" outlineLevel="0" collapsed="false">
      <c r="A673" s="3" t="s">
        <v>137</v>
      </c>
      <c r="B673" s="3" t="s">
        <v>138</v>
      </c>
      <c r="C673" s="3" t="s">
        <v>70</v>
      </c>
      <c r="D673" s="3" t="s">
        <v>8</v>
      </c>
      <c r="E673" s="3" t="n">
        <v>10105</v>
      </c>
      <c r="F673" s="3" t="n">
        <v>1850</v>
      </c>
      <c r="G673" s="3" t="n">
        <v>20</v>
      </c>
      <c r="H673" s="8" t="n">
        <f aca="false">(E673/1000)*(F673/1000)*(G673/1000)*7850</f>
        <v>2934.99725</v>
      </c>
      <c r="I673" s="3" t="n">
        <v>1</v>
      </c>
      <c r="J673" s="9" t="n">
        <f aca="false">H673*I673</f>
        <v>2934.99725</v>
      </c>
      <c r="K673" s="3"/>
    </row>
    <row r="674" customFormat="false" ht="19.5" hidden="false" customHeight="false" outlineLevel="0" collapsed="false">
      <c r="A674" s="3" t="s">
        <v>137</v>
      </c>
      <c r="B674" s="3" t="s">
        <v>138</v>
      </c>
      <c r="C674" s="3" t="s">
        <v>70</v>
      </c>
      <c r="D674" s="3" t="s">
        <v>8</v>
      </c>
      <c r="E674" s="3" t="n">
        <v>12530</v>
      </c>
      <c r="F674" s="3" t="n">
        <v>1000</v>
      </c>
      <c r="G674" s="3" t="n">
        <v>20</v>
      </c>
      <c r="H674" s="8" t="n">
        <f aca="false">(E674/1000)*(F674/1000)*(G674/1000)*7850</f>
        <v>1967.21</v>
      </c>
      <c r="I674" s="3" t="n">
        <v>1</v>
      </c>
      <c r="J674" s="9" t="n">
        <f aca="false">H674*I674</f>
        <v>1967.21</v>
      </c>
      <c r="K674" s="3"/>
    </row>
    <row r="675" customFormat="false" ht="19.5" hidden="false" customHeight="false" outlineLevel="0" collapsed="false">
      <c r="A675" s="3" t="s">
        <v>137</v>
      </c>
      <c r="B675" s="3" t="s">
        <v>138</v>
      </c>
      <c r="C675" s="3" t="s">
        <v>70</v>
      </c>
      <c r="D675" s="3" t="s">
        <v>8</v>
      </c>
      <c r="E675" s="3" t="n">
        <v>13790</v>
      </c>
      <c r="F675" s="3" t="n">
        <v>1000</v>
      </c>
      <c r="G675" s="3" t="n">
        <v>20</v>
      </c>
      <c r="H675" s="8" t="n">
        <f aca="false">(E675/1000)*(F675/1000)*(G675/1000)*7850</f>
        <v>2165.03</v>
      </c>
      <c r="I675" s="3" t="n">
        <v>1</v>
      </c>
      <c r="J675" s="9" t="n">
        <f aca="false">H675*I675</f>
        <v>2165.03</v>
      </c>
      <c r="K675" s="3"/>
    </row>
    <row r="676" customFormat="false" ht="19.5" hidden="false" customHeight="false" outlineLevel="0" collapsed="false">
      <c r="A676" s="3" t="s">
        <v>137</v>
      </c>
      <c r="B676" s="3" t="s">
        <v>138</v>
      </c>
      <c r="C676" s="3" t="s">
        <v>67</v>
      </c>
      <c r="D676" s="3" t="s">
        <v>8</v>
      </c>
      <c r="E676" s="3" t="n">
        <v>19590</v>
      </c>
      <c r="F676" s="3" t="n">
        <v>1000</v>
      </c>
      <c r="G676" s="3" t="n">
        <v>40</v>
      </c>
      <c r="H676" s="8" t="n">
        <f aca="false">(E676/1000)*(F676/1000)*(G676/1000)*7850</f>
        <v>6151.26</v>
      </c>
      <c r="I676" s="3" t="n">
        <v>2</v>
      </c>
      <c r="J676" s="9" t="n">
        <f aca="false">H676*I676</f>
        <v>12302.52</v>
      </c>
      <c r="K676" s="3"/>
    </row>
    <row r="677" customFormat="false" ht="19.5" hidden="false" customHeight="false" outlineLevel="0" collapsed="false">
      <c r="A677" s="3" t="s">
        <v>137</v>
      </c>
      <c r="B677" s="3" t="s">
        <v>138</v>
      </c>
      <c r="C677" s="3" t="s">
        <v>54</v>
      </c>
      <c r="D677" s="3" t="s">
        <v>8</v>
      </c>
      <c r="E677" s="3" t="n">
        <v>10305</v>
      </c>
      <c r="F677" s="3" t="n">
        <v>1470</v>
      </c>
      <c r="G677" s="3" t="n">
        <v>24</v>
      </c>
      <c r="H677" s="8" t="n">
        <f aca="false">(E677/1000)*(F677/1000)*(G677/1000)*7850</f>
        <v>2853.94914</v>
      </c>
      <c r="I677" s="3" t="n">
        <v>2</v>
      </c>
      <c r="J677" s="9" t="n">
        <f aca="false">H677*I677</f>
        <v>5707.89828</v>
      </c>
      <c r="K677" s="3"/>
    </row>
    <row r="678" customFormat="false" ht="19.5" hidden="false" customHeight="false" outlineLevel="0" collapsed="false">
      <c r="A678" s="3" t="s">
        <v>137</v>
      </c>
      <c r="B678" s="3" t="s">
        <v>138</v>
      </c>
      <c r="C678" s="3" t="s">
        <v>55</v>
      </c>
      <c r="D678" s="3" t="s">
        <v>8</v>
      </c>
      <c r="E678" s="3" t="n">
        <v>7902</v>
      </c>
      <c r="F678" s="3" t="n">
        <v>240</v>
      </c>
      <c r="G678" s="3" t="n">
        <v>20</v>
      </c>
      <c r="H678" s="8" t="n">
        <f aca="false">(E678/1000)*(F678/1000)*(G678/1000)*7850</f>
        <v>297.74736</v>
      </c>
      <c r="I678" s="3" t="n">
        <v>4</v>
      </c>
      <c r="J678" s="9" t="n">
        <f aca="false">H678*I678</f>
        <v>1190.98944</v>
      </c>
      <c r="K678" s="3"/>
    </row>
    <row r="679" customFormat="false" ht="19.5" hidden="false" customHeight="false" outlineLevel="0" collapsed="false">
      <c r="A679" s="3" t="s">
        <v>137</v>
      </c>
      <c r="B679" s="3" t="s">
        <v>138</v>
      </c>
      <c r="C679" s="3" t="s">
        <v>56</v>
      </c>
      <c r="D679" s="3" t="s">
        <v>8</v>
      </c>
      <c r="E679" s="3" t="n">
        <v>10105</v>
      </c>
      <c r="F679" s="3" t="n">
        <v>240</v>
      </c>
      <c r="G679" s="3" t="n">
        <v>20</v>
      </c>
      <c r="H679" s="8" t="n">
        <f aca="false">(E679/1000)*(F679/1000)*(G679/1000)*7850</f>
        <v>380.7564</v>
      </c>
      <c r="I679" s="3" t="n">
        <v>4</v>
      </c>
      <c r="J679" s="9" t="n">
        <f aca="false">H679*I679</f>
        <v>1523.0256</v>
      </c>
      <c r="K679" s="3"/>
    </row>
    <row r="680" customFormat="false" ht="19.5" hidden="false" customHeight="false" outlineLevel="0" collapsed="false">
      <c r="A680" s="3" t="s">
        <v>137</v>
      </c>
      <c r="B680" s="3" t="s">
        <v>138</v>
      </c>
      <c r="C680" s="3" t="s">
        <v>57</v>
      </c>
      <c r="D680" s="3" t="s">
        <v>8</v>
      </c>
      <c r="E680" s="3" t="n">
        <v>18007</v>
      </c>
      <c r="F680" s="3" t="n">
        <v>170</v>
      </c>
      <c r="G680" s="3" t="n">
        <v>14</v>
      </c>
      <c r="H680" s="8" t="n">
        <f aca="false">(E680/1000)*(F680/1000)*(G680/1000)*7850</f>
        <v>336.424781</v>
      </c>
      <c r="I680" s="3" t="n">
        <v>1</v>
      </c>
      <c r="J680" s="9" t="n">
        <f aca="false">H680*I680</f>
        <v>336.424781</v>
      </c>
      <c r="K680" s="3"/>
    </row>
    <row r="681" customFormat="false" ht="19.5" hidden="false" customHeight="false" outlineLevel="0" collapsed="false">
      <c r="A681" s="3" t="s">
        <v>137</v>
      </c>
      <c r="B681" s="3" t="s">
        <v>138</v>
      </c>
      <c r="C681" s="3" t="s">
        <v>58</v>
      </c>
      <c r="D681" s="3" t="s">
        <v>8</v>
      </c>
      <c r="E681" s="3" t="n">
        <v>10047</v>
      </c>
      <c r="F681" s="3" t="n">
        <v>900</v>
      </c>
      <c r="G681" s="3" t="n">
        <v>36</v>
      </c>
      <c r="H681" s="8" t="n">
        <f aca="false">(E681/1000)*(F681/1000)*(G681/1000)*7850</f>
        <v>2555.35398</v>
      </c>
      <c r="I681" s="3" t="n">
        <v>2</v>
      </c>
      <c r="J681" s="9" t="n">
        <f aca="false">H681*I681</f>
        <v>5110.70796</v>
      </c>
      <c r="K681" s="3"/>
    </row>
    <row r="682" customFormat="false" ht="19.5" hidden="false" customHeight="false" outlineLevel="0" collapsed="false">
      <c r="A682" s="3" t="s">
        <v>137</v>
      </c>
      <c r="B682" s="3" t="s">
        <v>138</v>
      </c>
      <c r="C682" s="3" t="s">
        <v>59</v>
      </c>
      <c r="D682" s="3" t="s">
        <v>8</v>
      </c>
      <c r="E682" s="3" t="n">
        <v>14947</v>
      </c>
      <c r="F682" s="3" t="n">
        <v>1200</v>
      </c>
      <c r="G682" s="3" t="n">
        <v>32</v>
      </c>
      <c r="H682" s="8" t="n">
        <f aca="false">(E682/1000)*(F682/1000)*(G682/1000)*7850</f>
        <v>4505.62368</v>
      </c>
      <c r="I682" s="3" t="n">
        <v>1</v>
      </c>
      <c r="J682" s="9" t="n">
        <f aca="false">H682*I682</f>
        <v>4505.62368</v>
      </c>
      <c r="K682" s="3"/>
    </row>
    <row r="683" customFormat="false" ht="19.5" hidden="false" customHeight="false" outlineLevel="0" collapsed="false">
      <c r="A683" s="3" t="s">
        <v>137</v>
      </c>
      <c r="B683" s="3" t="s">
        <v>138</v>
      </c>
      <c r="C683" s="3" t="s">
        <v>60</v>
      </c>
      <c r="D683" s="3" t="s">
        <v>8</v>
      </c>
      <c r="E683" s="3" t="n">
        <v>13547</v>
      </c>
      <c r="F683" s="3" t="n">
        <v>240</v>
      </c>
      <c r="G683" s="3" t="n">
        <v>24</v>
      </c>
      <c r="H683" s="8" t="n">
        <f aca="false">(E683/1000)*(F683/1000)*(G683/1000)*7850</f>
        <v>612.541152</v>
      </c>
      <c r="I683" s="3" t="n">
        <v>2</v>
      </c>
      <c r="J683" s="9" t="n">
        <f aca="false">H683*I683</f>
        <v>1225.082304</v>
      </c>
      <c r="K683" s="3"/>
    </row>
    <row r="684" customFormat="false" ht="19.5" hidden="false" customHeight="false" outlineLevel="0" collapsed="false">
      <c r="A684" s="3" t="s">
        <v>137</v>
      </c>
      <c r="B684" s="3" t="s">
        <v>138</v>
      </c>
      <c r="C684" s="3" t="s">
        <v>61</v>
      </c>
      <c r="D684" s="3" t="s">
        <v>8</v>
      </c>
      <c r="E684" s="3" t="n">
        <v>4796</v>
      </c>
      <c r="F684" s="3" t="n">
        <v>900</v>
      </c>
      <c r="G684" s="3" t="n">
        <v>36</v>
      </c>
      <c r="H684" s="8" t="n">
        <f aca="false">(E684/1000)*(F684/1000)*(G684/1000)*7850</f>
        <v>1219.81464</v>
      </c>
      <c r="I684" s="3" t="n">
        <v>2</v>
      </c>
      <c r="J684" s="9" t="n">
        <f aca="false">H684*I684</f>
        <v>2439.62928</v>
      </c>
      <c r="K684" s="3"/>
    </row>
    <row r="685" customFormat="false" ht="19.5" hidden="false" customHeight="false" outlineLevel="0" collapsed="false">
      <c r="A685" s="3" t="s">
        <v>137</v>
      </c>
      <c r="B685" s="3" t="s">
        <v>138</v>
      </c>
      <c r="C685" s="3" t="s">
        <v>61</v>
      </c>
      <c r="D685" s="3" t="s">
        <v>8</v>
      </c>
      <c r="E685" s="3" t="n">
        <v>7096</v>
      </c>
      <c r="F685" s="3" t="n">
        <v>1200</v>
      </c>
      <c r="G685" s="3" t="n">
        <v>32</v>
      </c>
      <c r="H685" s="8" t="n">
        <f aca="false">(E685/1000)*(F685/1000)*(G685/1000)*7850</f>
        <v>2139.01824</v>
      </c>
      <c r="I685" s="3" t="n">
        <v>1</v>
      </c>
      <c r="J685" s="9" t="n">
        <f aca="false">H685*I685</f>
        <v>2139.01824</v>
      </c>
      <c r="K685" s="3"/>
    </row>
    <row r="686" customFormat="false" ht="19.5" hidden="false" customHeight="false" outlineLevel="0" collapsed="false">
      <c r="A686" s="3" t="s">
        <v>137</v>
      </c>
      <c r="B686" s="3" t="s">
        <v>138</v>
      </c>
      <c r="C686" s="3" t="s">
        <v>61</v>
      </c>
      <c r="D686" s="3" t="s">
        <v>8</v>
      </c>
      <c r="E686" s="3" t="n">
        <v>6396</v>
      </c>
      <c r="F686" s="3" t="n">
        <v>240</v>
      </c>
      <c r="G686" s="3" t="n">
        <v>24</v>
      </c>
      <c r="H686" s="8" t="n">
        <f aca="false">(E686/1000)*(F686/1000)*(G686/1000)*7850</f>
        <v>289.201536</v>
      </c>
      <c r="I686" s="3" t="n">
        <v>2</v>
      </c>
      <c r="J686" s="9" t="n">
        <f aca="false">H686*I686</f>
        <v>578.403072</v>
      </c>
      <c r="K686" s="3"/>
    </row>
    <row r="687" customFormat="false" ht="19.5" hidden="false" customHeight="false" outlineLevel="0" collapsed="false">
      <c r="A687" s="3" t="s">
        <v>137</v>
      </c>
      <c r="B687" s="3" t="s">
        <v>138</v>
      </c>
      <c r="C687" s="3" t="s">
        <v>61</v>
      </c>
      <c r="D687" s="3" t="s">
        <v>8</v>
      </c>
      <c r="E687" s="3" t="n">
        <v>7925</v>
      </c>
      <c r="F687" s="3" t="n">
        <v>1200</v>
      </c>
      <c r="G687" s="3" t="n">
        <v>36</v>
      </c>
      <c r="H687" s="8" t="n">
        <f aca="false">(E687/1000)*(F687/1000)*(G687/1000)*7850</f>
        <v>2687.526</v>
      </c>
      <c r="I687" s="3" t="n">
        <v>1</v>
      </c>
      <c r="J687" s="9" t="n">
        <f aca="false">H687*I687</f>
        <v>2687.526</v>
      </c>
      <c r="K687" s="3"/>
    </row>
    <row r="688" customFormat="false" ht="19.5" hidden="false" customHeight="false" outlineLevel="0" collapsed="false">
      <c r="A688" s="3" t="s">
        <v>137</v>
      </c>
      <c r="B688" s="3" t="s">
        <v>138</v>
      </c>
      <c r="C688" s="3" t="s">
        <v>61</v>
      </c>
      <c r="D688" s="3" t="s">
        <v>8</v>
      </c>
      <c r="E688" s="3" t="n">
        <v>7125</v>
      </c>
      <c r="F688" s="3" t="n">
        <v>1200</v>
      </c>
      <c r="G688" s="3" t="n">
        <v>36</v>
      </c>
      <c r="H688" s="8" t="n">
        <f aca="false">(E688/1000)*(F688/1000)*(G688/1000)*7850</f>
        <v>2416.23</v>
      </c>
      <c r="I688" s="3" t="n">
        <v>1</v>
      </c>
      <c r="J688" s="9" t="n">
        <f aca="false">H688*I688</f>
        <v>2416.23</v>
      </c>
      <c r="K688" s="3"/>
    </row>
    <row r="689" customFormat="false" ht="19.5" hidden="false" customHeight="false" outlineLevel="0" collapsed="false">
      <c r="A689" s="3" t="s">
        <v>137</v>
      </c>
      <c r="B689" s="3" t="s">
        <v>138</v>
      </c>
      <c r="C689" s="3" t="s">
        <v>61</v>
      </c>
      <c r="D689" s="3" t="s">
        <v>8</v>
      </c>
      <c r="E689" s="3" t="n">
        <v>4925</v>
      </c>
      <c r="F689" s="3" t="n">
        <v>1360</v>
      </c>
      <c r="G689" s="3" t="n">
        <v>36</v>
      </c>
      <c r="H689" s="8" t="n">
        <f aca="false">(E689/1000)*(F689/1000)*(G689/1000)*7850</f>
        <v>1892.8548</v>
      </c>
      <c r="I689" s="3" t="n">
        <v>2</v>
      </c>
      <c r="J689" s="9" t="n">
        <f aca="false">H689*I689</f>
        <v>3785.7096</v>
      </c>
      <c r="K689" s="3"/>
    </row>
    <row r="690" customFormat="false" ht="19.5" hidden="false" customHeight="false" outlineLevel="0" collapsed="false">
      <c r="A690" s="3" t="s">
        <v>137</v>
      </c>
      <c r="B690" s="3" t="s">
        <v>138</v>
      </c>
      <c r="C690" s="3" t="s">
        <v>61</v>
      </c>
      <c r="D690" s="3" t="s">
        <v>8</v>
      </c>
      <c r="E690" s="3" t="n">
        <v>4925</v>
      </c>
      <c r="F690" s="3" t="n">
        <v>320</v>
      </c>
      <c r="G690" s="3" t="n">
        <v>32</v>
      </c>
      <c r="H690" s="8" t="n">
        <f aca="false">(E690/1000)*(F690/1000)*(G690/1000)*7850</f>
        <v>395.8912</v>
      </c>
      <c r="I690" s="3" t="n">
        <v>2</v>
      </c>
      <c r="J690" s="9" t="n">
        <f aca="false">H690*I690</f>
        <v>791.7824</v>
      </c>
      <c r="K690" s="3"/>
    </row>
    <row r="691" customFormat="false" ht="19.5" hidden="false" customHeight="false" outlineLevel="0" collapsed="false">
      <c r="A691" s="3" t="s">
        <v>137</v>
      </c>
      <c r="B691" s="3" t="s">
        <v>138</v>
      </c>
      <c r="C691" s="3" t="s">
        <v>61</v>
      </c>
      <c r="D691" s="3" t="s">
        <v>8</v>
      </c>
      <c r="E691" s="3" t="n">
        <v>7225</v>
      </c>
      <c r="F691" s="3" t="n">
        <v>320</v>
      </c>
      <c r="G691" s="3" t="n">
        <v>32</v>
      </c>
      <c r="H691" s="8" t="n">
        <f aca="false">(E691/1000)*(F691/1000)*(G691/1000)*7850</f>
        <v>580.7744</v>
      </c>
      <c r="I691" s="3" t="n">
        <v>1</v>
      </c>
      <c r="J691" s="9" t="n">
        <f aca="false">H691*I691</f>
        <v>580.7744</v>
      </c>
      <c r="K691" s="3"/>
    </row>
    <row r="692" customFormat="false" ht="19.5" hidden="false" customHeight="false" outlineLevel="0" collapsed="false">
      <c r="A692" s="3" t="s">
        <v>137</v>
      </c>
      <c r="B692" s="3" t="s">
        <v>138</v>
      </c>
      <c r="C692" s="3" t="s">
        <v>61</v>
      </c>
      <c r="D692" s="3" t="s">
        <v>8</v>
      </c>
      <c r="E692" s="3" t="n">
        <v>6425</v>
      </c>
      <c r="F692" s="3" t="n">
        <v>320</v>
      </c>
      <c r="G692" s="3" t="n">
        <v>32</v>
      </c>
      <c r="H692" s="8" t="n">
        <f aca="false">(E692/1000)*(F692/1000)*(G692/1000)*7850</f>
        <v>516.4672</v>
      </c>
      <c r="I692" s="3" t="n">
        <v>1</v>
      </c>
      <c r="J692" s="9" t="n">
        <f aca="false">H692*I692</f>
        <v>516.4672</v>
      </c>
      <c r="K692" s="3"/>
    </row>
    <row r="693" customFormat="false" ht="19.5" hidden="false" customHeight="false" outlineLevel="0" collapsed="false">
      <c r="A693" s="3" t="s">
        <v>137</v>
      </c>
      <c r="B693" s="3" t="s">
        <v>138</v>
      </c>
      <c r="C693" s="3" t="s">
        <v>61</v>
      </c>
      <c r="D693" s="3" t="s">
        <v>8</v>
      </c>
      <c r="E693" s="3" t="n">
        <v>1200</v>
      </c>
      <c r="F693" s="3" t="n">
        <v>1200</v>
      </c>
      <c r="G693" s="3" t="n">
        <v>16</v>
      </c>
      <c r="H693" s="8" t="n">
        <f aca="false">(E693/1000)*(F693/1000)*(G693/1000)*7850</f>
        <v>180.864</v>
      </c>
      <c r="I693" s="3" t="n">
        <v>2</v>
      </c>
      <c r="J693" s="9" t="n">
        <f aca="false">H693*I693</f>
        <v>361.728</v>
      </c>
      <c r="K693" s="3"/>
    </row>
    <row r="694" customFormat="false" ht="19.5" hidden="false" customHeight="false" outlineLevel="0" collapsed="false">
      <c r="A694" s="3" t="s">
        <v>137</v>
      </c>
      <c r="B694" s="3" t="s">
        <v>138</v>
      </c>
      <c r="C694" s="3" t="s">
        <v>61</v>
      </c>
      <c r="D694" s="3" t="s">
        <v>8</v>
      </c>
      <c r="E694" s="3" t="n">
        <v>1200</v>
      </c>
      <c r="F694" s="3" t="n">
        <v>991</v>
      </c>
      <c r="G694" s="3" t="n">
        <v>20</v>
      </c>
      <c r="H694" s="8" t="n">
        <f aca="false">(E694/1000)*(F694/1000)*(G694/1000)*7850</f>
        <v>186.7044</v>
      </c>
      <c r="I694" s="3" t="n">
        <v>1</v>
      </c>
      <c r="J694" s="9" t="n">
        <f aca="false">H694*I694</f>
        <v>186.7044</v>
      </c>
      <c r="K694" s="3"/>
    </row>
    <row r="695" customFormat="false" ht="19.5" hidden="false" customHeight="false" outlineLevel="0" collapsed="false">
      <c r="A695" s="3" t="s">
        <v>137</v>
      </c>
      <c r="B695" s="3" t="s">
        <v>138</v>
      </c>
      <c r="C695" s="3" t="s">
        <v>61</v>
      </c>
      <c r="D695" s="3" t="s">
        <v>8</v>
      </c>
      <c r="E695" s="3" t="n">
        <v>2600</v>
      </c>
      <c r="F695" s="3" t="n">
        <v>320</v>
      </c>
      <c r="G695" s="3" t="n">
        <v>32</v>
      </c>
      <c r="H695" s="8" t="n">
        <f aca="false">(E695/1000)*(F695/1000)*(G695/1000)*7850</f>
        <v>208.9984</v>
      </c>
      <c r="I695" s="3" t="n">
        <v>2</v>
      </c>
      <c r="J695" s="9" t="n">
        <f aca="false">H695*I695</f>
        <v>417.9968</v>
      </c>
      <c r="K695" s="3"/>
    </row>
    <row r="696" customFormat="false" ht="19.5" hidden="false" customHeight="false" outlineLevel="0" collapsed="false">
      <c r="A696" s="3" t="s">
        <v>137</v>
      </c>
      <c r="B696" s="3" t="s">
        <v>138</v>
      </c>
      <c r="C696" s="3" t="s">
        <v>61</v>
      </c>
      <c r="D696" s="3" t="s">
        <v>8</v>
      </c>
      <c r="E696" s="3" t="n">
        <v>1580</v>
      </c>
      <c r="F696" s="3" t="n">
        <v>610</v>
      </c>
      <c r="G696" s="3" t="n">
        <v>14</v>
      </c>
      <c r="H696" s="8" t="n">
        <f aca="false">(E696/1000)*(F696/1000)*(G696/1000)*7850</f>
        <v>105.92162</v>
      </c>
      <c r="I696" s="3" t="n">
        <v>3</v>
      </c>
      <c r="J696" s="9" t="n">
        <f aca="false">H696*I696</f>
        <v>317.76486</v>
      </c>
      <c r="K696" s="3"/>
    </row>
    <row r="697" customFormat="false" ht="19.5" hidden="false" customHeight="false" outlineLevel="0" collapsed="false">
      <c r="A697" s="3" t="s">
        <v>137</v>
      </c>
      <c r="B697" s="3" t="s">
        <v>138</v>
      </c>
      <c r="C697" s="3" t="s">
        <v>61</v>
      </c>
      <c r="D697" s="3" t="s">
        <v>8</v>
      </c>
      <c r="E697" s="3" t="n">
        <v>1580</v>
      </c>
      <c r="F697" s="3" t="n">
        <v>630</v>
      </c>
      <c r="G697" s="3" t="n">
        <v>14</v>
      </c>
      <c r="H697" s="8" t="n">
        <f aca="false">(E697/1000)*(F697/1000)*(G697/1000)*7850</f>
        <v>109.39446</v>
      </c>
      <c r="I697" s="3" t="n">
        <v>3</v>
      </c>
      <c r="J697" s="9" t="n">
        <f aca="false">H697*I697</f>
        <v>328.18338</v>
      </c>
      <c r="K697" s="3"/>
    </row>
    <row r="698" customFormat="false" ht="19.5" hidden="false" customHeight="false" outlineLevel="0" collapsed="false">
      <c r="A698" s="3" t="s">
        <v>137</v>
      </c>
      <c r="B698" s="3" t="s">
        <v>138</v>
      </c>
      <c r="C698" s="3" t="s">
        <v>61</v>
      </c>
      <c r="D698" s="3" t="s">
        <v>8</v>
      </c>
      <c r="E698" s="3" t="n">
        <v>470</v>
      </c>
      <c r="F698" s="3" t="n">
        <v>1000</v>
      </c>
      <c r="G698" s="3" t="n">
        <v>24</v>
      </c>
      <c r="H698" s="8" t="n">
        <f aca="false">(E698/1000)*(F698/1000)*(G698/1000)*7850</f>
        <v>88.548</v>
      </c>
      <c r="I698" s="3" t="n">
        <v>3</v>
      </c>
      <c r="J698" s="9" t="n">
        <f aca="false">H698*I698</f>
        <v>265.644</v>
      </c>
      <c r="K698" s="3"/>
    </row>
    <row r="699" customFormat="false" ht="19.5" hidden="false" customHeight="false" outlineLevel="0" collapsed="false">
      <c r="A699" s="3" t="s">
        <v>137</v>
      </c>
      <c r="B699" s="3" t="s">
        <v>138</v>
      </c>
      <c r="C699" s="3" t="s">
        <v>61</v>
      </c>
      <c r="D699" s="3" t="s">
        <v>8</v>
      </c>
      <c r="E699" s="3" t="n">
        <v>480</v>
      </c>
      <c r="F699" s="3" t="n">
        <v>1000</v>
      </c>
      <c r="G699" s="3" t="n">
        <v>24</v>
      </c>
      <c r="H699" s="8" t="n">
        <f aca="false">(E699/1000)*(F699/1000)*(G699/1000)*7850</f>
        <v>90.432</v>
      </c>
      <c r="I699" s="3" t="n">
        <v>3</v>
      </c>
      <c r="J699" s="9" t="n">
        <f aca="false">H699*I699</f>
        <v>271.296</v>
      </c>
      <c r="K699" s="3"/>
    </row>
    <row r="700" customFormat="false" ht="19.5" hidden="false" customHeight="false" outlineLevel="0" collapsed="false">
      <c r="A700" s="3" t="s">
        <v>137</v>
      </c>
      <c r="B700" s="3" t="s">
        <v>138</v>
      </c>
      <c r="C700" s="3" t="s">
        <v>61</v>
      </c>
      <c r="D700" s="3" t="s">
        <v>8</v>
      </c>
      <c r="E700" s="3" t="n">
        <v>1450</v>
      </c>
      <c r="F700" s="3" t="n">
        <v>610</v>
      </c>
      <c r="G700" s="3" t="n">
        <v>14</v>
      </c>
      <c r="H700" s="8" t="n">
        <f aca="false">(E700/1000)*(F700/1000)*(G700/1000)*7850</f>
        <v>97.20655</v>
      </c>
      <c r="I700" s="3" t="n">
        <v>3</v>
      </c>
      <c r="J700" s="9" t="n">
        <f aca="false">H700*I700</f>
        <v>291.61965</v>
      </c>
      <c r="K700" s="3"/>
    </row>
    <row r="701" customFormat="false" ht="19.5" hidden="false" customHeight="false" outlineLevel="0" collapsed="false">
      <c r="A701" s="3" t="s">
        <v>137</v>
      </c>
      <c r="B701" s="3" t="s">
        <v>138</v>
      </c>
      <c r="C701" s="3" t="s">
        <v>61</v>
      </c>
      <c r="D701" s="3" t="s">
        <v>8</v>
      </c>
      <c r="E701" s="3" t="n">
        <v>1450</v>
      </c>
      <c r="F701" s="3" t="n">
        <v>626</v>
      </c>
      <c r="G701" s="3" t="n">
        <v>14</v>
      </c>
      <c r="H701" s="8" t="n">
        <f aca="false">(E701/1000)*(F701/1000)*(G701/1000)*7850</f>
        <v>99.75623</v>
      </c>
      <c r="I701" s="3" t="n">
        <v>3</v>
      </c>
      <c r="J701" s="9" t="n">
        <f aca="false">H701*I701</f>
        <v>299.26869</v>
      </c>
      <c r="K701" s="3"/>
    </row>
    <row r="702" customFormat="false" ht="19.5" hidden="false" customHeight="false" outlineLevel="0" collapsed="false">
      <c r="A702" s="3" t="s">
        <v>139</v>
      </c>
      <c r="B702" s="3" t="s">
        <v>140</v>
      </c>
      <c r="C702" s="3" t="s">
        <v>44</v>
      </c>
      <c r="D702" s="3" t="s">
        <v>8</v>
      </c>
      <c r="E702" s="3" t="n">
        <v>11850</v>
      </c>
      <c r="F702" s="3" t="n">
        <v>1000</v>
      </c>
      <c r="G702" s="3" t="n">
        <v>20</v>
      </c>
      <c r="H702" s="8" t="n">
        <f aca="false">(E702/1000)*(F702/1000)*(G702/1000)*7850</f>
        <v>1860.45</v>
      </c>
      <c r="I702" s="3" t="n">
        <v>1</v>
      </c>
      <c r="J702" s="9" t="n">
        <f aca="false">H702*I702</f>
        <v>1860.45</v>
      </c>
      <c r="K702" s="3"/>
    </row>
    <row r="703" customFormat="false" ht="19.5" hidden="false" customHeight="false" outlineLevel="0" collapsed="false">
      <c r="A703" s="3" t="s">
        <v>139</v>
      </c>
      <c r="B703" s="3" t="s">
        <v>140</v>
      </c>
      <c r="C703" s="3" t="s">
        <v>45</v>
      </c>
      <c r="D703" s="3" t="s">
        <v>8</v>
      </c>
      <c r="E703" s="3" t="n">
        <v>10390</v>
      </c>
      <c r="F703" s="3" t="n">
        <v>1000</v>
      </c>
      <c r="G703" s="3" t="n">
        <v>20</v>
      </c>
      <c r="H703" s="8" t="n">
        <f aca="false">(E703/1000)*(F703/1000)*(G703/1000)*7850</f>
        <v>1631.23</v>
      </c>
      <c r="I703" s="3" t="n">
        <v>1</v>
      </c>
      <c r="J703" s="9" t="n">
        <f aca="false">H703*I703</f>
        <v>1631.23</v>
      </c>
      <c r="K703" s="3"/>
    </row>
    <row r="704" customFormat="false" ht="19.5" hidden="false" customHeight="false" outlineLevel="0" collapsed="false">
      <c r="A704" s="3" t="s">
        <v>139</v>
      </c>
      <c r="B704" s="3" t="s">
        <v>140</v>
      </c>
      <c r="C704" s="3" t="s">
        <v>45</v>
      </c>
      <c r="D704" s="3" t="s">
        <v>8</v>
      </c>
      <c r="E704" s="3" t="n">
        <v>7902</v>
      </c>
      <c r="F704" s="3" t="n">
        <v>1200</v>
      </c>
      <c r="G704" s="3" t="n">
        <v>20</v>
      </c>
      <c r="H704" s="8" t="n">
        <f aca="false">(E704/1000)*(F704/1000)*(G704/1000)*7850</f>
        <v>1488.7368</v>
      </c>
      <c r="I704" s="3" t="n">
        <v>1</v>
      </c>
      <c r="J704" s="9" t="n">
        <f aca="false">H704*I704</f>
        <v>1488.7368</v>
      </c>
      <c r="K704" s="3"/>
    </row>
    <row r="705" customFormat="false" ht="19.5" hidden="false" customHeight="false" outlineLevel="0" collapsed="false">
      <c r="A705" s="3" t="s">
        <v>139</v>
      </c>
      <c r="B705" s="3" t="s">
        <v>140</v>
      </c>
      <c r="C705" s="3" t="s">
        <v>45</v>
      </c>
      <c r="D705" s="3" t="s">
        <v>8</v>
      </c>
      <c r="E705" s="3" t="n">
        <v>8600</v>
      </c>
      <c r="F705" s="3" t="n">
        <v>1200</v>
      </c>
      <c r="G705" s="3" t="n">
        <v>20</v>
      </c>
      <c r="H705" s="8" t="n">
        <f aca="false">(E705/1000)*(F705/1000)*(G705/1000)*7850</f>
        <v>1620.24</v>
      </c>
      <c r="I705" s="3" t="n">
        <v>1</v>
      </c>
      <c r="J705" s="9" t="n">
        <f aca="false">H705*I705</f>
        <v>1620.24</v>
      </c>
      <c r="K705" s="3"/>
    </row>
    <row r="706" customFormat="false" ht="19.5" hidden="false" customHeight="false" outlineLevel="0" collapsed="false">
      <c r="A706" s="3" t="s">
        <v>139</v>
      </c>
      <c r="B706" s="3" t="s">
        <v>140</v>
      </c>
      <c r="C706" s="3" t="s">
        <v>48</v>
      </c>
      <c r="D706" s="3" t="s">
        <v>8</v>
      </c>
      <c r="E706" s="3" t="n">
        <v>19340</v>
      </c>
      <c r="F706" s="3" t="n">
        <v>1000</v>
      </c>
      <c r="G706" s="3" t="n">
        <v>40</v>
      </c>
      <c r="H706" s="8" t="n">
        <f aca="false">(E706/1000)*(F706/1000)*(G706/1000)*7850</f>
        <v>6072.76</v>
      </c>
      <c r="I706" s="3" t="n">
        <v>2</v>
      </c>
      <c r="J706" s="9" t="n">
        <f aca="false">H706*I706</f>
        <v>12145.52</v>
      </c>
      <c r="K706" s="3"/>
    </row>
    <row r="707" customFormat="false" ht="19.5" hidden="false" customHeight="false" outlineLevel="0" collapsed="false">
      <c r="A707" s="3" t="s">
        <v>139</v>
      </c>
      <c r="B707" s="3" t="s">
        <v>140</v>
      </c>
      <c r="C707" s="3" t="s">
        <v>49</v>
      </c>
      <c r="D707" s="3" t="s">
        <v>8</v>
      </c>
      <c r="E707" s="3" t="n">
        <v>8800</v>
      </c>
      <c r="F707" s="3" t="n">
        <v>1648</v>
      </c>
      <c r="G707" s="3" t="n">
        <v>20</v>
      </c>
      <c r="H707" s="8" t="n">
        <f aca="false">(E707/1000)*(F707/1000)*(G707/1000)*7850</f>
        <v>2276.8768</v>
      </c>
      <c r="I707" s="3" t="n">
        <v>2</v>
      </c>
      <c r="J707" s="9" t="n">
        <f aca="false">H707*I707</f>
        <v>4553.7536</v>
      </c>
      <c r="K707" s="3"/>
    </row>
    <row r="708" customFormat="false" ht="19.5" hidden="false" customHeight="false" outlineLevel="0" collapsed="false">
      <c r="A708" s="3" t="s">
        <v>139</v>
      </c>
      <c r="B708" s="3" t="s">
        <v>140</v>
      </c>
      <c r="C708" s="3" t="s">
        <v>51</v>
      </c>
      <c r="D708" s="3" t="s">
        <v>8</v>
      </c>
      <c r="E708" s="3" t="n">
        <v>7904</v>
      </c>
      <c r="F708" s="3" t="n">
        <v>1850</v>
      </c>
      <c r="G708" s="3" t="n">
        <v>20</v>
      </c>
      <c r="H708" s="8" t="n">
        <f aca="false">(E708/1000)*(F708/1000)*(G708/1000)*7850</f>
        <v>2295.7168</v>
      </c>
      <c r="I708" s="3" t="n">
        <v>1</v>
      </c>
      <c r="J708" s="9" t="n">
        <f aca="false">H708*I708</f>
        <v>2295.7168</v>
      </c>
      <c r="K708" s="3"/>
    </row>
    <row r="709" customFormat="false" ht="19.5" hidden="false" customHeight="false" outlineLevel="0" collapsed="false">
      <c r="A709" s="3" t="s">
        <v>139</v>
      </c>
      <c r="B709" s="3" t="s">
        <v>140</v>
      </c>
      <c r="C709" s="3" t="s">
        <v>70</v>
      </c>
      <c r="D709" s="3" t="s">
        <v>8</v>
      </c>
      <c r="E709" s="3" t="n">
        <v>7102</v>
      </c>
      <c r="F709" s="3" t="n">
        <v>1850</v>
      </c>
      <c r="G709" s="3" t="n">
        <v>20</v>
      </c>
      <c r="H709" s="8" t="n">
        <f aca="false">(E709/1000)*(F709/1000)*(G709/1000)*7850</f>
        <v>2062.7759</v>
      </c>
      <c r="I709" s="3" t="n">
        <v>1</v>
      </c>
      <c r="J709" s="9" t="n">
        <f aca="false">H709*I709</f>
        <v>2062.7759</v>
      </c>
      <c r="K709" s="3"/>
    </row>
    <row r="710" customFormat="false" ht="19.5" hidden="false" customHeight="false" outlineLevel="0" collapsed="false">
      <c r="A710" s="3" t="s">
        <v>139</v>
      </c>
      <c r="B710" s="3" t="s">
        <v>140</v>
      </c>
      <c r="C710" s="3" t="s">
        <v>52</v>
      </c>
      <c r="D710" s="3" t="s">
        <v>8</v>
      </c>
      <c r="E710" s="3" t="n">
        <v>12530</v>
      </c>
      <c r="F710" s="3" t="n">
        <v>1000</v>
      </c>
      <c r="G710" s="3" t="n">
        <v>20</v>
      </c>
      <c r="H710" s="8" t="n">
        <f aca="false">(E710/1000)*(F710/1000)*(G710/1000)*7850</f>
        <v>1967.21</v>
      </c>
      <c r="I710" s="3" t="n">
        <v>1</v>
      </c>
      <c r="J710" s="9" t="n">
        <f aca="false">H710*I710</f>
        <v>1967.21</v>
      </c>
      <c r="K710" s="3"/>
    </row>
    <row r="711" customFormat="false" ht="19.5" hidden="false" customHeight="false" outlineLevel="0" collapsed="false">
      <c r="A711" s="3" t="s">
        <v>139</v>
      </c>
      <c r="B711" s="3" t="s">
        <v>140</v>
      </c>
      <c r="C711" s="3" t="s">
        <v>53</v>
      </c>
      <c r="D711" s="3" t="s">
        <v>8</v>
      </c>
      <c r="E711" s="3" t="n">
        <v>9710</v>
      </c>
      <c r="F711" s="3" t="n">
        <v>1000</v>
      </c>
      <c r="G711" s="3" t="n">
        <v>20</v>
      </c>
      <c r="H711" s="8" t="n">
        <f aca="false">(E711/1000)*(F711/1000)*(G711/1000)*7850</f>
        <v>1524.47</v>
      </c>
      <c r="I711" s="3" t="n">
        <v>1</v>
      </c>
      <c r="J711" s="9" t="n">
        <f aca="false">H711*I711</f>
        <v>1524.47</v>
      </c>
      <c r="K711" s="3"/>
    </row>
    <row r="712" customFormat="false" ht="19.5" hidden="false" customHeight="false" outlineLevel="0" collapsed="false">
      <c r="A712" s="3" t="s">
        <v>139</v>
      </c>
      <c r="B712" s="3" t="s">
        <v>140</v>
      </c>
      <c r="C712" s="3" t="s">
        <v>67</v>
      </c>
      <c r="D712" s="3" t="s">
        <v>8</v>
      </c>
      <c r="E712" s="3" t="n">
        <v>18400</v>
      </c>
      <c r="F712" s="3" t="n">
        <v>1000</v>
      </c>
      <c r="G712" s="3" t="n">
        <v>40</v>
      </c>
      <c r="H712" s="8" t="n">
        <f aca="false">(E712/1000)*(F712/1000)*(G712/1000)*7850</f>
        <v>5777.6</v>
      </c>
      <c r="I712" s="3" t="n">
        <v>2</v>
      </c>
      <c r="J712" s="9" t="n">
        <f aca="false">H712*I712</f>
        <v>11555.2</v>
      </c>
      <c r="K712" s="3"/>
    </row>
    <row r="713" customFormat="false" ht="19.5" hidden="false" customHeight="false" outlineLevel="0" collapsed="false">
      <c r="A713" s="3" t="s">
        <v>139</v>
      </c>
      <c r="B713" s="3" t="s">
        <v>140</v>
      </c>
      <c r="C713" s="3" t="s">
        <v>54</v>
      </c>
      <c r="D713" s="3" t="s">
        <v>8</v>
      </c>
      <c r="E713" s="3" t="n">
        <v>7302</v>
      </c>
      <c r="F713" s="3" t="n">
        <v>1470</v>
      </c>
      <c r="G713" s="3" t="n">
        <v>24</v>
      </c>
      <c r="H713" s="8" t="n">
        <f aca="false">(E713/1000)*(F713/1000)*(G713/1000)*7850</f>
        <v>2022.274296</v>
      </c>
      <c r="I713" s="3" t="n">
        <v>2</v>
      </c>
      <c r="J713" s="9" t="n">
        <f aca="false">H713*I713</f>
        <v>4044.548592</v>
      </c>
      <c r="K713" s="3"/>
    </row>
    <row r="714" customFormat="false" ht="19.5" hidden="false" customHeight="false" outlineLevel="0" collapsed="false">
      <c r="A714" s="3" t="s">
        <v>139</v>
      </c>
      <c r="B714" s="3" t="s">
        <v>140</v>
      </c>
      <c r="C714" s="3" t="s">
        <v>55</v>
      </c>
      <c r="D714" s="3" t="s">
        <v>8</v>
      </c>
      <c r="E714" s="3" t="n">
        <v>7904</v>
      </c>
      <c r="F714" s="3" t="n">
        <v>240</v>
      </c>
      <c r="G714" s="3" t="n">
        <v>20</v>
      </c>
      <c r="H714" s="8" t="n">
        <f aca="false">(E714/1000)*(F714/1000)*(G714/1000)*7850</f>
        <v>297.82272</v>
      </c>
      <c r="I714" s="3" t="n">
        <v>4</v>
      </c>
      <c r="J714" s="9" t="n">
        <f aca="false">H714*I714</f>
        <v>1191.29088</v>
      </c>
      <c r="K714" s="3"/>
    </row>
    <row r="715" customFormat="false" ht="19.5" hidden="false" customHeight="false" outlineLevel="0" collapsed="false">
      <c r="A715" s="3" t="s">
        <v>139</v>
      </c>
      <c r="B715" s="3" t="s">
        <v>140</v>
      </c>
      <c r="C715" s="3" t="s">
        <v>56</v>
      </c>
      <c r="D715" s="3" t="s">
        <v>8</v>
      </c>
      <c r="E715" s="3" t="n">
        <v>7102</v>
      </c>
      <c r="F715" s="3" t="n">
        <v>240</v>
      </c>
      <c r="G715" s="3" t="n">
        <v>20</v>
      </c>
      <c r="H715" s="8" t="n">
        <f aca="false">(E715/1000)*(F715/1000)*(G715/1000)*7850</f>
        <v>267.60336</v>
      </c>
      <c r="I715" s="3" t="n">
        <v>4</v>
      </c>
      <c r="J715" s="9" t="n">
        <f aca="false">H715*I715</f>
        <v>1070.41344</v>
      </c>
      <c r="K715" s="3"/>
    </row>
    <row r="716" customFormat="false" ht="19.5" hidden="false" customHeight="false" outlineLevel="0" collapsed="false">
      <c r="A716" s="3" t="s">
        <v>139</v>
      </c>
      <c r="B716" s="3" t="s">
        <v>140</v>
      </c>
      <c r="C716" s="3" t="s">
        <v>57</v>
      </c>
      <c r="D716" s="3" t="s">
        <v>8</v>
      </c>
      <c r="E716" s="3" t="n">
        <v>15006</v>
      </c>
      <c r="F716" s="3" t="n">
        <v>170</v>
      </c>
      <c r="G716" s="3" t="n">
        <v>14</v>
      </c>
      <c r="H716" s="8" t="n">
        <f aca="false">(E716/1000)*(F716/1000)*(G716/1000)*7850</f>
        <v>280.357098</v>
      </c>
      <c r="I716" s="3" t="n">
        <v>1</v>
      </c>
      <c r="J716" s="9" t="n">
        <f aca="false">H716*I716</f>
        <v>280.357098</v>
      </c>
      <c r="K716" s="3"/>
    </row>
    <row r="717" customFormat="false" ht="19.5" hidden="false" customHeight="false" outlineLevel="0" collapsed="false">
      <c r="A717" s="3" t="s">
        <v>139</v>
      </c>
      <c r="B717" s="3" t="s">
        <v>140</v>
      </c>
      <c r="C717" s="3" t="s">
        <v>58</v>
      </c>
      <c r="D717" s="3" t="s">
        <v>8</v>
      </c>
      <c r="E717" s="3" t="n">
        <v>9010</v>
      </c>
      <c r="F717" s="3" t="n">
        <v>900</v>
      </c>
      <c r="G717" s="3" t="n">
        <v>36</v>
      </c>
      <c r="H717" s="8" t="n">
        <f aca="false">(E717/1000)*(F717/1000)*(G717/1000)*7850</f>
        <v>2291.6034</v>
      </c>
      <c r="I717" s="3" t="n">
        <v>2</v>
      </c>
      <c r="J717" s="9" t="n">
        <f aca="false">H717*I717</f>
        <v>4583.2068</v>
      </c>
      <c r="K717" s="3"/>
    </row>
    <row r="718" customFormat="false" ht="19.5" hidden="false" customHeight="false" outlineLevel="0" collapsed="false">
      <c r="A718" s="3" t="s">
        <v>139</v>
      </c>
      <c r="B718" s="3" t="s">
        <v>140</v>
      </c>
      <c r="C718" s="3" t="s">
        <v>59</v>
      </c>
      <c r="D718" s="3" t="s">
        <v>8</v>
      </c>
      <c r="E718" s="3" t="n">
        <v>14010</v>
      </c>
      <c r="F718" s="3" t="n">
        <v>1200</v>
      </c>
      <c r="G718" s="3" t="n">
        <v>32</v>
      </c>
      <c r="H718" s="8" t="n">
        <f aca="false">(E718/1000)*(F718/1000)*(G718/1000)*7850</f>
        <v>4223.1744</v>
      </c>
      <c r="I718" s="3" t="n">
        <v>1</v>
      </c>
      <c r="J718" s="9" t="n">
        <f aca="false">H718*I718</f>
        <v>4223.1744</v>
      </c>
      <c r="K718" s="3"/>
    </row>
    <row r="719" customFormat="false" ht="19.5" hidden="false" customHeight="false" outlineLevel="0" collapsed="false">
      <c r="A719" s="3" t="s">
        <v>139</v>
      </c>
      <c r="B719" s="3" t="s">
        <v>140</v>
      </c>
      <c r="C719" s="3" t="s">
        <v>60</v>
      </c>
      <c r="D719" s="3" t="s">
        <v>8</v>
      </c>
      <c r="E719" s="3" t="n">
        <v>12610</v>
      </c>
      <c r="F719" s="3" t="n">
        <v>240</v>
      </c>
      <c r="G719" s="3" t="n">
        <v>24</v>
      </c>
      <c r="H719" s="8" t="n">
        <f aca="false">(E719/1000)*(F719/1000)*(G719/1000)*7850</f>
        <v>570.17376</v>
      </c>
      <c r="I719" s="3" t="n">
        <v>2</v>
      </c>
      <c r="J719" s="9" t="n">
        <f aca="false">H719*I719</f>
        <v>1140.34752</v>
      </c>
      <c r="K719" s="3"/>
    </row>
    <row r="720" customFormat="false" ht="19.5" hidden="false" customHeight="false" outlineLevel="0" collapsed="false">
      <c r="A720" s="3" t="s">
        <v>139</v>
      </c>
      <c r="B720" s="3" t="s">
        <v>140</v>
      </c>
      <c r="C720" s="3" t="s">
        <v>61</v>
      </c>
      <c r="D720" s="3" t="s">
        <v>8</v>
      </c>
      <c r="E720" s="3" t="n">
        <v>4322</v>
      </c>
      <c r="F720" s="3" t="n">
        <v>900</v>
      </c>
      <c r="G720" s="3" t="n">
        <v>36</v>
      </c>
      <c r="H720" s="8" t="n">
        <f aca="false">(E720/1000)*(F720/1000)*(G720/1000)*7850</f>
        <v>1099.25748</v>
      </c>
      <c r="I720" s="3" t="n">
        <v>2</v>
      </c>
      <c r="J720" s="9" t="n">
        <f aca="false">H720*I720</f>
        <v>2198.51496</v>
      </c>
      <c r="K720" s="3"/>
    </row>
    <row r="721" customFormat="false" ht="19.5" hidden="false" customHeight="false" outlineLevel="0" collapsed="false">
      <c r="A721" s="3" t="s">
        <v>139</v>
      </c>
      <c r="B721" s="3" t="s">
        <v>140</v>
      </c>
      <c r="C721" s="3" t="s">
        <v>61</v>
      </c>
      <c r="D721" s="3" t="s">
        <v>8</v>
      </c>
      <c r="E721" s="3" t="n">
        <v>6722</v>
      </c>
      <c r="F721" s="3" t="n">
        <v>1200</v>
      </c>
      <c r="G721" s="3" t="n">
        <v>32</v>
      </c>
      <c r="H721" s="8" t="n">
        <f aca="false">(E721/1000)*(F721/1000)*(G721/1000)*7850</f>
        <v>2026.27968</v>
      </c>
      <c r="I721" s="3" t="n">
        <v>1</v>
      </c>
      <c r="J721" s="9" t="n">
        <f aca="false">H721*I721</f>
        <v>2026.27968</v>
      </c>
      <c r="K721" s="3"/>
    </row>
    <row r="722" customFormat="false" ht="19.5" hidden="false" customHeight="false" outlineLevel="0" collapsed="false">
      <c r="A722" s="3" t="s">
        <v>139</v>
      </c>
      <c r="B722" s="3" t="s">
        <v>140</v>
      </c>
      <c r="C722" s="3" t="s">
        <v>61</v>
      </c>
      <c r="D722" s="3" t="s">
        <v>8</v>
      </c>
      <c r="E722" s="3" t="n">
        <v>6022</v>
      </c>
      <c r="F722" s="3" t="n">
        <v>240</v>
      </c>
      <c r="G722" s="3" t="n">
        <v>24</v>
      </c>
      <c r="H722" s="8" t="n">
        <f aca="false">(E722/1000)*(F722/1000)*(G722/1000)*7850</f>
        <v>272.290752</v>
      </c>
      <c r="I722" s="3" t="n">
        <v>2</v>
      </c>
      <c r="J722" s="9" t="n">
        <f aca="false">H722*I722</f>
        <v>544.581504</v>
      </c>
      <c r="K722" s="3"/>
    </row>
    <row r="723" customFormat="false" ht="19.5" hidden="false" customHeight="false" outlineLevel="0" collapsed="false">
      <c r="A723" s="3" t="s">
        <v>139</v>
      </c>
      <c r="B723" s="3" t="s">
        <v>140</v>
      </c>
      <c r="C723" s="3" t="s">
        <v>61</v>
      </c>
      <c r="D723" s="3" t="s">
        <v>8</v>
      </c>
      <c r="E723" s="3" t="n">
        <v>4796</v>
      </c>
      <c r="F723" s="3" t="n">
        <v>900</v>
      </c>
      <c r="G723" s="3" t="n">
        <v>36</v>
      </c>
      <c r="H723" s="8" t="n">
        <f aca="false">(E723/1000)*(F723/1000)*(G723/1000)*7850</f>
        <v>1219.81464</v>
      </c>
      <c r="I723" s="3" t="n">
        <v>2</v>
      </c>
      <c r="J723" s="9" t="n">
        <f aca="false">H723*I723</f>
        <v>2439.62928</v>
      </c>
      <c r="K723" s="3"/>
    </row>
    <row r="724" customFormat="false" ht="19.5" hidden="false" customHeight="false" outlineLevel="0" collapsed="false">
      <c r="A724" s="3" t="s">
        <v>139</v>
      </c>
      <c r="B724" s="3" t="s">
        <v>140</v>
      </c>
      <c r="C724" s="3" t="s">
        <v>61</v>
      </c>
      <c r="D724" s="3" t="s">
        <v>8</v>
      </c>
      <c r="E724" s="3" t="n">
        <v>7396</v>
      </c>
      <c r="F724" s="3" t="n">
        <v>1200</v>
      </c>
      <c r="G724" s="3" t="n">
        <v>32</v>
      </c>
      <c r="H724" s="8" t="n">
        <f aca="false">(E724/1000)*(F724/1000)*(G724/1000)*7850</f>
        <v>2229.45024</v>
      </c>
      <c r="I724" s="3" t="n">
        <v>1</v>
      </c>
      <c r="J724" s="9" t="n">
        <f aca="false">H724*I724</f>
        <v>2229.45024</v>
      </c>
      <c r="K724" s="3"/>
    </row>
    <row r="725" customFormat="false" ht="19.5" hidden="false" customHeight="false" outlineLevel="0" collapsed="false">
      <c r="A725" s="3" t="s">
        <v>139</v>
      </c>
      <c r="B725" s="3" t="s">
        <v>140</v>
      </c>
      <c r="C725" s="3" t="s">
        <v>61</v>
      </c>
      <c r="D725" s="3" t="s">
        <v>8</v>
      </c>
      <c r="E725" s="3" t="n">
        <v>6696</v>
      </c>
      <c r="F725" s="3" t="n">
        <v>240</v>
      </c>
      <c r="G725" s="3" t="n">
        <v>24</v>
      </c>
      <c r="H725" s="8" t="n">
        <f aca="false">(E725/1000)*(F725/1000)*(G725/1000)*7850</f>
        <v>302.766336</v>
      </c>
      <c r="I725" s="3" t="n">
        <v>2</v>
      </c>
      <c r="J725" s="9" t="n">
        <f aca="false">H725*I725</f>
        <v>605.532672</v>
      </c>
      <c r="K725" s="3"/>
    </row>
    <row r="726" customFormat="false" ht="19.5" hidden="false" customHeight="false" outlineLevel="0" collapsed="false">
      <c r="A726" s="3" t="s">
        <v>139</v>
      </c>
      <c r="B726" s="3" t="s">
        <v>140</v>
      </c>
      <c r="C726" s="3" t="s">
        <v>61</v>
      </c>
      <c r="D726" s="3" t="s">
        <v>8</v>
      </c>
      <c r="E726" s="3" t="n">
        <v>1200</v>
      </c>
      <c r="F726" s="3" t="n">
        <v>1170</v>
      </c>
      <c r="G726" s="3" t="n">
        <v>20</v>
      </c>
      <c r="H726" s="8" t="n">
        <f aca="false">(E726/1000)*(F726/1000)*(G726/1000)*7850</f>
        <v>220.428</v>
      </c>
      <c r="I726" s="3" t="n">
        <v>1</v>
      </c>
      <c r="J726" s="9" t="n">
        <f aca="false">H726*I726</f>
        <v>220.428</v>
      </c>
      <c r="K726" s="3"/>
    </row>
    <row r="727" customFormat="false" ht="19.5" hidden="false" customHeight="false" outlineLevel="0" collapsed="false">
      <c r="A727" s="3" t="s">
        <v>139</v>
      </c>
      <c r="B727" s="3" t="s">
        <v>140</v>
      </c>
      <c r="C727" s="3" t="s">
        <v>61</v>
      </c>
      <c r="D727" s="3" t="s">
        <v>8</v>
      </c>
      <c r="E727" s="3" t="n">
        <v>1200</v>
      </c>
      <c r="F727" s="3" t="n">
        <v>1132</v>
      </c>
      <c r="G727" s="3" t="n">
        <v>20</v>
      </c>
      <c r="H727" s="8" t="n">
        <f aca="false">(E727/1000)*(F727/1000)*(G727/1000)*7850</f>
        <v>213.2688</v>
      </c>
      <c r="I727" s="3" t="n">
        <v>1</v>
      </c>
      <c r="J727" s="9" t="n">
        <f aca="false">H727*I727</f>
        <v>213.2688</v>
      </c>
      <c r="K727" s="3"/>
    </row>
    <row r="728" customFormat="false" ht="19.5" hidden="false" customHeight="false" outlineLevel="0" collapsed="false">
      <c r="A728" s="3" t="s">
        <v>139</v>
      </c>
      <c r="B728" s="3" t="s">
        <v>140</v>
      </c>
      <c r="C728" s="3" t="s">
        <v>61</v>
      </c>
      <c r="D728" s="3" t="s">
        <v>8</v>
      </c>
      <c r="E728" s="3" t="n">
        <v>1580</v>
      </c>
      <c r="F728" s="3" t="n">
        <v>610</v>
      </c>
      <c r="G728" s="3" t="n">
        <v>14</v>
      </c>
      <c r="H728" s="8" t="n">
        <f aca="false">(E728/1000)*(F728/1000)*(G728/1000)*7850</f>
        <v>105.92162</v>
      </c>
      <c r="I728" s="3" t="n">
        <v>3</v>
      </c>
      <c r="J728" s="9" t="n">
        <f aca="false">H728*I728</f>
        <v>317.76486</v>
      </c>
      <c r="K728" s="3"/>
    </row>
    <row r="729" customFormat="false" ht="19.5" hidden="false" customHeight="false" outlineLevel="0" collapsed="false">
      <c r="A729" s="3" t="s">
        <v>139</v>
      </c>
      <c r="B729" s="3" t="s">
        <v>140</v>
      </c>
      <c r="C729" s="3" t="s">
        <v>61</v>
      </c>
      <c r="D729" s="3" t="s">
        <v>8</v>
      </c>
      <c r="E729" s="3" t="n">
        <v>1580</v>
      </c>
      <c r="F729" s="3" t="n">
        <v>630</v>
      </c>
      <c r="G729" s="3" t="n">
        <v>14</v>
      </c>
      <c r="H729" s="8" t="n">
        <f aca="false">(E729/1000)*(F729/1000)*(G729/1000)*7850</f>
        <v>109.39446</v>
      </c>
      <c r="I729" s="3" t="n">
        <v>3</v>
      </c>
      <c r="J729" s="9" t="n">
        <f aca="false">H729*I729</f>
        <v>328.18338</v>
      </c>
      <c r="K729" s="3"/>
    </row>
    <row r="730" customFormat="false" ht="19.5" hidden="false" customHeight="false" outlineLevel="0" collapsed="false">
      <c r="A730" s="3" t="s">
        <v>139</v>
      </c>
      <c r="B730" s="3" t="s">
        <v>140</v>
      </c>
      <c r="C730" s="3" t="s">
        <v>61</v>
      </c>
      <c r="D730" s="3" t="s">
        <v>8</v>
      </c>
      <c r="E730" s="3" t="n">
        <v>470</v>
      </c>
      <c r="F730" s="3" t="n">
        <v>1000</v>
      </c>
      <c r="G730" s="3" t="n">
        <v>24</v>
      </c>
      <c r="H730" s="8" t="n">
        <f aca="false">(E730/1000)*(F730/1000)*(G730/1000)*7850</f>
        <v>88.548</v>
      </c>
      <c r="I730" s="3" t="n">
        <v>3</v>
      </c>
      <c r="J730" s="9" t="n">
        <f aca="false">H730*I730</f>
        <v>265.644</v>
      </c>
      <c r="K730" s="3"/>
    </row>
    <row r="731" customFormat="false" ht="19.5" hidden="false" customHeight="false" outlineLevel="0" collapsed="false">
      <c r="A731" s="3" t="s">
        <v>139</v>
      </c>
      <c r="B731" s="3" t="s">
        <v>140</v>
      </c>
      <c r="C731" s="3" t="s">
        <v>61</v>
      </c>
      <c r="D731" s="3" t="s">
        <v>8</v>
      </c>
      <c r="E731" s="3" t="n">
        <v>480</v>
      </c>
      <c r="F731" s="3" t="n">
        <v>1000</v>
      </c>
      <c r="G731" s="3" t="n">
        <v>24</v>
      </c>
      <c r="H731" s="8" t="n">
        <f aca="false">(E731/1000)*(F731/1000)*(G731/1000)*7850</f>
        <v>90.432</v>
      </c>
      <c r="I731" s="3" t="n">
        <v>3</v>
      </c>
      <c r="J731" s="9" t="n">
        <f aca="false">H731*I731</f>
        <v>271.296</v>
      </c>
      <c r="K731" s="3"/>
    </row>
    <row r="732" customFormat="false" ht="19.5" hidden="false" customHeight="false" outlineLevel="0" collapsed="false">
      <c r="A732" s="3" t="s">
        <v>139</v>
      </c>
      <c r="B732" s="3" t="s">
        <v>140</v>
      </c>
      <c r="C732" s="3" t="s">
        <v>61</v>
      </c>
      <c r="D732" s="3" t="s">
        <v>8</v>
      </c>
      <c r="E732" s="3" t="n">
        <v>1450</v>
      </c>
      <c r="F732" s="3" t="n">
        <v>610</v>
      </c>
      <c r="G732" s="3" t="n">
        <v>14</v>
      </c>
      <c r="H732" s="8" t="n">
        <f aca="false">(E732/1000)*(F732/1000)*(G732/1000)*7850</f>
        <v>97.20655</v>
      </c>
      <c r="I732" s="3" t="n">
        <v>3</v>
      </c>
      <c r="J732" s="9" t="n">
        <f aca="false">H732*I732</f>
        <v>291.61965</v>
      </c>
      <c r="K732" s="3"/>
    </row>
    <row r="733" customFormat="false" ht="19.5" hidden="false" customHeight="false" outlineLevel="0" collapsed="false">
      <c r="A733" s="3" t="s">
        <v>141</v>
      </c>
      <c r="B733" s="3" t="s">
        <v>142</v>
      </c>
      <c r="C733" s="3" t="s">
        <v>44</v>
      </c>
      <c r="D733" s="3" t="s">
        <v>8</v>
      </c>
      <c r="E733" s="3" t="n">
        <v>11850</v>
      </c>
      <c r="F733" s="3" t="n">
        <v>1000</v>
      </c>
      <c r="G733" s="3" t="n">
        <v>20</v>
      </c>
      <c r="H733" s="8" t="n">
        <f aca="false">(E733/1000)*(F733/1000)*(G733/1000)*7850</f>
        <v>1860.45</v>
      </c>
      <c r="I733" s="3" t="n">
        <v>1</v>
      </c>
      <c r="J733" s="9" t="n">
        <f aca="false">H733*I733</f>
        <v>1860.45</v>
      </c>
      <c r="K733" s="3"/>
    </row>
    <row r="734" customFormat="false" ht="19.5" hidden="false" customHeight="false" outlineLevel="0" collapsed="false">
      <c r="A734" s="3" t="s">
        <v>141</v>
      </c>
      <c r="B734" s="3" t="s">
        <v>142</v>
      </c>
      <c r="C734" s="3" t="s">
        <v>45</v>
      </c>
      <c r="D734" s="3" t="s">
        <v>8</v>
      </c>
      <c r="E734" s="3" t="n">
        <v>10390</v>
      </c>
      <c r="F734" s="3" t="n">
        <v>1000</v>
      </c>
      <c r="G734" s="3" t="n">
        <v>20</v>
      </c>
      <c r="H734" s="8" t="n">
        <f aca="false">(E734/1000)*(F734/1000)*(G734/1000)*7850</f>
        <v>1631.23</v>
      </c>
      <c r="I734" s="3" t="n">
        <v>1</v>
      </c>
      <c r="J734" s="9" t="n">
        <f aca="false">H734*I734</f>
        <v>1631.23</v>
      </c>
      <c r="K734" s="3"/>
    </row>
    <row r="735" customFormat="false" ht="19.5" hidden="false" customHeight="false" outlineLevel="0" collapsed="false">
      <c r="A735" s="3" t="s">
        <v>141</v>
      </c>
      <c r="B735" s="3" t="s">
        <v>142</v>
      </c>
      <c r="C735" s="3" t="s">
        <v>46</v>
      </c>
      <c r="D735" s="3" t="s">
        <v>8</v>
      </c>
      <c r="E735" s="3" t="n">
        <v>7901</v>
      </c>
      <c r="F735" s="3" t="n">
        <v>1200</v>
      </c>
      <c r="G735" s="3" t="n">
        <v>20</v>
      </c>
      <c r="H735" s="8" t="n">
        <f aca="false">(E735/1000)*(F735/1000)*(G735/1000)*7850</f>
        <v>1488.5484</v>
      </c>
      <c r="I735" s="3" t="n">
        <v>1</v>
      </c>
      <c r="J735" s="9" t="n">
        <f aca="false">H735*I735</f>
        <v>1488.5484</v>
      </c>
      <c r="K735" s="3"/>
    </row>
    <row r="736" customFormat="false" ht="19.5" hidden="false" customHeight="false" outlineLevel="0" collapsed="false">
      <c r="A736" s="3" t="s">
        <v>141</v>
      </c>
      <c r="B736" s="3" t="s">
        <v>142</v>
      </c>
      <c r="C736" s="3" t="s">
        <v>47</v>
      </c>
      <c r="D736" s="3" t="s">
        <v>8</v>
      </c>
      <c r="E736" s="3" t="n">
        <v>7101</v>
      </c>
      <c r="F736" s="3" t="n">
        <v>1200</v>
      </c>
      <c r="G736" s="3" t="n">
        <v>20</v>
      </c>
      <c r="H736" s="8" t="n">
        <f aca="false">(E736/1000)*(F736/1000)*(G736/1000)*7850</f>
        <v>1337.8284</v>
      </c>
      <c r="I736" s="3" t="n">
        <v>1</v>
      </c>
      <c r="J736" s="9" t="n">
        <f aca="false">H736*I736</f>
        <v>1337.8284</v>
      </c>
      <c r="K736" s="3"/>
    </row>
    <row r="737" customFormat="false" ht="19.5" hidden="false" customHeight="false" outlineLevel="0" collapsed="false">
      <c r="A737" s="3" t="s">
        <v>141</v>
      </c>
      <c r="B737" s="3" t="s">
        <v>142</v>
      </c>
      <c r="C737" s="3" t="s">
        <v>48</v>
      </c>
      <c r="D737" s="3" t="s">
        <v>8</v>
      </c>
      <c r="E737" s="3" t="n">
        <v>20420</v>
      </c>
      <c r="F737" s="3" t="n">
        <v>1000</v>
      </c>
      <c r="G737" s="3" t="n">
        <v>40</v>
      </c>
      <c r="H737" s="8" t="n">
        <f aca="false">(E737/1000)*(F737/1000)*(G737/1000)*7850</f>
        <v>6411.88</v>
      </c>
      <c r="I737" s="3" t="n">
        <v>2</v>
      </c>
      <c r="J737" s="9" t="n">
        <f aca="false">H737*I737</f>
        <v>12823.76</v>
      </c>
      <c r="K737" s="3"/>
    </row>
    <row r="738" customFormat="false" ht="19.5" hidden="false" customHeight="false" outlineLevel="0" collapsed="false">
      <c r="A738" s="3" t="s">
        <v>141</v>
      </c>
      <c r="B738" s="3" t="s">
        <v>142</v>
      </c>
      <c r="C738" s="3" t="s">
        <v>49</v>
      </c>
      <c r="D738" s="3" t="s">
        <v>8</v>
      </c>
      <c r="E738" s="3" t="n">
        <v>7301</v>
      </c>
      <c r="F738" s="3" t="n">
        <v>1648</v>
      </c>
      <c r="G738" s="3" t="n">
        <v>20</v>
      </c>
      <c r="H738" s="8" t="n">
        <f aca="false">(E738/1000)*(F738/1000)*(G738/1000)*7850</f>
        <v>1889.031536</v>
      </c>
      <c r="I738" s="3" t="n">
        <v>2</v>
      </c>
      <c r="J738" s="9" t="n">
        <f aca="false">H738*I738</f>
        <v>3778.063072</v>
      </c>
      <c r="K738" s="3"/>
    </row>
    <row r="739" customFormat="false" ht="19.5" hidden="false" customHeight="false" outlineLevel="0" collapsed="false">
      <c r="A739" s="3" t="s">
        <v>141</v>
      </c>
      <c r="B739" s="3" t="s">
        <v>142</v>
      </c>
      <c r="C739" s="3" t="s">
        <v>51</v>
      </c>
      <c r="D739" s="3" t="s">
        <v>8</v>
      </c>
      <c r="E739" s="3" t="n">
        <v>7903</v>
      </c>
      <c r="F739" s="3" t="n">
        <v>1850</v>
      </c>
      <c r="G739" s="3" t="n">
        <v>20</v>
      </c>
      <c r="H739" s="8" t="n">
        <f aca="false">(E739/1000)*(F739/1000)*(G739/1000)*7850</f>
        <v>2295.42635</v>
      </c>
      <c r="I739" s="3" t="n">
        <v>1</v>
      </c>
      <c r="J739" s="9" t="n">
        <f aca="false">H739*I739</f>
        <v>2295.42635</v>
      </c>
      <c r="K739" s="3"/>
    </row>
    <row r="740" customFormat="false" ht="19.5" hidden="false" customHeight="false" outlineLevel="0" collapsed="false">
      <c r="A740" s="3" t="s">
        <v>141</v>
      </c>
      <c r="B740" s="3" t="s">
        <v>142</v>
      </c>
      <c r="C740" s="3" t="s">
        <v>70</v>
      </c>
      <c r="D740" s="3" t="s">
        <v>8</v>
      </c>
      <c r="E740" s="3" t="n">
        <v>7102</v>
      </c>
      <c r="F740" s="3" t="n">
        <v>1850</v>
      </c>
      <c r="G740" s="3" t="n">
        <v>20</v>
      </c>
      <c r="H740" s="8" t="n">
        <f aca="false">(E740/1000)*(F740/1000)*(G740/1000)*7850</f>
        <v>2062.7759</v>
      </c>
      <c r="I740" s="3" t="n">
        <v>1</v>
      </c>
      <c r="J740" s="9" t="n">
        <f aca="false">H740*I740</f>
        <v>2062.7759</v>
      </c>
      <c r="K740" s="3"/>
    </row>
    <row r="741" customFormat="false" ht="19.5" hidden="false" customHeight="false" outlineLevel="0" collapsed="false">
      <c r="A741" s="3" t="s">
        <v>141</v>
      </c>
      <c r="B741" s="3" t="s">
        <v>142</v>
      </c>
      <c r="C741" s="3" t="s">
        <v>70</v>
      </c>
      <c r="D741" s="3" t="s">
        <v>8</v>
      </c>
      <c r="E741" s="3" t="n">
        <v>12530</v>
      </c>
      <c r="F741" s="3" t="n">
        <v>1000</v>
      </c>
      <c r="G741" s="3" t="n">
        <v>20</v>
      </c>
      <c r="H741" s="8" t="n">
        <f aca="false">(E741/1000)*(F741/1000)*(G741/1000)*7850</f>
        <v>1967.21</v>
      </c>
      <c r="I741" s="3" t="n">
        <v>1</v>
      </c>
      <c r="J741" s="9" t="n">
        <f aca="false">H741*I741</f>
        <v>1967.21</v>
      </c>
      <c r="K741" s="3"/>
    </row>
    <row r="742" customFormat="false" ht="19.5" hidden="false" customHeight="false" outlineLevel="0" collapsed="false">
      <c r="A742" s="3" t="s">
        <v>141</v>
      </c>
      <c r="B742" s="3" t="s">
        <v>142</v>
      </c>
      <c r="C742" s="3" t="s">
        <v>70</v>
      </c>
      <c r="D742" s="3" t="s">
        <v>8</v>
      </c>
      <c r="E742" s="3" t="n">
        <v>9710</v>
      </c>
      <c r="F742" s="3" t="n">
        <v>1000</v>
      </c>
      <c r="G742" s="3" t="n">
        <v>20</v>
      </c>
      <c r="H742" s="8" t="n">
        <f aca="false">(E742/1000)*(F742/1000)*(G742/1000)*7850</f>
        <v>1524.47</v>
      </c>
      <c r="I742" s="3" t="n">
        <v>1</v>
      </c>
      <c r="J742" s="9" t="n">
        <f aca="false">H742*I742</f>
        <v>1524.47</v>
      </c>
      <c r="K742" s="3"/>
    </row>
    <row r="743" customFormat="false" ht="19.5" hidden="false" customHeight="false" outlineLevel="0" collapsed="false">
      <c r="A743" s="3" t="s">
        <v>141</v>
      </c>
      <c r="B743" s="3" t="s">
        <v>142</v>
      </c>
      <c r="C743" s="3" t="s">
        <v>67</v>
      </c>
      <c r="D743" s="3" t="s">
        <v>8</v>
      </c>
      <c r="E743" s="3" t="n">
        <v>18420</v>
      </c>
      <c r="F743" s="3" t="n">
        <v>1000</v>
      </c>
      <c r="G743" s="3" t="n">
        <v>40</v>
      </c>
      <c r="H743" s="8" t="n">
        <f aca="false">(E743/1000)*(F743/1000)*(G743/1000)*7850</f>
        <v>5783.88</v>
      </c>
      <c r="I743" s="3" t="n">
        <v>2</v>
      </c>
      <c r="J743" s="9" t="n">
        <f aca="false">H743*I743</f>
        <v>11567.76</v>
      </c>
      <c r="K743" s="3"/>
    </row>
    <row r="744" customFormat="false" ht="19.5" hidden="false" customHeight="false" outlineLevel="0" collapsed="false">
      <c r="A744" s="3" t="s">
        <v>141</v>
      </c>
      <c r="B744" s="3" t="s">
        <v>142</v>
      </c>
      <c r="C744" s="3" t="s">
        <v>54</v>
      </c>
      <c r="D744" s="3" t="s">
        <v>8</v>
      </c>
      <c r="E744" s="3" t="n">
        <v>7302</v>
      </c>
      <c r="F744" s="3" t="n">
        <v>1470</v>
      </c>
      <c r="G744" s="3" t="n">
        <v>24</v>
      </c>
      <c r="H744" s="8" t="n">
        <f aca="false">(E744/1000)*(F744/1000)*(G744/1000)*7850</f>
        <v>2022.274296</v>
      </c>
      <c r="I744" s="3" t="n">
        <v>2</v>
      </c>
      <c r="J744" s="9" t="n">
        <f aca="false">H744*I744</f>
        <v>4044.548592</v>
      </c>
      <c r="K744" s="3"/>
    </row>
    <row r="745" customFormat="false" ht="19.5" hidden="false" customHeight="false" outlineLevel="0" collapsed="false">
      <c r="A745" s="3" t="s">
        <v>141</v>
      </c>
      <c r="B745" s="3" t="s">
        <v>142</v>
      </c>
      <c r="C745" s="3" t="s">
        <v>56</v>
      </c>
      <c r="D745" s="3" t="s">
        <v>8</v>
      </c>
      <c r="E745" s="3" t="n">
        <v>7102</v>
      </c>
      <c r="F745" s="3" t="n">
        <v>240</v>
      </c>
      <c r="G745" s="3" t="n">
        <v>20</v>
      </c>
      <c r="H745" s="8" t="n">
        <f aca="false">(E745/1000)*(F745/1000)*(G745/1000)*7850</f>
        <v>267.60336</v>
      </c>
      <c r="I745" s="3" t="n">
        <v>4</v>
      </c>
      <c r="J745" s="9" t="n">
        <f aca="false">H745*I745</f>
        <v>1070.41344</v>
      </c>
      <c r="K745" s="3"/>
    </row>
    <row r="746" customFormat="false" ht="19.5" hidden="false" customHeight="false" outlineLevel="0" collapsed="false">
      <c r="A746" s="3" t="s">
        <v>141</v>
      </c>
      <c r="B746" s="3" t="s">
        <v>142</v>
      </c>
      <c r="C746" s="3" t="s">
        <v>57</v>
      </c>
      <c r="D746" s="3" t="s">
        <v>8</v>
      </c>
      <c r="E746" s="3" t="n">
        <v>15005</v>
      </c>
      <c r="F746" s="3" t="n">
        <v>170</v>
      </c>
      <c r="G746" s="3" t="n">
        <v>14</v>
      </c>
      <c r="H746" s="8" t="n">
        <f aca="false">(E746/1000)*(F746/1000)*(G746/1000)*7850</f>
        <v>280.338415</v>
      </c>
      <c r="I746" s="3" t="n">
        <v>1</v>
      </c>
      <c r="J746" s="9" t="n">
        <f aca="false">H746*I746</f>
        <v>280.338415</v>
      </c>
      <c r="K746" s="3"/>
    </row>
    <row r="747" customFormat="false" ht="19.5" hidden="false" customHeight="false" outlineLevel="0" collapsed="false">
      <c r="A747" s="3" t="s">
        <v>141</v>
      </c>
      <c r="B747" s="3" t="s">
        <v>142</v>
      </c>
      <c r="C747" s="3" t="s">
        <v>57</v>
      </c>
      <c r="D747" s="3" t="s">
        <v>8</v>
      </c>
      <c r="E747" s="3" t="n">
        <v>8788</v>
      </c>
      <c r="F747" s="3" t="n">
        <v>900</v>
      </c>
      <c r="G747" s="3" t="n">
        <v>36</v>
      </c>
      <c r="H747" s="8" t="n">
        <f aca="false">(E747/1000)*(F747/1000)*(G747/1000)*7850</f>
        <v>2235.13992</v>
      </c>
      <c r="I747" s="3" t="n">
        <v>2</v>
      </c>
      <c r="J747" s="9" t="n">
        <f aca="false">H747*I747</f>
        <v>4470.27984</v>
      </c>
      <c r="K747" s="3"/>
    </row>
    <row r="748" customFormat="false" ht="19.5" hidden="false" customHeight="false" outlineLevel="0" collapsed="false">
      <c r="A748" s="3" t="s">
        <v>141</v>
      </c>
      <c r="B748" s="3" t="s">
        <v>142</v>
      </c>
      <c r="C748" s="3" t="s">
        <v>57</v>
      </c>
      <c r="D748" s="3" t="s">
        <v>8</v>
      </c>
      <c r="E748" s="3" t="n">
        <v>13688</v>
      </c>
      <c r="F748" s="3" t="n">
        <v>1200</v>
      </c>
      <c r="G748" s="3" t="n">
        <v>32</v>
      </c>
      <c r="H748" s="8" t="n">
        <f aca="false">(E748/1000)*(F748/1000)*(G748/1000)*7850</f>
        <v>4126.11072</v>
      </c>
      <c r="I748" s="3" t="n">
        <v>1</v>
      </c>
      <c r="J748" s="9" t="n">
        <f aca="false">H748*I748</f>
        <v>4126.11072</v>
      </c>
      <c r="K748" s="3"/>
    </row>
    <row r="749" customFormat="false" ht="19.5" hidden="false" customHeight="false" outlineLevel="0" collapsed="false">
      <c r="A749" s="3" t="s">
        <v>141</v>
      </c>
      <c r="B749" s="3" t="s">
        <v>142</v>
      </c>
      <c r="C749" s="3" t="s">
        <v>60</v>
      </c>
      <c r="D749" s="3" t="s">
        <v>8</v>
      </c>
      <c r="E749" s="3" t="n">
        <v>12288</v>
      </c>
      <c r="F749" s="3" t="n">
        <v>240</v>
      </c>
      <c r="G749" s="3" t="n">
        <v>24</v>
      </c>
      <c r="H749" s="8" t="n">
        <f aca="false">(E749/1000)*(F749/1000)*(G749/1000)*7850</f>
        <v>555.614208</v>
      </c>
      <c r="I749" s="3" t="n">
        <v>2</v>
      </c>
      <c r="J749" s="9" t="n">
        <f aca="false">H749*I749</f>
        <v>1111.228416</v>
      </c>
      <c r="K749" s="3"/>
    </row>
    <row r="750" customFormat="false" ht="19.5" hidden="false" customHeight="false" outlineLevel="0" collapsed="false">
      <c r="A750" s="3" t="s">
        <v>141</v>
      </c>
      <c r="B750" s="3" t="s">
        <v>142</v>
      </c>
      <c r="C750" s="3" t="s">
        <v>61</v>
      </c>
      <c r="D750" s="3" t="s">
        <v>8</v>
      </c>
      <c r="E750" s="3" t="n">
        <v>6225</v>
      </c>
      <c r="F750" s="3" t="n">
        <v>1200</v>
      </c>
      <c r="G750" s="3" t="n">
        <v>36</v>
      </c>
      <c r="H750" s="8" t="n">
        <f aca="false">(E750/1000)*(F750/1000)*(G750/1000)*7850</f>
        <v>2111.022</v>
      </c>
      <c r="I750" s="3" t="n">
        <v>1</v>
      </c>
      <c r="J750" s="9" t="n">
        <f aca="false">H750*I750</f>
        <v>2111.022</v>
      </c>
      <c r="K750" s="3"/>
    </row>
    <row r="751" customFormat="false" ht="19.5" hidden="false" customHeight="false" outlineLevel="0" collapsed="false">
      <c r="A751" s="3" t="s">
        <v>141</v>
      </c>
      <c r="B751" s="3" t="s">
        <v>142</v>
      </c>
      <c r="C751" s="3" t="s">
        <v>61</v>
      </c>
      <c r="D751" s="3" t="s">
        <v>8</v>
      </c>
      <c r="E751" s="3" t="n">
        <v>4225</v>
      </c>
      <c r="F751" s="3" t="n">
        <v>1360</v>
      </c>
      <c r="G751" s="3" t="n">
        <v>36</v>
      </c>
      <c r="H751" s="8" t="n">
        <f aca="false">(E751/1000)*(F751/1000)*(G751/1000)*7850</f>
        <v>1623.8196</v>
      </c>
      <c r="I751" s="3" t="n">
        <v>2</v>
      </c>
      <c r="J751" s="9" t="n">
        <f aca="false">H751*I751</f>
        <v>3247.6392</v>
      </c>
      <c r="K751" s="3"/>
    </row>
    <row r="752" customFormat="false" ht="19.5" hidden="false" customHeight="false" outlineLevel="0" collapsed="false">
      <c r="A752" s="3" t="s">
        <v>141</v>
      </c>
      <c r="B752" s="3" t="s">
        <v>142</v>
      </c>
      <c r="C752" s="3" t="s">
        <v>61</v>
      </c>
      <c r="D752" s="3" t="s">
        <v>8</v>
      </c>
      <c r="E752" s="3" t="n">
        <v>4225</v>
      </c>
      <c r="F752" s="3" t="n">
        <v>320</v>
      </c>
      <c r="G752" s="3" t="n">
        <v>32</v>
      </c>
      <c r="H752" s="8" t="n">
        <f aca="false">(E752/1000)*(F752/1000)*(G752/1000)*7850</f>
        <v>339.6224</v>
      </c>
      <c r="I752" s="3" t="n">
        <v>2</v>
      </c>
      <c r="J752" s="9" t="n">
        <f aca="false">H752*I752</f>
        <v>679.2448</v>
      </c>
      <c r="K752" s="3"/>
    </row>
    <row r="753" customFormat="false" ht="19.5" hidden="false" customHeight="false" outlineLevel="0" collapsed="false">
      <c r="A753" s="3" t="s">
        <v>141</v>
      </c>
      <c r="B753" s="3" t="s">
        <v>142</v>
      </c>
      <c r="C753" s="3" t="s">
        <v>61</v>
      </c>
      <c r="D753" s="3" t="s">
        <v>8</v>
      </c>
      <c r="E753" s="3" t="n">
        <v>5525</v>
      </c>
      <c r="F753" s="3" t="n">
        <v>320</v>
      </c>
      <c r="G753" s="3" t="n">
        <v>32</v>
      </c>
      <c r="H753" s="8" t="n">
        <f aca="false">(E753/1000)*(F753/1000)*(G753/1000)*7850</f>
        <v>444.1216</v>
      </c>
      <c r="I753" s="3" t="n">
        <v>1</v>
      </c>
      <c r="J753" s="9" t="n">
        <f aca="false">H753*I753</f>
        <v>444.1216</v>
      </c>
      <c r="K753" s="3"/>
    </row>
    <row r="754" customFormat="false" ht="19.5" hidden="false" customHeight="false" outlineLevel="0" collapsed="false">
      <c r="A754" s="3" t="s">
        <v>141</v>
      </c>
      <c r="B754" s="3" t="s">
        <v>142</v>
      </c>
      <c r="C754" s="3" t="s">
        <v>61</v>
      </c>
      <c r="D754" s="3" t="s">
        <v>8</v>
      </c>
      <c r="E754" s="3" t="n">
        <v>1200</v>
      </c>
      <c r="F754" s="3" t="n">
        <v>1200</v>
      </c>
      <c r="G754" s="3" t="n">
        <v>16</v>
      </c>
      <c r="H754" s="8" t="n">
        <f aca="false">(E754/1000)*(F754/1000)*(G754/1000)*7850</f>
        <v>180.864</v>
      </c>
      <c r="I754" s="3" t="n">
        <v>2</v>
      </c>
      <c r="J754" s="9" t="n">
        <f aca="false">H754*I754</f>
        <v>361.728</v>
      </c>
      <c r="K754" s="3"/>
    </row>
    <row r="755" customFormat="false" ht="19.5" hidden="false" customHeight="false" outlineLevel="0" collapsed="false">
      <c r="A755" s="3" t="s">
        <v>141</v>
      </c>
      <c r="B755" s="3" t="s">
        <v>142</v>
      </c>
      <c r="C755" s="3" t="s">
        <v>61</v>
      </c>
      <c r="D755" s="3" t="s">
        <v>8</v>
      </c>
      <c r="E755" s="3" t="n">
        <v>4322</v>
      </c>
      <c r="F755" s="3" t="n">
        <v>900</v>
      </c>
      <c r="G755" s="3" t="n">
        <v>36</v>
      </c>
      <c r="H755" s="8" t="n">
        <f aca="false">(E755/1000)*(F755/1000)*(G755/1000)*7850</f>
        <v>1099.25748</v>
      </c>
      <c r="I755" s="3" t="n">
        <v>2</v>
      </c>
      <c r="J755" s="9" t="n">
        <f aca="false">H755*I755</f>
        <v>2198.51496</v>
      </c>
      <c r="K755" s="3"/>
    </row>
    <row r="756" customFormat="false" ht="19.5" hidden="false" customHeight="false" outlineLevel="0" collapsed="false">
      <c r="A756" s="3" t="s">
        <v>141</v>
      </c>
      <c r="B756" s="3" t="s">
        <v>142</v>
      </c>
      <c r="C756" s="3" t="s">
        <v>61</v>
      </c>
      <c r="D756" s="3" t="s">
        <v>8</v>
      </c>
      <c r="E756" s="3" t="n">
        <v>6922</v>
      </c>
      <c r="F756" s="3" t="n">
        <v>1200</v>
      </c>
      <c r="G756" s="3" t="n">
        <v>32</v>
      </c>
      <c r="H756" s="8" t="n">
        <f aca="false">(E756/1000)*(F756/1000)*(G756/1000)*7850</f>
        <v>2086.56768</v>
      </c>
      <c r="I756" s="3" t="n">
        <v>1</v>
      </c>
      <c r="J756" s="9" t="n">
        <f aca="false">H756*I756</f>
        <v>2086.56768</v>
      </c>
      <c r="K756" s="3"/>
    </row>
    <row r="757" customFormat="false" ht="19.5" hidden="false" customHeight="false" outlineLevel="0" collapsed="false">
      <c r="A757" s="3" t="s">
        <v>141</v>
      </c>
      <c r="B757" s="3" t="s">
        <v>142</v>
      </c>
      <c r="C757" s="3" t="s">
        <v>61</v>
      </c>
      <c r="D757" s="3" t="s">
        <v>8</v>
      </c>
      <c r="E757" s="3" t="n">
        <v>2300</v>
      </c>
      <c r="F757" s="3" t="n">
        <v>320</v>
      </c>
      <c r="G757" s="3" t="n">
        <v>32</v>
      </c>
      <c r="H757" s="8" t="n">
        <f aca="false">(E757/1000)*(F757/1000)*(G757/1000)*7850</f>
        <v>184.8832</v>
      </c>
      <c r="I757" s="3" t="n">
        <v>2</v>
      </c>
      <c r="J757" s="9" t="n">
        <f aca="false">H757*I757</f>
        <v>369.7664</v>
      </c>
      <c r="K757" s="3"/>
    </row>
    <row r="758" customFormat="false" ht="19.5" hidden="false" customHeight="false" outlineLevel="0" collapsed="false">
      <c r="A758" s="3" t="s">
        <v>141</v>
      </c>
      <c r="B758" s="3" t="s">
        <v>142</v>
      </c>
      <c r="C758" s="3" t="s">
        <v>61</v>
      </c>
      <c r="D758" s="3" t="s">
        <v>8</v>
      </c>
      <c r="E758" s="3" t="n">
        <v>1580</v>
      </c>
      <c r="F758" s="3" t="n">
        <v>610</v>
      </c>
      <c r="G758" s="3" t="n">
        <v>14</v>
      </c>
      <c r="H758" s="8" t="n">
        <f aca="false">(E758/1000)*(F758/1000)*(G758/1000)*7850</f>
        <v>105.92162</v>
      </c>
      <c r="I758" s="3" t="n">
        <v>3</v>
      </c>
      <c r="J758" s="9" t="n">
        <f aca="false">H758*I758</f>
        <v>317.76486</v>
      </c>
      <c r="K758" s="3"/>
    </row>
    <row r="759" customFormat="false" ht="19.5" hidden="false" customHeight="false" outlineLevel="0" collapsed="false">
      <c r="A759" s="3" t="s">
        <v>141</v>
      </c>
      <c r="B759" s="3" t="s">
        <v>142</v>
      </c>
      <c r="C759" s="3" t="s">
        <v>61</v>
      </c>
      <c r="D759" s="3" t="s">
        <v>8</v>
      </c>
      <c r="E759" s="3" t="n">
        <v>1580</v>
      </c>
      <c r="F759" s="3" t="n">
        <v>630</v>
      </c>
      <c r="G759" s="3" t="n">
        <v>14</v>
      </c>
      <c r="H759" s="8" t="n">
        <f aca="false">(E759/1000)*(F759/1000)*(G759/1000)*7850</f>
        <v>109.39446</v>
      </c>
      <c r="I759" s="3" t="n">
        <v>2</v>
      </c>
      <c r="J759" s="9" t="n">
        <f aca="false">H759*I759</f>
        <v>218.78892</v>
      </c>
      <c r="K759" s="3"/>
    </row>
    <row r="760" customFormat="false" ht="19.5" hidden="false" customHeight="false" outlineLevel="0" collapsed="false">
      <c r="A760" s="3" t="s">
        <v>141</v>
      </c>
      <c r="B760" s="3" t="s">
        <v>142</v>
      </c>
      <c r="C760" s="3" t="s">
        <v>61</v>
      </c>
      <c r="D760" s="3" t="s">
        <v>8</v>
      </c>
      <c r="E760" s="3" t="n">
        <v>470</v>
      </c>
      <c r="F760" s="3" t="n">
        <v>1000</v>
      </c>
      <c r="G760" s="3" t="n">
        <v>24</v>
      </c>
      <c r="H760" s="8" t="n">
        <f aca="false">(E760/1000)*(F760/1000)*(G760/1000)*7850</f>
        <v>88.548</v>
      </c>
      <c r="I760" s="3" t="n">
        <v>3</v>
      </c>
      <c r="J760" s="9" t="n">
        <f aca="false">H760*I760</f>
        <v>265.644</v>
      </c>
      <c r="K760" s="3"/>
    </row>
    <row r="761" customFormat="false" ht="19.5" hidden="false" customHeight="false" outlineLevel="0" collapsed="false">
      <c r="A761" s="3" t="s">
        <v>141</v>
      </c>
      <c r="B761" s="3" t="s">
        <v>142</v>
      </c>
      <c r="C761" s="3" t="s">
        <v>61</v>
      </c>
      <c r="D761" s="3" t="s">
        <v>8</v>
      </c>
      <c r="E761" s="3" t="n">
        <v>470</v>
      </c>
      <c r="F761" s="3" t="n">
        <v>1000</v>
      </c>
      <c r="G761" s="3" t="n">
        <v>24</v>
      </c>
      <c r="H761" s="8" t="n">
        <f aca="false">(E761/1000)*(F761/1000)*(G761/1000)*7850</f>
        <v>88.548</v>
      </c>
      <c r="I761" s="3" t="n">
        <v>2</v>
      </c>
      <c r="J761" s="9" t="n">
        <f aca="false">H761*I761</f>
        <v>177.096</v>
      </c>
      <c r="K761" s="3"/>
    </row>
    <row r="762" customFormat="false" ht="19.5" hidden="false" customHeight="false" outlineLevel="0" collapsed="false">
      <c r="A762" s="3" t="s">
        <v>141</v>
      </c>
      <c r="B762" s="3" t="s">
        <v>142</v>
      </c>
      <c r="C762" s="3" t="s">
        <v>61</v>
      </c>
      <c r="D762" s="3" t="s">
        <v>8</v>
      </c>
      <c r="E762" s="3" t="n">
        <v>1450</v>
      </c>
      <c r="F762" s="3" t="n">
        <v>610</v>
      </c>
      <c r="G762" s="3" t="n">
        <v>14</v>
      </c>
      <c r="H762" s="8" t="n">
        <f aca="false">(E762/1000)*(F762/1000)*(G762/1000)*7850</f>
        <v>97.20655</v>
      </c>
      <c r="I762" s="3" t="n">
        <v>3</v>
      </c>
      <c r="J762" s="9" t="n">
        <f aca="false">H762*I762</f>
        <v>291.61965</v>
      </c>
      <c r="K762" s="3"/>
    </row>
    <row r="763" customFormat="false" ht="19.5" hidden="false" customHeight="false" outlineLevel="0" collapsed="false">
      <c r="A763" s="3" t="s">
        <v>141</v>
      </c>
      <c r="B763" s="3" t="s">
        <v>142</v>
      </c>
      <c r="C763" s="3" t="s">
        <v>61</v>
      </c>
      <c r="D763" s="3" t="s">
        <v>8</v>
      </c>
      <c r="E763" s="3" t="n">
        <v>1450</v>
      </c>
      <c r="F763" s="3" t="n">
        <v>626</v>
      </c>
      <c r="G763" s="3" t="n">
        <v>14</v>
      </c>
      <c r="H763" s="8" t="n">
        <f aca="false">(E763/1000)*(F763/1000)*(G763/1000)*7850</f>
        <v>99.75623</v>
      </c>
      <c r="I763" s="3" t="n">
        <v>2</v>
      </c>
      <c r="J763" s="9" t="n">
        <f aca="false">H763*I763</f>
        <v>199.51246</v>
      </c>
      <c r="K763" s="3"/>
    </row>
    <row r="764" customFormat="false" ht="19.5" hidden="false" customHeight="false" outlineLevel="0" collapsed="false">
      <c r="A764" s="3" t="s">
        <v>143</v>
      </c>
      <c r="B764" s="3" t="s">
        <v>144</v>
      </c>
      <c r="C764" s="3" t="s">
        <v>44</v>
      </c>
      <c r="D764" s="3" t="s">
        <v>9</v>
      </c>
      <c r="E764" s="3" t="n">
        <v>11850</v>
      </c>
      <c r="F764" s="3" t="n">
        <v>1000</v>
      </c>
      <c r="G764" s="3" t="n">
        <v>40</v>
      </c>
      <c r="H764" s="8" t="n">
        <f aca="false">(E764/1000)*(F764/1000)*(G764/1000)*7850</f>
        <v>3720.9</v>
      </c>
      <c r="I764" s="3" t="n">
        <v>1</v>
      </c>
      <c r="J764" s="9" t="n">
        <f aca="false">H764*I764</f>
        <v>3720.9</v>
      </c>
      <c r="K764" s="3"/>
    </row>
    <row r="765" customFormat="false" ht="19.5" hidden="false" customHeight="false" outlineLevel="0" collapsed="false">
      <c r="A765" s="3" t="s">
        <v>143</v>
      </c>
      <c r="B765" s="3" t="s">
        <v>144</v>
      </c>
      <c r="C765" s="3" t="s">
        <v>45</v>
      </c>
      <c r="D765" s="3" t="s">
        <v>8</v>
      </c>
      <c r="E765" s="3" t="n">
        <v>10390</v>
      </c>
      <c r="F765" s="3" t="n">
        <v>1000</v>
      </c>
      <c r="G765" s="3" t="n">
        <v>24</v>
      </c>
      <c r="H765" s="8" t="n">
        <f aca="false">(E765/1000)*(F765/1000)*(G765/1000)*7850</f>
        <v>1957.476</v>
      </c>
      <c r="I765" s="3" t="n">
        <v>1</v>
      </c>
      <c r="J765" s="9" t="n">
        <f aca="false">H765*I765</f>
        <v>1957.476</v>
      </c>
      <c r="K765" s="3"/>
    </row>
    <row r="766" customFormat="false" ht="19.5" hidden="false" customHeight="false" outlineLevel="0" collapsed="false">
      <c r="A766" s="3" t="s">
        <v>143</v>
      </c>
      <c r="B766" s="3" t="s">
        <v>144</v>
      </c>
      <c r="C766" s="3" t="s">
        <v>46</v>
      </c>
      <c r="D766" s="3" t="s">
        <v>9</v>
      </c>
      <c r="E766" s="3" t="n">
        <v>7901</v>
      </c>
      <c r="F766" s="3" t="n">
        <v>1200</v>
      </c>
      <c r="G766" s="3" t="n">
        <v>40</v>
      </c>
      <c r="H766" s="8" t="n">
        <f aca="false">(E766/1000)*(F766/1000)*(G766/1000)*7850</f>
        <v>2977.0968</v>
      </c>
      <c r="I766" s="3" t="n">
        <v>1</v>
      </c>
      <c r="J766" s="9" t="n">
        <f aca="false">H766*I766</f>
        <v>2977.0968</v>
      </c>
      <c r="K766" s="3"/>
    </row>
    <row r="767" customFormat="false" ht="19.5" hidden="false" customHeight="false" outlineLevel="0" collapsed="false">
      <c r="A767" s="3" t="s">
        <v>143</v>
      </c>
      <c r="B767" s="3" t="s">
        <v>144</v>
      </c>
      <c r="C767" s="3" t="s">
        <v>46</v>
      </c>
      <c r="D767" s="3" t="s">
        <v>8</v>
      </c>
      <c r="E767" s="3" t="n">
        <v>7101</v>
      </c>
      <c r="F767" s="3" t="n">
        <v>1200</v>
      </c>
      <c r="G767" s="3" t="n">
        <v>24</v>
      </c>
      <c r="H767" s="8" t="n">
        <f aca="false">(E767/1000)*(F767/1000)*(G767/1000)*7850</f>
        <v>1605.39408</v>
      </c>
      <c r="I767" s="3" t="n">
        <v>1</v>
      </c>
      <c r="J767" s="9" t="n">
        <f aca="false">H767*I767</f>
        <v>1605.39408</v>
      </c>
      <c r="K767" s="3"/>
    </row>
    <row r="768" customFormat="false" ht="19.5" hidden="false" customHeight="false" outlineLevel="0" collapsed="false">
      <c r="A768" s="3" t="s">
        <v>143</v>
      </c>
      <c r="B768" s="3" t="s">
        <v>144</v>
      </c>
      <c r="C768" s="3" t="s">
        <v>46</v>
      </c>
      <c r="D768" s="3" t="s">
        <v>9</v>
      </c>
      <c r="E768" s="3" t="n">
        <v>21280</v>
      </c>
      <c r="F768" s="3" t="n">
        <v>1000</v>
      </c>
      <c r="G768" s="3" t="n">
        <v>48</v>
      </c>
      <c r="H768" s="8" t="n">
        <f aca="false">(E768/1000)*(F768/1000)*(G768/1000)*7850</f>
        <v>8018.304</v>
      </c>
      <c r="I768" s="3" t="n">
        <v>2</v>
      </c>
      <c r="J768" s="9" t="n">
        <f aca="false">H768*I768</f>
        <v>16036.608</v>
      </c>
      <c r="K768" s="3"/>
    </row>
    <row r="769" customFormat="false" ht="19.5" hidden="false" customHeight="false" outlineLevel="0" collapsed="false">
      <c r="A769" s="3" t="s">
        <v>143</v>
      </c>
      <c r="B769" s="3" t="s">
        <v>144</v>
      </c>
      <c r="C769" s="3" t="s">
        <v>49</v>
      </c>
      <c r="D769" s="3" t="s">
        <v>8</v>
      </c>
      <c r="E769" s="3" t="n">
        <v>7301</v>
      </c>
      <c r="F769" s="3" t="n">
        <v>1644</v>
      </c>
      <c r="G769" s="3" t="n">
        <v>32</v>
      </c>
      <c r="H769" s="8" t="n">
        <f aca="false">(E769/1000)*(F769/1000)*(G769/1000)*7850</f>
        <v>3015.1144128</v>
      </c>
      <c r="I769" s="3" t="n">
        <v>2</v>
      </c>
      <c r="J769" s="9" t="n">
        <f aca="false">H769*I769</f>
        <v>6030.2288256</v>
      </c>
      <c r="K769" s="3"/>
    </row>
    <row r="770" customFormat="false" ht="19.5" hidden="false" customHeight="false" outlineLevel="0" collapsed="false">
      <c r="A770" s="3" t="s">
        <v>143</v>
      </c>
      <c r="B770" s="3" t="s">
        <v>144</v>
      </c>
      <c r="C770" s="3" t="s">
        <v>56</v>
      </c>
      <c r="D770" s="3" t="s">
        <v>8</v>
      </c>
      <c r="E770" s="3" t="n">
        <v>7102</v>
      </c>
      <c r="F770" s="3" t="n">
        <v>320</v>
      </c>
      <c r="G770" s="3" t="n">
        <v>32</v>
      </c>
      <c r="H770" s="8" t="n">
        <f aca="false">(E770/1000)*(F770/1000)*(G770/1000)*7850</f>
        <v>570.887168</v>
      </c>
      <c r="I770" s="3" t="n">
        <v>4</v>
      </c>
      <c r="J770" s="9" t="n">
        <f aca="false">H770*I770</f>
        <v>2283.548672</v>
      </c>
      <c r="K770" s="3"/>
    </row>
    <row r="771" customFormat="false" ht="19.5" hidden="false" customHeight="false" outlineLevel="0" collapsed="false">
      <c r="A771" s="3" t="s">
        <v>143</v>
      </c>
      <c r="B771" s="3" t="s">
        <v>144</v>
      </c>
      <c r="C771" s="3" t="s">
        <v>57</v>
      </c>
      <c r="D771" s="3" t="s">
        <v>8</v>
      </c>
      <c r="E771" s="3" t="n">
        <v>15005</v>
      </c>
      <c r="F771" s="3" t="n">
        <v>170</v>
      </c>
      <c r="G771" s="3" t="n">
        <v>14</v>
      </c>
      <c r="H771" s="8" t="n">
        <f aca="false">(E771/1000)*(F771/1000)*(G771/1000)*7850</f>
        <v>280.338415</v>
      </c>
      <c r="I771" s="3" t="n">
        <v>1</v>
      </c>
      <c r="J771" s="9" t="n">
        <f aca="false">H771*I771</f>
        <v>280.338415</v>
      </c>
      <c r="K771" s="3"/>
    </row>
    <row r="772" customFormat="false" ht="19.5" hidden="false" customHeight="false" outlineLevel="0" collapsed="false">
      <c r="A772" s="3" t="s">
        <v>143</v>
      </c>
      <c r="B772" s="3" t="s">
        <v>144</v>
      </c>
      <c r="C772" s="3" t="s">
        <v>58</v>
      </c>
      <c r="D772" s="3" t="s">
        <v>8</v>
      </c>
      <c r="E772" s="3" t="n">
        <v>12781</v>
      </c>
      <c r="F772" s="3" t="n">
        <v>1200</v>
      </c>
      <c r="G772" s="3" t="n">
        <v>36</v>
      </c>
      <c r="H772" s="8" t="n">
        <f aca="false">(E772/1000)*(F772/1000)*(G772/1000)*7850</f>
        <v>4334.29272</v>
      </c>
      <c r="I772" s="3" t="n">
        <v>1</v>
      </c>
      <c r="J772" s="9" t="n">
        <f aca="false">H772*I772</f>
        <v>4334.29272</v>
      </c>
      <c r="K772" s="3"/>
    </row>
    <row r="773" customFormat="false" ht="19.5" hidden="false" customHeight="false" outlineLevel="0" collapsed="false">
      <c r="A773" s="3" t="s">
        <v>143</v>
      </c>
      <c r="B773" s="3" t="s">
        <v>144</v>
      </c>
      <c r="C773" s="3" t="s">
        <v>81</v>
      </c>
      <c r="D773" s="3" t="s">
        <v>8</v>
      </c>
      <c r="E773" s="3" t="n">
        <v>12781</v>
      </c>
      <c r="F773" s="3" t="n">
        <v>1200</v>
      </c>
      <c r="G773" s="3" t="n">
        <v>36</v>
      </c>
      <c r="H773" s="8" t="n">
        <f aca="false">(E773/1000)*(F773/1000)*(G773/1000)*7850</f>
        <v>4334.29272</v>
      </c>
      <c r="I773" s="3" t="n">
        <v>1</v>
      </c>
      <c r="J773" s="9" t="n">
        <f aca="false">H773*I773</f>
        <v>4334.29272</v>
      </c>
      <c r="K773" s="3"/>
    </row>
    <row r="774" customFormat="false" ht="19.5" hidden="false" customHeight="false" outlineLevel="0" collapsed="false">
      <c r="A774" s="3" t="s">
        <v>143</v>
      </c>
      <c r="B774" s="3" t="s">
        <v>144</v>
      </c>
      <c r="C774" s="3" t="s">
        <v>60</v>
      </c>
      <c r="D774" s="3" t="s">
        <v>8</v>
      </c>
      <c r="E774" s="3" t="n">
        <v>8581</v>
      </c>
      <c r="F774" s="3" t="n">
        <v>320</v>
      </c>
      <c r="G774" s="3" t="n">
        <v>32</v>
      </c>
      <c r="H774" s="8" t="n">
        <f aca="false">(E774/1000)*(F774/1000)*(G774/1000)*7850</f>
        <v>689.775104</v>
      </c>
      <c r="I774" s="3" t="n">
        <v>2</v>
      </c>
      <c r="J774" s="9" t="n">
        <f aca="false">H774*I774</f>
        <v>1379.550208</v>
      </c>
      <c r="K774" s="3"/>
    </row>
    <row r="775" customFormat="false" ht="19.5" hidden="false" customHeight="false" outlineLevel="0" collapsed="false">
      <c r="A775" s="3" t="s">
        <v>143</v>
      </c>
      <c r="B775" s="3" t="s">
        <v>144</v>
      </c>
      <c r="C775" s="3" t="s">
        <v>74</v>
      </c>
      <c r="D775" s="3" t="s">
        <v>8</v>
      </c>
      <c r="E775" s="3" t="n">
        <v>11381</v>
      </c>
      <c r="F775" s="3" t="n">
        <v>320</v>
      </c>
      <c r="G775" s="3" t="n">
        <v>32</v>
      </c>
      <c r="H775" s="8" t="n">
        <f aca="false">(E775/1000)*(F775/1000)*(G775/1000)*7850</f>
        <v>914.850304</v>
      </c>
      <c r="I775" s="3" t="n">
        <v>1</v>
      </c>
      <c r="J775" s="9" t="n">
        <f aca="false">H775*I775</f>
        <v>914.850304</v>
      </c>
      <c r="K775" s="3"/>
    </row>
    <row r="776" customFormat="false" ht="19.5" hidden="false" customHeight="false" outlineLevel="0" collapsed="false">
      <c r="A776" s="3" t="s">
        <v>143</v>
      </c>
      <c r="B776" s="3" t="s">
        <v>144</v>
      </c>
      <c r="C776" s="3" t="s">
        <v>74</v>
      </c>
      <c r="D776" s="3" t="s">
        <v>8</v>
      </c>
      <c r="E776" s="3" t="n">
        <v>1200</v>
      </c>
      <c r="F776" s="3" t="n">
        <v>1200</v>
      </c>
      <c r="G776" s="3" t="n">
        <v>16</v>
      </c>
      <c r="H776" s="8" t="n">
        <f aca="false">(E776/1000)*(F776/1000)*(G776/1000)*7850</f>
        <v>180.864</v>
      </c>
      <c r="I776" s="3" t="n">
        <v>3</v>
      </c>
      <c r="J776" s="9" t="n">
        <f aca="false">H776*I776</f>
        <v>542.592</v>
      </c>
      <c r="K776" s="3"/>
    </row>
    <row r="777" customFormat="false" ht="19.5" hidden="false" customHeight="false" outlineLevel="0" collapsed="false">
      <c r="A777" s="3" t="s">
        <v>143</v>
      </c>
      <c r="B777" s="3" t="s">
        <v>144</v>
      </c>
      <c r="C777" s="3" t="s">
        <v>74</v>
      </c>
      <c r="D777" s="3" t="s">
        <v>8</v>
      </c>
      <c r="E777" s="3" t="n">
        <v>6135</v>
      </c>
      <c r="F777" s="3" t="n">
        <v>1200</v>
      </c>
      <c r="G777" s="3" t="n">
        <v>36</v>
      </c>
      <c r="H777" s="8" t="n">
        <f aca="false">(E777/1000)*(F777/1000)*(G777/1000)*7850</f>
        <v>2080.5012</v>
      </c>
      <c r="I777" s="3" t="n">
        <v>1</v>
      </c>
      <c r="J777" s="9" t="n">
        <f aca="false">H777*I777</f>
        <v>2080.5012</v>
      </c>
      <c r="K777" s="3"/>
    </row>
    <row r="778" customFormat="false" ht="19.5" hidden="false" customHeight="false" outlineLevel="0" collapsed="false">
      <c r="A778" s="3" t="s">
        <v>143</v>
      </c>
      <c r="B778" s="3" t="s">
        <v>144</v>
      </c>
      <c r="C778" s="3" t="s">
        <v>74</v>
      </c>
      <c r="D778" s="3" t="s">
        <v>8</v>
      </c>
      <c r="E778" s="3" t="n">
        <v>4135</v>
      </c>
      <c r="F778" s="3" t="n">
        <v>320</v>
      </c>
      <c r="G778" s="3" t="n">
        <v>32</v>
      </c>
      <c r="H778" s="8" t="n">
        <f aca="false">(E778/1000)*(F778/1000)*(G778/1000)*7850</f>
        <v>332.38784</v>
      </c>
      <c r="I778" s="3" t="n">
        <v>2</v>
      </c>
      <c r="J778" s="9" t="n">
        <f aca="false">H778*I778</f>
        <v>664.77568</v>
      </c>
      <c r="K778" s="3"/>
    </row>
    <row r="779" customFormat="false" ht="19.5" hidden="false" customHeight="false" outlineLevel="0" collapsed="false">
      <c r="A779" s="3" t="s">
        <v>143</v>
      </c>
      <c r="B779" s="3" t="s">
        <v>144</v>
      </c>
      <c r="C779" s="3" t="s">
        <v>74</v>
      </c>
      <c r="D779" s="3" t="s">
        <v>8</v>
      </c>
      <c r="E779" s="3" t="n">
        <v>5435</v>
      </c>
      <c r="F779" s="3" t="n">
        <v>320</v>
      </c>
      <c r="G779" s="3" t="n">
        <v>32</v>
      </c>
      <c r="H779" s="8" t="n">
        <f aca="false">(E779/1000)*(F779/1000)*(G779/1000)*7850</f>
        <v>436.88704</v>
      </c>
      <c r="I779" s="3" t="n">
        <v>1</v>
      </c>
      <c r="J779" s="9" t="n">
        <f aca="false">H779*I779</f>
        <v>436.88704</v>
      </c>
      <c r="K779" s="3"/>
    </row>
    <row r="780" customFormat="false" ht="19.5" hidden="false" customHeight="false" outlineLevel="0" collapsed="false">
      <c r="A780" s="3" t="s">
        <v>143</v>
      </c>
      <c r="B780" s="3" t="s">
        <v>144</v>
      </c>
      <c r="C780" s="3" t="s">
        <v>74</v>
      </c>
      <c r="D780" s="3" t="s">
        <v>8</v>
      </c>
      <c r="E780" s="3" t="n">
        <v>6425</v>
      </c>
      <c r="F780" s="3" t="n">
        <v>1200</v>
      </c>
      <c r="G780" s="3" t="n">
        <v>36</v>
      </c>
      <c r="H780" s="8" t="n">
        <f aca="false">(E780/1000)*(F780/1000)*(G780/1000)*7850</f>
        <v>2178.846</v>
      </c>
      <c r="I780" s="3" t="n">
        <v>1</v>
      </c>
      <c r="J780" s="9" t="n">
        <f aca="false">H780*I780</f>
        <v>2178.846</v>
      </c>
      <c r="K780" s="3"/>
    </row>
    <row r="781" customFormat="false" ht="19.5" hidden="false" customHeight="false" outlineLevel="0" collapsed="false">
      <c r="A781" s="3" t="s">
        <v>143</v>
      </c>
      <c r="B781" s="3" t="s">
        <v>144</v>
      </c>
      <c r="C781" s="3" t="s">
        <v>74</v>
      </c>
      <c r="D781" s="3" t="s">
        <v>8</v>
      </c>
      <c r="E781" s="3" t="n">
        <v>5725</v>
      </c>
      <c r="F781" s="3" t="n">
        <v>320</v>
      </c>
      <c r="G781" s="3" t="n">
        <v>32</v>
      </c>
      <c r="H781" s="8" t="n">
        <f aca="false">(E781/1000)*(F781/1000)*(G781/1000)*7850</f>
        <v>460.1984</v>
      </c>
      <c r="I781" s="3" t="n">
        <v>1</v>
      </c>
      <c r="J781" s="9" t="n">
        <f aca="false">H781*I781</f>
        <v>460.1984</v>
      </c>
      <c r="K781" s="3"/>
    </row>
    <row r="782" customFormat="false" ht="19.5" hidden="false" customHeight="false" outlineLevel="0" collapsed="false">
      <c r="A782" s="3" t="s">
        <v>143</v>
      </c>
      <c r="B782" s="3" t="s">
        <v>144</v>
      </c>
      <c r="C782" s="3" t="s">
        <v>74</v>
      </c>
      <c r="D782" s="3" t="s">
        <v>8</v>
      </c>
      <c r="E782" s="3" t="n">
        <v>2300</v>
      </c>
      <c r="F782" s="3" t="n">
        <v>320</v>
      </c>
      <c r="G782" s="3" t="n">
        <v>32</v>
      </c>
      <c r="H782" s="8" t="n">
        <f aca="false">(E782/1000)*(F782/1000)*(G782/1000)*7850</f>
        <v>184.8832</v>
      </c>
      <c r="I782" s="3" t="n">
        <v>4</v>
      </c>
      <c r="J782" s="9" t="n">
        <f aca="false">H782*I782</f>
        <v>739.5328</v>
      </c>
      <c r="K782" s="3"/>
    </row>
    <row r="783" customFormat="false" ht="19.5" hidden="false" customHeight="false" outlineLevel="0" collapsed="false">
      <c r="A783" s="3" t="s">
        <v>143</v>
      </c>
      <c r="B783" s="3" t="s">
        <v>144</v>
      </c>
      <c r="C783" s="3" t="s">
        <v>74</v>
      </c>
      <c r="D783" s="3" t="s">
        <v>8</v>
      </c>
      <c r="E783" s="3" t="n">
        <v>2600</v>
      </c>
      <c r="F783" s="3" t="n">
        <v>320</v>
      </c>
      <c r="G783" s="3" t="n">
        <v>32</v>
      </c>
      <c r="H783" s="8" t="n">
        <f aca="false">(E783/1000)*(F783/1000)*(G783/1000)*7850</f>
        <v>208.9984</v>
      </c>
      <c r="I783" s="3" t="n">
        <v>4</v>
      </c>
      <c r="J783" s="9" t="n">
        <f aca="false">H783*I783</f>
        <v>835.9936</v>
      </c>
      <c r="K783" s="3"/>
    </row>
    <row r="784" customFormat="false" ht="19.5" hidden="false" customHeight="false" outlineLevel="0" collapsed="false">
      <c r="A784" s="3" t="s">
        <v>143</v>
      </c>
      <c r="B784" s="3" t="s">
        <v>144</v>
      </c>
      <c r="C784" s="3" t="s">
        <v>74</v>
      </c>
      <c r="D784" s="3" t="s">
        <v>8</v>
      </c>
      <c r="E784" s="3" t="n">
        <v>1560</v>
      </c>
      <c r="F784" s="3" t="n">
        <v>602</v>
      </c>
      <c r="G784" s="3" t="n">
        <v>14</v>
      </c>
      <c r="H784" s="8" t="n">
        <f aca="false">(E784/1000)*(F784/1000)*(G784/1000)*7850</f>
        <v>103.209288</v>
      </c>
      <c r="I784" s="3" t="n">
        <v>3</v>
      </c>
      <c r="J784" s="9" t="n">
        <f aca="false">H784*I784</f>
        <v>309.627864</v>
      </c>
      <c r="K784" s="3"/>
    </row>
    <row r="785" customFormat="false" ht="19.5" hidden="false" customHeight="false" outlineLevel="0" collapsed="false">
      <c r="A785" s="3" t="s">
        <v>143</v>
      </c>
      <c r="B785" s="3" t="s">
        <v>144</v>
      </c>
      <c r="C785" s="3" t="s">
        <v>74</v>
      </c>
      <c r="D785" s="3" t="s">
        <v>8</v>
      </c>
      <c r="E785" s="3" t="n">
        <v>1576</v>
      </c>
      <c r="F785" s="3" t="n">
        <v>618</v>
      </c>
      <c r="G785" s="3" t="n">
        <v>14</v>
      </c>
      <c r="H785" s="8" t="n">
        <f aca="false">(E785/1000)*(F785/1000)*(G785/1000)*7850</f>
        <v>107.0390832</v>
      </c>
      <c r="I785" s="3" t="n">
        <v>2</v>
      </c>
      <c r="J785" s="9" t="n">
        <f aca="false">H785*I785</f>
        <v>214.0781664</v>
      </c>
      <c r="K785" s="3"/>
    </row>
    <row r="786" customFormat="false" ht="19.5" hidden="false" customHeight="false" outlineLevel="0" collapsed="false">
      <c r="A786" s="3" t="s">
        <v>143</v>
      </c>
      <c r="B786" s="3" t="s">
        <v>144</v>
      </c>
      <c r="C786" s="3" t="s">
        <v>74</v>
      </c>
      <c r="D786" s="3" t="s">
        <v>8</v>
      </c>
      <c r="E786" s="3" t="n">
        <v>460</v>
      </c>
      <c r="F786" s="3" t="n">
        <v>1000</v>
      </c>
      <c r="G786" s="3" t="n">
        <v>24</v>
      </c>
      <c r="H786" s="8" t="n">
        <f aca="false">(E786/1000)*(F786/1000)*(G786/1000)*7850</f>
        <v>86.664</v>
      </c>
      <c r="I786" s="3" t="n">
        <v>3</v>
      </c>
      <c r="J786" s="9" t="n">
        <f aca="false">H786*I786</f>
        <v>259.992</v>
      </c>
      <c r="K786" s="3"/>
    </row>
    <row r="787" customFormat="false" ht="19.5" hidden="false" customHeight="false" outlineLevel="0" collapsed="false">
      <c r="A787" s="3" t="s">
        <v>145</v>
      </c>
      <c r="B787" s="3" t="s">
        <v>146</v>
      </c>
      <c r="C787" s="3" t="s">
        <v>44</v>
      </c>
      <c r="D787" s="3" t="s">
        <v>9</v>
      </c>
      <c r="E787" s="3" t="n">
        <v>11850</v>
      </c>
      <c r="F787" s="3" t="n">
        <v>1000</v>
      </c>
      <c r="G787" s="3" t="n">
        <v>40</v>
      </c>
      <c r="H787" s="8" t="n">
        <f aca="false">(E787/1000)*(F787/1000)*(G787/1000)*7850</f>
        <v>3720.9</v>
      </c>
      <c r="I787" s="3" t="n">
        <v>1</v>
      </c>
      <c r="J787" s="9" t="n">
        <f aca="false">H787*I787</f>
        <v>3720.9</v>
      </c>
      <c r="K787" s="3"/>
    </row>
    <row r="788" customFormat="false" ht="19.5" hidden="false" customHeight="false" outlineLevel="0" collapsed="false">
      <c r="A788" s="3" t="s">
        <v>145</v>
      </c>
      <c r="B788" s="3" t="s">
        <v>146</v>
      </c>
      <c r="C788" s="3" t="s">
        <v>45</v>
      </c>
      <c r="D788" s="3" t="s">
        <v>9</v>
      </c>
      <c r="E788" s="3" t="n">
        <v>10390</v>
      </c>
      <c r="F788" s="3" t="n">
        <v>1000</v>
      </c>
      <c r="G788" s="3" t="n">
        <v>40</v>
      </c>
      <c r="H788" s="8" t="n">
        <f aca="false">(E788/1000)*(F788/1000)*(G788/1000)*7850</f>
        <v>3262.46</v>
      </c>
      <c r="I788" s="3" t="n">
        <v>1</v>
      </c>
      <c r="J788" s="9" t="n">
        <f aca="false">H788*I788</f>
        <v>3262.46</v>
      </c>
      <c r="K788" s="3"/>
    </row>
    <row r="789" customFormat="false" ht="19.5" hidden="false" customHeight="false" outlineLevel="0" collapsed="false">
      <c r="A789" s="3" t="s">
        <v>145</v>
      </c>
      <c r="B789" s="3" t="s">
        <v>146</v>
      </c>
      <c r="C789" s="3" t="s">
        <v>46</v>
      </c>
      <c r="D789" s="3" t="s">
        <v>9</v>
      </c>
      <c r="E789" s="3" t="n">
        <v>7901</v>
      </c>
      <c r="F789" s="3" t="n">
        <v>1200</v>
      </c>
      <c r="G789" s="3" t="n">
        <v>40</v>
      </c>
      <c r="H789" s="8" t="n">
        <f aca="false">(E789/1000)*(F789/1000)*(G789/1000)*7850</f>
        <v>2977.0968</v>
      </c>
      <c r="I789" s="3" t="n">
        <v>1</v>
      </c>
      <c r="J789" s="9" t="n">
        <f aca="false">H789*I789</f>
        <v>2977.0968</v>
      </c>
      <c r="K789" s="3"/>
    </row>
    <row r="790" customFormat="false" ht="19.5" hidden="false" customHeight="false" outlineLevel="0" collapsed="false">
      <c r="A790" s="3" t="s">
        <v>145</v>
      </c>
      <c r="B790" s="3" t="s">
        <v>146</v>
      </c>
      <c r="C790" s="3" t="s">
        <v>47</v>
      </c>
      <c r="D790" s="3" t="s">
        <v>9</v>
      </c>
      <c r="E790" s="3" t="n">
        <v>7101</v>
      </c>
      <c r="F790" s="3" t="n">
        <v>1200</v>
      </c>
      <c r="G790" s="3" t="n">
        <v>40</v>
      </c>
      <c r="H790" s="8" t="n">
        <f aca="false">(E790/1000)*(F790/1000)*(G790/1000)*7850</f>
        <v>2675.6568</v>
      </c>
      <c r="I790" s="3" t="n">
        <v>1</v>
      </c>
      <c r="J790" s="9" t="n">
        <f aca="false">H790*I790</f>
        <v>2675.6568</v>
      </c>
      <c r="K790" s="3"/>
    </row>
    <row r="791" customFormat="false" ht="19.5" hidden="false" customHeight="false" outlineLevel="0" collapsed="false">
      <c r="A791" s="3" t="s">
        <v>145</v>
      </c>
      <c r="B791" s="3" t="s">
        <v>146</v>
      </c>
      <c r="C791" s="3" t="s">
        <v>67</v>
      </c>
      <c r="D791" s="3" t="s">
        <v>9</v>
      </c>
      <c r="E791" s="3" t="n">
        <v>20720</v>
      </c>
      <c r="F791" s="3" t="n">
        <v>1000</v>
      </c>
      <c r="G791" s="3" t="n">
        <v>48</v>
      </c>
      <c r="H791" s="8" t="n">
        <f aca="false">(E791/1000)*(F791/1000)*(G791/1000)*7850</f>
        <v>7807.296</v>
      </c>
      <c r="I791" s="3" t="n">
        <v>2</v>
      </c>
      <c r="J791" s="9" t="n">
        <f aca="false">H791*I791</f>
        <v>15614.592</v>
      </c>
      <c r="K791" s="3"/>
    </row>
    <row r="792" customFormat="false" ht="19.5" hidden="false" customHeight="false" outlineLevel="0" collapsed="false">
      <c r="A792" s="3" t="s">
        <v>145</v>
      </c>
      <c r="B792" s="3" t="s">
        <v>146</v>
      </c>
      <c r="C792" s="3" t="s">
        <v>54</v>
      </c>
      <c r="D792" s="3" t="s">
        <v>9</v>
      </c>
      <c r="E792" s="3" t="n">
        <v>7302</v>
      </c>
      <c r="F792" s="3" t="n">
        <v>1482</v>
      </c>
      <c r="G792" s="3" t="n">
        <v>44</v>
      </c>
      <c r="H792" s="8" t="n">
        <f aca="false">(E792/1000)*(F792/1000)*(G792/1000)*7850</f>
        <v>3737.7682056</v>
      </c>
      <c r="I792" s="3" t="n">
        <v>2</v>
      </c>
      <c r="J792" s="9" t="n">
        <f aca="false">H792*I792</f>
        <v>7475.5364112</v>
      </c>
      <c r="K792" s="3"/>
    </row>
    <row r="793" customFormat="false" ht="19.5" hidden="false" customHeight="false" outlineLevel="0" collapsed="false">
      <c r="A793" s="3" t="s">
        <v>145</v>
      </c>
      <c r="B793" s="3" t="s">
        <v>146</v>
      </c>
      <c r="C793" s="3" t="s">
        <v>56</v>
      </c>
      <c r="D793" s="3" t="s">
        <v>9</v>
      </c>
      <c r="E793" s="3" t="n">
        <v>7102</v>
      </c>
      <c r="F793" s="3" t="n">
        <v>320</v>
      </c>
      <c r="G793" s="3" t="n">
        <v>32</v>
      </c>
      <c r="H793" s="8" t="n">
        <f aca="false">(E793/1000)*(F793/1000)*(G793/1000)*7850</f>
        <v>570.887168</v>
      </c>
      <c r="I793" s="3" t="n">
        <v>4</v>
      </c>
      <c r="J793" s="9" t="n">
        <f aca="false">H793*I793</f>
        <v>2283.548672</v>
      </c>
      <c r="K793" s="3"/>
    </row>
    <row r="794" customFormat="false" ht="19.5" hidden="false" customHeight="false" outlineLevel="0" collapsed="false">
      <c r="A794" s="3" t="s">
        <v>145</v>
      </c>
      <c r="B794" s="3" t="s">
        <v>146</v>
      </c>
      <c r="C794" s="3" t="s">
        <v>57</v>
      </c>
      <c r="D794" s="3" t="s">
        <v>9</v>
      </c>
      <c r="E794" s="3" t="n">
        <v>15005</v>
      </c>
      <c r="F794" s="3" t="n">
        <v>170</v>
      </c>
      <c r="G794" s="3" t="n">
        <v>14</v>
      </c>
      <c r="H794" s="8" t="n">
        <f aca="false">(E794/1000)*(F794/1000)*(G794/1000)*7850</f>
        <v>280.338415</v>
      </c>
      <c r="I794" s="3" t="n">
        <v>1</v>
      </c>
      <c r="J794" s="9" t="n">
        <f aca="false">H794*I794</f>
        <v>280.338415</v>
      </c>
      <c r="K794" s="3"/>
    </row>
    <row r="795" customFormat="false" ht="19.5" hidden="false" customHeight="false" outlineLevel="0" collapsed="false">
      <c r="A795" s="3" t="s">
        <v>145</v>
      </c>
      <c r="B795" s="3" t="s">
        <v>146</v>
      </c>
      <c r="C795" s="3" t="s">
        <v>58</v>
      </c>
      <c r="D795" s="3" t="s">
        <v>8</v>
      </c>
      <c r="E795" s="3" t="n">
        <v>12589</v>
      </c>
      <c r="F795" s="3" t="n">
        <v>1200</v>
      </c>
      <c r="G795" s="3" t="n">
        <v>36</v>
      </c>
      <c r="H795" s="8" t="n">
        <f aca="false">(E795/1000)*(F795/1000)*(G795/1000)*7850</f>
        <v>4269.18168</v>
      </c>
      <c r="I795" s="3" t="n">
        <v>1</v>
      </c>
      <c r="J795" s="9" t="n">
        <f aca="false">H795*I795</f>
        <v>4269.18168</v>
      </c>
      <c r="K795" s="3"/>
    </row>
    <row r="796" customFormat="false" ht="19.5" hidden="false" customHeight="false" outlineLevel="0" collapsed="false">
      <c r="A796" s="3" t="s">
        <v>145</v>
      </c>
      <c r="B796" s="3" t="s">
        <v>146</v>
      </c>
      <c r="C796" s="3" t="s">
        <v>58</v>
      </c>
      <c r="D796" s="3" t="s">
        <v>8</v>
      </c>
      <c r="E796" s="3" t="n">
        <v>8389</v>
      </c>
      <c r="F796" s="3" t="n">
        <v>1360</v>
      </c>
      <c r="G796" s="3" t="n">
        <v>36</v>
      </c>
      <c r="H796" s="8" t="n">
        <f aca="false">(E796/1000)*(F796/1000)*(G796/1000)*7850</f>
        <v>3224.194704</v>
      </c>
      <c r="I796" s="3" t="n">
        <v>2</v>
      </c>
      <c r="J796" s="9" t="n">
        <f aca="false">H796*I796</f>
        <v>6448.389408</v>
      </c>
      <c r="K796" s="3"/>
    </row>
    <row r="797" customFormat="false" ht="19.5" hidden="false" customHeight="false" outlineLevel="0" collapsed="false">
      <c r="A797" s="3" t="s">
        <v>145</v>
      </c>
      <c r="B797" s="3" t="s">
        <v>146</v>
      </c>
      <c r="C797" s="3" t="s">
        <v>58</v>
      </c>
      <c r="D797" s="3" t="s">
        <v>8</v>
      </c>
      <c r="E797" s="3" t="n">
        <v>8389</v>
      </c>
      <c r="F797" s="3" t="n">
        <v>320</v>
      </c>
      <c r="G797" s="3" t="n">
        <v>32</v>
      </c>
      <c r="H797" s="8" t="n">
        <f aca="false">(E797/1000)*(F797/1000)*(G797/1000)*7850</f>
        <v>674.341376</v>
      </c>
      <c r="I797" s="3" t="n">
        <v>2</v>
      </c>
      <c r="J797" s="9" t="n">
        <f aca="false">H797*I797</f>
        <v>1348.682752</v>
      </c>
      <c r="K797" s="3"/>
    </row>
    <row r="798" customFormat="false" ht="19.5" hidden="false" customHeight="false" outlineLevel="0" collapsed="false">
      <c r="A798" s="3" t="s">
        <v>145</v>
      </c>
      <c r="B798" s="3" t="s">
        <v>146</v>
      </c>
      <c r="C798" s="3" t="s">
        <v>58</v>
      </c>
      <c r="D798" s="3" t="s">
        <v>8</v>
      </c>
      <c r="E798" s="3" t="n">
        <v>11189</v>
      </c>
      <c r="F798" s="3" t="n">
        <v>320</v>
      </c>
      <c r="G798" s="3" t="n">
        <v>32</v>
      </c>
      <c r="H798" s="8" t="n">
        <f aca="false">(E798/1000)*(F798/1000)*(G798/1000)*7850</f>
        <v>899.416576</v>
      </c>
      <c r="I798" s="3" t="n">
        <v>1</v>
      </c>
      <c r="J798" s="9" t="n">
        <f aca="false">H798*I798</f>
        <v>899.416576</v>
      </c>
      <c r="K798" s="3"/>
    </row>
    <row r="799" customFormat="false" ht="19.5" hidden="false" customHeight="false" outlineLevel="0" collapsed="false">
      <c r="A799" s="3" t="s">
        <v>145</v>
      </c>
      <c r="B799" s="3" t="s">
        <v>146</v>
      </c>
      <c r="C799" s="3" t="s">
        <v>71</v>
      </c>
      <c r="D799" s="3" t="s">
        <v>8</v>
      </c>
      <c r="E799" s="3" t="n">
        <v>11189</v>
      </c>
      <c r="F799" s="3" t="n">
        <v>320</v>
      </c>
      <c r="G799" s="3" t="n">
        <v>32</v>
      </c>
      <c r="H799" s="8" t="n">
        <f aca="false">(E799/1000)*(F799/1000)*(G799/1000)*7850</f>
        <v>899.416576</v>
      </c>
      <c r="I799" s="3" t="n">
        <v>1</v>
      </c>
      <c r="J799" s="9" t="n">
        <f aca="false">H799*I799</f>
        <v>899.416576</v>
      </c>
      <c r="K799" s="3"/>
    </row>
    <row r="800" customFormat="false" ht="19.5" hidden="false" customHeight="false" outlineLevel="0" collapsed="false">
      <c r="A800" s="3" t="s">
        <v>145</v>
      </c>
      <c r="B800" s="3" t="s">
        <v>146</v>
      </c>
      <c r="C800" s="3" t="s">
        <v>82</v>
      </c>
      <c r="D800" s="3" t="s">
        <v>8</v>
      </c>
      <c r="E800" s="3" t="n">
        <v>1200</v>
      </c>
      <c r="F800" s="3" t="n">
        <v>1200</v>
      </c>
      <c r="G800" s="3" t="n">
        <v>16</v>
      </c>
      <c r="H800" s="8" t="n">
        <f aca="false">(E800/1000)*(F800/1000)*(G800/1000)*7850</f>
        <v>180.864</v>
      </c>
      <c r="I800" s="3" t="n">
        <v>3</v>
      </c>
      <c r="J800" s="9" t="n">
        <f aca="false">H800*I800</f>
        <v>542.592</v>
      </c>
      <c r="K800" s="3"/>
    </row>
    <row r="801" customFormat="false" ht="19.5" hidden="false" customHeight="false" outlineLevel="0" collapsed="false">
      <c r="A801" s="3" t="s">
        <v>145</v>
      </c>
      <c r="B801" s="3" t="s">
        <v>146</v>
      </c>
      <c r="C801" s="3" t="s">
        <v>82</v>
      </c>
      <c r="D801" s="3" t="s">
        <v>8</v>
      </c>
      <c r="E801" s="3" t="n">
        <v>6053</v>
      </c>
      <c r="F801" s="3" t="n">
        <v>1200</v>
      </c>
      <c r="G801" s="3" t="n">
        <v>40</v>
      </c>
      <c r="H801" s="8" t="n">
        <f aca="false">(E801/1000)*(F801/1000)*(G801/1000)*7850</f>
        <v>2280.7704</v>
      </c>
      <c r="I801" s="3" t="n">
        <v>1</v>
      </c>
      <c r="J801" s="9" t="n">
        <f aca="false">H801*I801</f>
        <v>2280.7704</v>
      </c>
      <c r="K801" s="3"/>
    </row>
    <row r="802" customFormat="false" ht="19.5" hidden="false" customHeight="false" outlineLevel="0" collapsed="false">
      <c r="A802" s="3" t="s">
        <v>145</v>
      </c>
      <c r="B802" s="3" t="s">
        <v>146</v>
      </c>
      <c r="C802" s="3" t="s">
        <v>82</v>
      </c>
      <c r="D802" s="3" t="s">
        <v>8</v>
      </c>
      <c r="E802" s="3" t="n">
        <v>4053</v>
      </c>
      <c r="F802" s="3" t="n">
        <v>320</v>
      </c>
      <c r="G802" s="3" t="n">
        <v>32</v>
      </c>
      <c r="H802" s="8" t="n">
        <f aca="false">(E802/1000)*(F802/1000)*(G802/1000)*7850</f>
        <v>325.796352</v>
      </c>
      <c r="I802" s="3" t="n">
        <v>4</v>
      </c>
      <c r="J802" s="9" t="n">
        <f aca="false">H802*I802</f>
        <v>1303.185408</v>
      </c>
      <c r="K802" s="3"/>
    </row>
    <row r="803" customFormat="false" ht="19.5" hidden="false" customHeight="false" outlineLevel="0" collapsed="false">
      <c r="A803" s="3" t="s">
        <v>145</v>
      </c>
      <c r="B803" s="3" t="s">
        <v>146</v>
      </c>
      <c r="C803" s="3" t="s">
        <v>82</v>
      </c>
      <c r="D803" s="3" t="s">
        <v>8</v>
      </c>
      <c r="E803" s="3" t="n">
        <v>5153</v>
      </c>
      <c r="F803" s="3" t="n">
        <v>320</v>
      </c>
      <c r="G803" s="3" t="n">
        <v>32</v>
      </c>
      <c r="H803" s="8" t="n">
        <f aca="false">(E803/1000)*(F803/1000)*(G803/1000)*7850</f>
        <v>414.218752</v>
      </c>
      <c r="I803" s="3" t="n">
        <v>1</v>
      </c>
      <c r="J803" s="9" t="n">
        <f aca="false">H803*I803</f>
        <v>414.218752</v>
      </c>
      <c r="K803" s="3"/>
    </row>
    <row r="804" customFormat="false" ht="19.5" hidden="false" customHeight="false" outlineLevel="0" collapsed="false">
      <c r="A804" s="3" t="s">
        <v>145</v>
      </c>
      <c r="B804" s="3" t="s">
        <v>146</v>
      </c>
      <c r="C804" s="3" t="s">
        <v>82</v>
      </c>
      <c r="D804" s="3" t="s">
        <v>8</v>
      </c>
      <c r="E804" s="3" t="n">
        <v>5353</v>
      </c>
      <c r="F804" s="3" t="n">
        <v>320</v>
      </c>
      <c r="G804" s="3" t="n">
        <v>32</v>
      </c>
      <c r="H804" s="8" t="n">
        <f aca="false">(E804/1000)*(F804/1000)*(G804/1000)*7850</f>
        <v>430.295552</v>
      </c>
      <c r="I804" s="3" t="n">
        <v>1</v>
      </c>
      <c r="J804" s="9" t="n">
        <f aca="false">H804*I804</f>
        <v>430.295552</v>
      </c>
      <c r="K804" s="3"/>
    </row>
    <row r="805" customFormat="false" ht="19.5" hidden="false" customHeight="false" outlineLevel="0" collapsed="false">
      <c r="A805" s="3" t="s">
        <v>145</v>
      </c>
      <c r="B805" s="3" t="s">
        <v>146</v>
      </c>
      <c r="C805" s="3" t="s">
        <v>82</v>
      </c>
      <c r="D805" s="3" t="s">
        <v>8</v>
      </c>
      <c r="E805" s="3" t="n">
        <v>1600</v>
      </c>
      <c r="F805" s="3" t="n">
        <v>1200</v>
      </c>
      <c r="G805" s="3" t="n">
        <v>16</v>
      </c>
      <c r="H805" s="8" t="n">
        <f aca="false">(E805/1000)*(F805/1000)*(G805/1000)*7850</f>
        <v>241.152</v>
      </c>
      <c r="I805" s="3" t="n">
        <v>2</v>
      </c>
      <c r="J805" s="9" t="n">
        <f aca="false">H805*I805</f>
        <v>482.304</v>
      </c>
      <c r="K805" s="3"/>
    </row>
    <row r="806" customFormat="false" ht="19.5" hidden="false" customHeight="false" outlineLevel="0" collapsed="false">
      <c r="A806" s="3" t="s">
        <v>145</v>
      </c>
      <c r="B806" s="3" t="s">
        <v>146</v>
      </c>
      <c r="C806" s="3" t="s">
        <v>82</v>
      </c>
      <c r="D806" s="3" t="s">
        <v>9</v>
      </c>
      <c r="E806" s="3" t="n">
        <v>6335</v>
      </c>
      <c r="F806" s="3" t="n">
        <v>1200</v>
      </c>
      <c r="G806" s="3" t="n">
        <v>40</v>
      </c>
      <c r="H806" s="8" t="n">
        <f aca="false">(E806/1000)*(F806/1000)*(G806/1000)*7850</f>
        <v>2387.028</v>
      </c>
      <c r="I806" s="3" t="n">
        <v>1</v>
      </c>
      <c r="J806" s="9" t="n">
        <f aca="false">H806*I806</f>
        <v>2387.028</v>
      </c>
      <c r="K806" s="3"/>
    </row>
    <row r="807" customFormat="false" ht="19.5" hidden="false" customHeight="false" outlineLevel="0" collapsed="false">
      <c r="A807" s="3" t="s">
        <v>145</v>
      </c>
      <c r="B807" s="3" t="s">
        <v>146</v>
      </c>
      <c r="C807" s="3" t="s">
        <v>82</v>
      </c>
      <c r="D807" s="3" t="s">
        <v>9</v>
      </c>
      <c r="E807" s="3" t="n">
        <v>4135</v>
      </c>
      <c r="F807" s="3" t="n">
        <v>1360</v>
      </c>
      <c r="G807" s="3" t="n">
        <v>40</v>
      </c>
      <c r="H807" s="8" t="n">
        <f aca="false">(E807/1000)*(F807/1000)*(G807/1000)*7850</f>
        <v>1765.8104</v>
      </c>
      <c r="I807" s="3" t="n">
        <v>2</v>
      </c>
      <c r="J807" s="9" t="n">
        <f aca="false">H807*I807</f>
        <v>3531.6208</v>
      </c>
      <c r="K807" s="3"/>
    </row>
    <row r="808" customFormat="false" ht="19.5" hidden="false" customHeight="false" outlineLevel="0" collapsed="false">
      <c r="A808" s="3" t="s">
        <v>145</v>
      </c>
      <c r="B808" s="3" t="s">
        <v>146</v>
      </c>
      <c r="C808" s="3" t="s">
        <v>82</v>
      </c>
      <c r="D808" s="3" t="s">
        <v>9</v>
      </c>
      <c r="E808" s="3" t="n">
        <v>4135</v>
      </c>
      <c r="F808" s="3" t="n">
        <v>320</v>
      </c>
      <c r="G808" s="3" t="n">
        <v>32</v>
      </c>
      <c r="H808" s="8" t="n">
        <f aca="false">(E808/1000)*(F808/1000)*(G808/1000)*7850</f>
        <v>332.38784</v>
      </c>
      <c r="I808" s="3" t="n">
        <v>4</v>
      </c>
      <c r="J808" s="9" t="n">
        <f aca="false">H808*I808</f>
        <v>1329.55136</v>
      </c>
      <c r="K808" s="3"/>
    </row>
    <row r="809" customFormat="false" ht="19.5" hidden="false" customHeight="false" outlineLevel="0" collapsed="false">
      <c r="A809" s="3" t="s">
        <v>145</v>
      </c>
      <c r="B809" s="3" t="s">
        <v>146</v>
      </c>
      <c r="C809" s="3" t="s">
        <v>82</v>
      </c>
      <c r="D809" s="3" t="s">
        <v>9</v>
      </c>
      <c r="E809" s="3" t="n">
        <v>5635</v>
      </c>
      <c r="F809" s="3" t="n">
        <v>320</v>
      </c>
      <c r="G809" s="3" t="n">
        <v>32</v>
      </c>
      <c r="H809" s="8" t="n">
        <f aca="false">(E809/1000)*(F809/1000)*(G809/1000)*7850</f>
        <v>452.96384</v>
      </c>
      <c r="I809" s="3" t="n">
        <v>1</v>
      </c>
      <c r="J809" s="9" t="n">
        <f aca="false">H809*I809</f>
        <v>452.96384</v>
      </c>
      <c r="K809" s="3"/>
    </row>
    <row r="810" customFormat="false" ht="19.5" hidden="false" customHeight="false" outlineLevel="0" collapsed="false">
      <c r="A810" s="3" t="s">
        <v>145</v>
      </c>
      <c r="B810" s="3" t="s">
        <v>146</v>
      </c>
      <c r="C810" s="3" t="s">
        <v>82</v>
      </c>
      <c r="D810" s="3" t="s">
        <v>9</v>
      </c>
      <c r="E810" s="3" t="n">
        <v>1200</v>
      </c>
      <c r="F810" s="3" t="n">
        <v>1200</v>
      </c>
      <c r="G810" s="3" t="n">
        <v>16</v>
      </c>
      <c r="H810" s="8" t="n">
        <f aca="false">(E810/1000)*(F810/1000)*(G810/1000)*7850</f>
        <v>180.864</v>
      </c>
      <c r="I810" s="3" t="n">
        <v>2</v>
      </c>
      <c r="J810" s="9" t="n">
        <f aca="false">H810*I810</f>
        <v>361.728</v>
      </c>
      <c r="K810" s="3"/>
    </row>
    <row r="811" customFormat="false" ht="19.5" hidden="false" customHeight="false" outlineLevel="0" collapsed="false">
      <c r="A811" s="3" t="s">
        <v>145</v>
      </c>
      <c r="B811" s="3" t="s">
        <v>146</v>
      </c>
      <c r="C811" s="3" t="s">
        <v>82</v>
      </c>
      <c r="D811" s="3" t="s">
        <v>9</v>
      </c>
      <c r="E811" s="3" t="n">
        <v>2200</v>
      </c>
      <c r="F811" s="3" t="n">
        <v>320</v>
      </c>
      <c r="G811" s="3" t="n">
        <v>32</v>
      </c>
      <c r="H811" s="8" t="n">
        <f aca="false">(E811/1000)*(F811/1000)*(G811/1000)*7850</f>
        <v>176.8448</v>
      </c>
      <c r="I811" s="3" t="n">
        <v>4</v>
      </c>
      <c r="J811" s="9" t="n">
        <f aca="false">H811*I811</f>
        <v>707.3792</v>
      </c>
      <c r="K811" s="3"/>
    </row>
    <row r="812" customFormat="false" ht="19.5" hidden="false" customHeight="false" outlineLevel="0" collapsed="false">
      <c r="A812" s="3" t="s">
        <v>145</v>
      </c>
      <c r="B812" s="3" t="s">
        <v>146</v>
      </c>
      <c r="C812" s="3" t="s">
        <v>82</v>
      </c>
      <c r="D812" s="3" t="s">
        <v>8</v>
      </c>
      <c r="E812" s="3" t="n">
        <v>1560</v>
      </c>
      <c r="F812" s="3" t="n">
        <v>602</v>
      </c>
      <c r="G812" s="3" t="n">
        <v>14</v>
      </c>
      <c r="H812" s="8" t="n">
        <f aca="false">(E812/1000)*(F812/1000)*(G812/1000)*7850</f>
        <v>103.209288</v>
      </c>
      <c r="I812" s="3" t="n">
        <v>3</v>
      </c>
      <c r="J812" s="9" t="n">
        <f aca="false">H812*I812</f>
        <v>309.627864</v>
      </c>
      <c r="K812" s="3"/>
    </row>
    <row r="813" customFormat="false" ht="19.5" hidden="false" customHeight="false" outlineLevel="0" collapsed="false">
      <c r="A813" s="3" t="s">
        <v>145</v>
      </c>
      <c r="B813" s="3" t="s">
        <v>146</v>
      </c>
      <c r="C813" s="3" t="s">
        <v>82</v>
      </c>
      <c r="D813" s="3" t="s">
        <v>8</v>
      </c>
      <c r="E813" s="3" t="n">
        <v>1560</v>
      </c>
      <c r="F813" s="3" t="n">
        <v>602</v>
      </c>
      <c r="G813" s="3" t="n">
        <v>14</v>
      </c>
      <c r="H813" s="8" t="n">
        <f aca="false">(E813/1000)*(F813/1000)*(G813/1000)*7850</f>
        <v>103.209288</v>
      </c>
      <c r="I813" s="3" t="n">
        <v>2</v>
      </c>
      <c r="J813" s="9" t="n">
        <f aca="false">H813*I813</f>
        <v>206.418576</v>
      </c>
      <c r="K813" s="3"/>
    </row>
    <row r="814" customFormat="false" ht="19.5" hidden="false" customHeight="false" outlineLevel="0" collapsed="false">
      <c r="A814" s="3" t="s">
        <v>145</v>
      </c>
      <c r="B814" s="3" t="s">
        <v>146</v>
      </c>
      <c r="C814" s="3" t="s">
        <v>82</v>
      </c>
      <c r="D814" s="3" t="s">
        <v>8</v>
      </c>
      <c r="E814" s="3" t="n">
        <v>460</v>
      </c>
      <c r="F814" s="3" t="n">
        <v>1000</v>
      </c>
      <c r="G814" s="3" t="n">
        <v>24</v>
      </c>
      <c r="H814" s="8" t="n">
        <f aca="false">(E814/1000)*(F814/1000)*(G814/1000)*7850</f>
        <v>86.664</v>
      </c>
      <c r="I814" s="3" t="n">
        <v>3</v>
      </c>
      <c r="J814" s="9" t="n">
        <f aca="false">H814*I814</f>
        <v>259.992</v>
      </c>
      <c r="K814" s="3"/>
    </row>
    <row r="815" customFormat="false" ht="19.5" hidden="false" customHeight="false" outlineLevel="0" collapsed="false">
      <c r="A815" s="3" t="s">
        <v>145</v>
      </c>
      <c r="B815" s="3" t="s">
        <v>146</v>
      </c>
      <c r="C815" s="3" t="s">
        <v>82</v>
      </c>
      <c r="D815" s="3" t="s">
        <v>8</v>
      </c>
      <c r="E815" s="3" t="n">
        <v>460</v>
      </c>
      <c r="F815" s="3" t="n">
        <v>1000</v>
      </c>
      <c r="G815" s="3" t="n">
        <v>24</v>
      </c>
      <c r="H815" s="8" t="n">
        <f aca="false">(E815/1000)*(F815/1000)*(G815/1000)*7850</f>
        <v>86.664</v>
      </c>
      <c r="I815" s="3" t="n">
        <v>2</v>
      </c>
      <c r="J815" s="9" t="n">
        <f aca="false">H815*I815</f>
        <v>173.328</v>
      </c>
      <c r="K815" s="3"/>
    </row>
    <row r="816" customFormat="false" ht="19.5" hidden="false" customHeight="false" outlineLevel="0" collapsed="false">
      <c r="A816" s="3" t="s">
        <v>145</v>
      </c>
      <c r="B816" s="3" t="s">
        <v>146</v>
      </c>
      <c r="C816" s="3" t="s">
        <v>82</v>
      </c>
      <c r="D816" s="3" t="s">
        <v>8</v>
      </c>
      <c r="E816" s="3" t="n">
        <v>1350</v>
      </c>
      <c r="F816" s="3" t="n">
        <v>602</v>
      </c>
      <c r="G816" s="3" t="n">
        <v>14</v>
      </c>
      <c r="H816" s="8" t="n">
        <f aca="false">(E816/1000)*(F816/1000)*(G816/1000)*7850</f>
        <v>89.31573</v>
      </c>
      <c r="I816" s="3" t="n">
        <v>3</v>
      </c>
      <c r="J816" s="9" t="n">
        <f aca="false">H816*I816</f>
        <v>267.94719</v>
      </c>
      <c r="K816" s="3"/>
    </row>
    <row r="817" customFormat="false" ht="19.5" hidden="false" customHeight="false" outlineLevel="0" collapsed="false">
      <c r="A817" s="3" t="s">
        <v>147</v>
      </c>
      <c r="B817" s="3" t="s">
        <v>148</v>
      </c>
      <c r="C817" s="3" t="s">
        <v>44</v>
      </c>
      <c r="D817" s="3" t="s">
        <v>9</v>
      </c>
      <c r="E817" s="3" t="n">
        <v>11850</v>
      </c>
      <c r="F817" s="3" t="n">
        <v>1000</v>
      </c>
      <c r="G817" s="3" t="n">
        <v>40</v>
      </c>
      <c r="H817" s="8" t="n">
        <f aca="false">(E817/1000)*(F817/1000)*(G817/1000)*7850</f>
        <v>3720.9</v>
      </c>
      <c r="I817" s="3" t="n">
        <v>1</v>
      </c>
      <c r="J817" s="9" t="n">
        <f aca="false">H817*I817</f>
        <v>3720.9</v>
      </c>
      <c r="K817" s="3"/>
    </row>
    <row r="818" customFormat="false" ht="19.5" hidden="false" customHeight="false" outlineLevel="0" collapsed="false">
      <c r="A818" s="3" t="s">
        <v>147</v>
      </c>
      <c r="B818" s="3" t="s">
        <v>148</v>
      </c>
      <c r="C818" s="3" t="s">
        <v>46</v>
      </c>
      <c r="D818" s="3" t="s">
        <v>9</v>
      </c>
      <c r="E818" s="3" t="n">
        <v>7900</v>
      </c>
      <c r="F818" s="3" t="n">
        <v>1200</v>
      </c>
      <c r="G818" s="3" t="n">
        <v>40</v>
      </c>
      <c r="H818" s="8" t="n">
        <f aca="false">(E818/1000)*(F818/1000)*(G818/1000)*7850</f>
        <v>2976.72</v>
      </c>
      <c r="I818" s="3" t="n">
        <v>1</v>
      </c>
      <c r="J818" s="9" t="n">
        <f aca="false">H818*I818</f>
        <v>2976.72</v>
      </c>
      <c r="K818" s="3"/>
    </row>
    <row r="819" customFormat="false" ht="19.5" hidden="false" customHeight="false" outlineLevel="0" collapsed="false">
      <c r="A819" s="3" t="s">
        <v>147</v>
      </c>
      <c r="B819" s="3" t="s">
        <v>148</v>
      </c>
      <c r="C819" s="3" t="s">
        <v>47</v>
      </c>
      <c r="D819" s="3" t="s">
        <v>9</v>
      </c>
      <c r="E819" s="3" t="n">
        <v>7100</v>
      </c>
      <c r="F819" s="3" t="n">
        <v>1200</v>
      </c>
      <c r="G819" s="3" t="n">
        <v>40</v>
      </c>
      <c r="H819" s="8" t="n">
        <f aca="false">(E819/1000)*(F819/1000)*(G819/1000)*7850</f>
        <v>2675.28</v>
      </c>
      <c r="I819" s="3" t="n">
        <v>1</v>
      </c>
      <c r="J819" s="9" t="n">
        <f aca="false">H819*I819</f>
        <v>2675.28</v>
      </c>
      <c r="K819" s="3"/>
    </row>
    <row r="820" customFormat="false" ht="19.5" hidden="false" customHeight="false" outlineLevel="0" collapsed="false">
      <c r="A820" s="3" t="s">
        <v>147</v>
      </c>
      <c r="B820" s="3" t="s">
        <v>148</v>
      </c>
      <c r="C820" s="3" t="s">
        <v>49</v>
      </c>
      <c r="D820" s="3" t="s">
        <v>9</v>
      </c>
      <c r="E820" s="3" t="n">
        <v>7300</v>
      </c>
      <c r="F820" s="3" t="n">
        <v>1628</v>
      </c>
      <c r="G820" s="3" t="n">
        <v>48</v>
      </c>
      <c r="H820" s="8" t="n">
        <f aca="false">(E820/1000)*(F820/1000)*(G820/1000)*7850</f>
        <v>4478.04192</v>
      </c>
      <c r="I820" s="3" t="n">
        <v>2</v>
      </c>
      <c r="J820" s="9" t="n">
        <f aca="false">H820*I820</f>
        <v>8956.08384</v>
      </c>
      <c r="K820" s="3"/>
    </row>
    <row r="821" customFormat="false" ht="19.5" hidden="false" customHeight="false" outlineLevel="0" collapsed="false">
      <c r="A821" s="3" t="s">
        <v>147</v>
      </c>
      <c r="B821" s="3" t="s">
        <v>148</v>
      </c>
      <c r="C821" s="3"/>
      <c r="D821" s="3" t="s">
        <v>9</v>
      </c>
      <c r="E821" s="3" t="n">
        <v>1560</v>
      </c>
      <c r="F821" s="3" t="n">
        <v>1200</v>
      </c>
      <c r="G821" s="3" t="n">
        <v>16</v>
      </c>
      <c r="H821" s="8" t="n">
        <f aca="false">(E821/1000)*(F821/1000)*(G821/1000)*7850</f>
        <v>235.1232</v>
      </c>
      <c r="I821" s="3" t="n">
        <v>2</v>
      </c>
      <c r="J821" s="9" t="n">
        <f aca="false">H821*I821</f>
        <v>470.2464</v>
      </c>
      <c r="K821" s="3"/>
    </row>
    <row r="822" customFormat="false" ht="19.5" hidden="false" customHeight="false" outlineLevel="0" collapsed="false">
      <c r="A822" s="3" t="s">
        <v>147</v>
      </c>
      <c r="B822" s="3" t="s">
        <v>148</v>
      </c>
      <c r="C822" s="3"/>
      <c r="D822" s="3" t="s">
        <v>9</v>
      </c>
      <c r="E822" s="3" t="n">
        <v>600</v>
      </c>
      <c r="F822" s="3" t="n">
        <v>400</v>
      </c>
      <c r="G822" s="3" t="n">
        <v>16</v>
      </c>
      <c r="H822" s="8" t="n">
        <f aca="false">(E822/1000)*(F822/1000)*(G822/1000)*7850</f>
        <v>30.144</v>
      </c>
      <c r="I822" s="3" t="n">
        <v>4</v>
      </c>
      <c r="J822" s="9" t="n">
        <f aca="false">H822*I822</f>
        <v>120.576</v>
      </c>
      <c r="K822" s="3"/>
    </row>
    <row r="823" customFormat="false" ht="19.5" hidden="false" customHeight="false" outlineLevel="0" collapsed="false">
      <c r="A823" s="3" t="s">
        <v>147</v>
      </c>
      <c r="B823" s="3" t="s">
        <v>148</v>
      </c>
      <c r="C823" s="3" t="s">
        <v>55</v>
      </c>
      <c r="D823" s="3" t="s">
        <v>9</v>
      </c>
      <c r="E823" s="3" t="n">
        <v>7901</v>
      </c>
      <c r="F823" s="3" t="n">
        <v>320</v>
      </c>
      <c r="G823" s="3" t="n">
        <v>32</v>
      </c>
      <c r="H823" s="8" t="n">
        <f aca="false">(E823/1000)*(F823/1000)*(G823/1000)*7850</f>
        <v>635.113984</v>
      </c>
      <c r="I823" s="3" t="n">
        <v>4</v>
      </c>
      <c r="J823" s="9" t="n">
        <f aca="false">H823*I823</f>
        <v>2540.455936</v>
      </c>
      <c r="K823" s="3"/>
    </row>
    <row r="824" customFormat="false" ht="19.5" hidden="false" customHeight="false" outlineLevel="0" collapsed="false">
      <c r="A824" s="3" t="s">
        <v>147</v>
      </c>
      <c r="B824" s="3" t="s">
        <v>148</v>
      </c>
      <c r="C824" s="3" t="s">
        <v>56</v>
      </c>
      <c r="D824" s="3" t="s">
        <v>9</v>
      </c>
      <c r="E824" s="3" t="n">
        <v>7101</v>
      </c>
      <c r="F824" s="3" t="n">
        <v>320</v>
      </c>
      <c r="G824" s="3" t="n">
        <v>32</v>
      </c>
      <c r="H824" s="8" t="n">
        <f aca="false">(E824/1000)*(F824/1000)*(G824/1000)*7850</f>
        <v>570.806784</v>
      </c>
      <c r="I824" s="3" t="n">
        <v>4</v>
      </c>
      <c r="J824" s="9" t="n">
        <f aca="false">H824*I824</f>
        <v>2283.227136</v>
      </c>
      <c r="K824" s="3"/>
    </row>
    <row r="825" customFormat="false" ht="19.5" hidden="false" customHeight="false" outlineLevel="0" collapsed="false">
      <c r="A825" s="3" t="s">
        <v>147</v>
      </c>
      <c r="B825" s="3" t="s">
        <v>148</v>
      </c>
      <c r="C825" s="3" t="s">
        <v>57</v>
      </c>
      <c r="D825" s="3" t="s">
        <v>9</v>
      </c>
      <c r="E825" s="3" t="n">
        <v>15002</v>
      </c>
      <c r="F825" s="3" t="n">
        <v>170</v>
      </c>
      <c r="G825" s="3" t="n">
        <v>14</v>
      </c>
      <c r="H825" s="8" t="n">
        <f aca="false">(E825/1000)*(F825/1000)*(G825/1000)*7850</f>
        <v>280.282366</v>
      </c>
      <c r="I825" s="3" t="n">
        <v>2</v>
      </c>
      <c r="J825" s="9" t="n">
        <f aca="false">H825*I825</f>
        <v>560.564732</v>
      </c>
      <c r="K825" s="3"/>
    </row>
    <row r="826" customFormat="false" ht="19.5" hidden="false" customHeight="false" outlineLevel="0" collapsed="false">
      <c r="A826" s="3" t="s">
        <v>147</v>
      </c>
      <c r="B826" s="3" t="s">
        <v>148</v>
      </c>
      <c r="C826" s="3" t="s">
        <v>58</v>
      </c>
      <c r="D826" s="3" t="s">
        <v>9</v>
      </c>
      <c r="E826" s="3" t="n">
        <v>11812</v>
      </c>
      <c r="F826" s="3" t="n">
        <v>1200</v>
      </c>
      <c r="G826" s="3" t="n">
        <v>40</v>
      </c>
      <c r="H826" s="8" t="n">
        <f aca="false">(E826/1000)*(F826/1000)*(G826/1000)*7850</f>
        <v>4450.7616</v>
      </c>
      <c r="I826" s="3" t="n">
        <v>1</v>
      </c>
      <c r="J826" s="9" t="n">
        <f aca="false">H826*I826</f>
        <v>4450.7616</v>
      </c>
      <c r="K826" s="3"/>
    </row>
    <row r="827" customFormat="false" ht="19.5" hidden="false" customHeight="false" outlineLevel="0" collapsed="false">
      <c r="A827" s="3" t="s">
        <v>147</v>
      </c>
      <c r="B827" s="3" t="s">
        <v>148</v>
      </c>
      <c r="C827" s="3" t="s">
        <v>81</v>
      </c>
      <c r="D827" s="3" t="s">
        <v>9</v>
      </c>
      <c r="E827" s="3" t="n">
        <v>12212</v>
      </c>
      <c r="F827" s="3" t="n">
        <v>1200</v>
      </c>
      <c r="G827" s="3" t="n">
        <v>40</v>
      </c>
      <c r="H827" s="8" t="n">
        <f aca="false">(E827/1000)*(F827/1000)*(G827/1000)*7850</f>
        <v>4601.4816</v>
      </c>
      <c r="I827" s="3" t="n">
        <v>1</v>
      </c>
      <c r="J827" s="9" t="n">
        <f aca="false">H827*I827</f>
        <v>4601.4816</v>
      </c>
      <c r="K827" s="3"/>
    </row>
    <row r="828" customFormat="false" ht="19.5" hidden="false" customHeight="false" outlineLevel="0" collapsed="false">
      <c r="A828" s="3" t="s">
        <v>147</v>
      </c>
      <c r="B828" s="3" t="s">
        <v>148</v>
      </c>
      <c r="C828" s="3" t="s">
        <v>59</v>
      </c>
      <c r="D828" s="3" t="s">
        <v>9</v>
      </c>
      <c r="E828" s="3" t="n">
        <v>8212</v>
      </c>
      <c r="F828" s="3" t="n">
        <v>1760</v>
      </c>
      <c r="G828" s="3" t="n">
        <v>40</v>
      </c>
      <c r="H828" s="8" t="n">
        <f aca="false">(E828/1000)*(F828/1000)*(G828/1000)*7850</f>
        <v>4538.27968</v>
      </c>
      <c r="I828" s="3" t="n">
        <v>2</v>
      </c>
      <c r="J828" s="9" t="n">
        <f aca="false">H828*I828</f>
        <v>9076.55936</v>
      </c>
      <c r="K828" s="3"/>
    </row>
    <row r="829" customFormat="false" ht="19.5" hidden="false" customHeight="false" outlineLevel="0" collapsed="false">
      <c r="A829" s="3" t="s">
        <v>147</v>
      </c>
      <c r="B829" s="3" t="s">
        <v>148</v>
      </c>
      <c r="C829" s="3" t="s">
        <v>60</v>
      </c>
      <c r="D829" s="3" t="s">
        <v>9</v>
      </c>
      <c r="E829" s="3" t="n">
        <v>8212</v>
      </c>
      <c r="F829" s="3" t="n">
        <v>320</v>
      </c>
      <c r="G829" s="3" t="n">
        <v>32</v>
      </c>
      <c r="H829" s="8" t="n">
        <f aca="false">(E829/1000)*(F829/1000)*(G829/1000)*7850</f>
        <v>660.113408</v>
      </c>
      <c r="I829" s="3" t="n">
        <v>4</v>
      </c>
      <c r="J829" s="9" t="n">
        <f aca="false">H829*I829</f>
        <v>2640.453632</v>
      </c>
      <c r="K829" s="3"/>
    </row>
    <row r="830" customFormat="false" ht="19.5" hidden="false" customHeight="false" outlineLevel="0" collapsed="false">
      <c r="A830" s="3" t="s">
        <v>147</v>
      </c>
      <c r="B830" s="3" t="s">
        <v>148</v>
      </c>
      <c r="C830" s="3" t="s">
        <v>74</v>
      </c>
      <c r="D830" s="3" t="s">
        <v>9</v>
      </c>
      <c r="E830" s="3" t="n">
        <v>10412</v>
      </c>
      <c r="F830" s="3" t="n">
        <v>320</v>
      </c>
      <c r="G830" s="3" t="n">
        <v>32</v>
      </c>
      <c r="H830" s="8" t="n">
        <f aca="false">(E830/1000)*(F830/1000)*(G830/1000)*7850</f>
        <v>836.958208</v>
      </c>
      <c r="I830" s="3" t="n">
        <v>1</v>
      </c>
      <c r="J830" s="9" t="n">
        <f aca="false">H830*I830</f>
        <v>836.958208</v>
      </c>
      <c r="K830" s="3"/>
    </row>
    <row r="831" customFormat="false" ht="19.5" hidden="false" customHeight="false" outlineLevel="0" collapsed="false">
      <c r="A831" s="3" t="s">
        <v>147</v>
      </c>
      <c r="B831" s="3" t="s">
        <v>148</v>
      </c>
      <c r="C831" s="3" t="s">
        <v>71</v>
      </c>
      <c r="D831" s="3" t="s">
        <v>9</v>
      </c>
      <c r="E831" s="3" t="n">
        <v>10812</v>
      </c>
      <c r="F831" s="3" t="n">
        <v>320</v>
      </c>
      <c r="G831" s="3" t="n">
        <v>32</v>
      </c>
      <c r="H831" s="8" t="n">
        <f aca="false">(E831/1000)*(F831/1000)*(G831/1000)*7850</f>
        <v>869.111808</v>
      </c>
      <c r="I831" s="3" t="n">
        <v>1</v>
      </c>
      <c r="J831" s="9" t="n">
        <f aca="false">H831*I831</f>
        <v>869.111808</v>
      </c>
      <c r="K831" s="3"/>
    </row>
    <row r="832" customFormat="false" ht="19.5" hidden="false" customHeight="false" outlineLevel="0" collapsed="false">
      <c r="A832" s="3" t="s">
        <v>147</v>
      </c>
      <c r="B832" s="3" t="s">
        <v>148</v>
      </c>
      <c r="C832" s="3" t="s">
        <v>82</v>
      </c>
      <c r="D832" s="3" t="s">
        <v>9</v>
      </c>
      <c r="E832" s="3" t="n">
        <v>1600</v>
      </c>
      <c r="F832" s="3" t="n">
        <v>1200</v>
      </c>
      <c r="G832" s="3" t="n">
        <v>16</v>
      </c>
      <c r="H832" s="8" t="n">
        <f aca="false">(E832/1000)*(F832/1000)*(G832/1000)*7850</f>
        <v>241.152</v>
      </c>
      <c r="I832" s="3" t="n">
        <v>3</v>
      </c>
      <c r="J832" s="9" t="n">
        <f aca="false">H832*I832</f>
        <v>723.456</v>
      </c>
      <c r="K832" s="3"/>
    </row>
    <row r="833" customFormat="false" ht="19.5" hidden="false" customHeight="false" outlineLevel="0" collapsed="false">
      <c r="A833" s="3" t="s">
        <v>147</v>
      </c>
      <c r="B833" s="3" t="s">
        <v>148</v>
      </c>
      <c r="C833" s="3" t="s">
        <v>102</v>
      </c>
      <c r="D833" s="3" t="s">
        <v>9</v>
      </c>
      <c r="E833" s="3" t="n">
        <v>5969</v>
      </c>
      <c r="F833" s="3" t="n">
        <v>1200</v>
      </c>
      <c r="G833" s="3" t="n">
        <v>40</v>
      </c>
      <c r="H833" s="8" t="n">
        <f aca="false">(E833/1000)*(F833/1000)*(G833/1000)*7850</f>
        <v>2249.1192</v>
      </c>
      <c r="I833" s="3" t="n">
        <v>1</v>
      </c>
      <c r="J833" s="9" t="n">
        <f aca="false">H833*I833</f>
        <v>2249.1192</v>
      </c>
      <c r="K833" s="3"/>
    </row>
    <row r="834" customFormat="false" ht="19.5" hidden="false" customHeight="false" outlineLevel="0" collapsed="false">
      <c r="A834" s="3" t="s">
        <v>147</v>
      </c>
      <c r="B834" s="3" t="s">
        <v>148</v>
      </c>
      <c r="C834" s="3" t="s">
        <v>102</v>
      </c>
      <c r="D834" s="3" t="s">
        <v>9</v>
      </c>
      <c r="E834" s="3" t="n">
        <v>3969</v>
      </c>
      <c r="F834" s="3" t="n">
        <v>1760</v>
      </c>
      <c r="G834" s="3" t="n">
        <v>40</v>
      </c>
      <c r="H834" s="8" t="n">
        <f aca="false">(E834/1000)*(F834/1000)*(G834/1000)*7850</f>
        <v>2193.42816</v>
      </c>
      <c r="I834" s="3" t="n">
        <v>2</v>
      </c>
      <c r="J834" s="9" t="n">
        <f aca="false">H834*I834</f>
        <v>4386.85632</v>
      </c>
      <c r="K834" s="3"/>
    </row>
    <row r="835" customFormat="false" ht="19.5" hidden="false" customHeight="false" outlineLevel="0" collapsed="false">
      <c r="A835" s="3" t="s">
        <v>147</v>
      </c>
      <c r="B835" s="3" t="s">
        <v>148</v>
      </c>
      <c r="C835" s="3" t="s">
        <v>102</v>
      </c>
      <c r="D835" s="3" t="s">
        <v>9</v>
      </c>
      <c r="E835" s="3" t="n">
        <v>5269</v>
      </c>
      <c r="F835" s="3" t="n">
        <v>320</v>
      </c>
      <c r="G835" s="3" t="n">
        <v>32</v>
      </c>
      <c r="H835" s="8" t="n">
        <f aca="false">(E835/1000)*(F835/1000)*(G835/1000)*7850</f>
        <v>423.543296</v>
      </c>
      <c r="I835" s="3" t="n">
        <v>1</v>
      </c>
      <c r="J835" s="9" t="n">
        <f aca="false">H835*I835</f>
        <v>423.543296</v>
      </c>
      <c r="K835" s="3"/>
    </row>
    <row r="836" customFormat="false" ht="19.5" hidden="false" customHeight="false" outlineLevel="0" collapsed="false">
      <c r="A836" s="3" t="s">
        <v>147</v>
      </c>
      <c r="B836" s="3" t="s">
        <v>148</v>
      </c>
      <c r="C836" s="3" t="s">
        <v>102</v>
      </c>
      <c r="D836" s="3" t="s">
        <v>9</v>
      </c>
      <c r="E836" s="3" t="n">
        <v>4053</v>
      </c>
      <c r="F836" s="3" t="n">
        <v>1760</v>
      </c>
      <c r="G836" s="3" t="n">
        <v>40</v>
      </c>
      <c r="H836" s="8" t="n">
        <f aca="false">(E836/1000)*(F836/1000)*(G836/1000)*7850</f>
        <v>2239.84992</v>
      </c>
      <c r="I836" s="3" t="n">
        <v>2</v>
      </c>
      <c r="J836" s="9" t="n">
        <f aca="false">H836*I836</f>
        <v>4479.69984</v>
      </c>
      <c r="K836" s="3"/>
    </row>
    <row r="837" customFormat="false" ht="19.5" hidden="false" customHeight="false" outlineLevel="0" collapsed="false">
      <c r="A837" s="3" t="s">
        <v>147</v>
      </c>
      <c r="B837" s="3" t="s">
        <v>148</v>
      </c>
      <c r="C837" s="3" t="s">
        <v>102</v>
      </c>
      <c r="D837" s="3" t="s">
        <v>9</v>
      </c>
      <c r="E837" s="3" t="n">
        <v>4053</v>
      </c>
      <c r="F837" s="3" t="n">
        <v>320</v>
      </c>
      <c r="G837" s="3" t="n">
        <v>32</v>
      </c>
      <c r="H837" s="8" t="n">
        <f aca="false">(E837/1000)*(F837/1000)*(G837/1000)*7850</f>
        <v>325.796352</v>
      </c>
      <c r="I837" s="3" t="n">
        <v>4</v>
      </c>
      <c r="J837" s="9" t="n">
        <f aca="false">H837*I837</f>
        <v>1303.185408</v>
      </c>
      <c r="K837" s="3"/>
    </row>
    <row r="838" customFormat="false" ht="19.5" hidden="false" customHeight="false" outlineLevel="0" collapsed="false">
      <c r="A838" s="3" t="s">
        <v>147</v>
      </c>
      <c r="B838" s="3" t="s">
        <v>148</v>
      </c>
      <c r="C838" s="3" t="s">
        <v>102</v>
      </c>
      <c r="D838" s="3" t="s">
        <v>9</v>
      </c>
      <c r="E838" s="3" t="n">
        <v>5153</v>
      </c>
      <c r="F838" s="3" t="n">
        <v>320</v>
      </c>
      <c r="G838" s="3" t="n">
        <v>32</v>
      </c>
      <c r="H838" s="8" t="n">
        <f aca="false">(E838/1000)*(F838/1000)*(G838/1000)*7850</f>
        <v>414.218752</v>
      </c>
      <c r="I838" s="3" t="n">
        <v>1</v>
      </c>
      <c r="J838" s="9" t="n">
        <f aca="false">H838*I838</f>
        <v>414.218752</v>
      </c>
      <c r="K838" s="3"/>
    </row>
    <row r="839" customFormat="false" ht="19.5" hidden="false" customHeight="false" outlineLevel="0" collapsed="false">
      <c r="A839" s="3" t="s">
        <v>147</v>
      </c>
      <c r="B839" s="3" t="s">
        <v>148</v>
      </c>
      <c r="C839" s="3" t="s">
        <v>102</v>
      </c>
      <c r="D839" s="3" t="s">
        <v>9</v>
      </c>
      <c r="E839" s="3" t="n">
        <v>5353</v>
      </c>
      <c r="F839" s="3" t="n">
        <v>320</v>
      </c>
      <c r="G839" s="3" t="n">
        <v>32</v>
      </c>
      <c r="H839" s="8" t="n">
        <f aca="false">(E839/1000)*(F839/1000)*(G839/1000)*7850</f>
        <v>430.295552</v>
      </c>
      <c r="I839" s="3" t="n">
        <v>1</v>
      </c>
      <c r="J839" s="9" t="n">
        <f aca="false">H839*I839</f>
        <v>430.295552</v>
      </c>
      <c r="K839" s="3"/>
    </row>
    <row r="840" customFormat="false" ht="19.5" hidden="false" customHeight="false" outlineLevel="0" collapsed="false">
      <c r="A840" s="3" t="s">
        <v>147</v>
      </c>
      <c r="B840" s="3" t="s">
        <v>148</v>
      </c>
      <c r="C840" s="3" t="s">
        <v>102</v>
      </c>
      <c r="D840" s="3" t="s">
        <v>9</v>
      </c>
      <c r="E840" s="3" t="n">
        <v>1600</v>
      </c>
      <c r="F840" s="3" t="n">
        <v>1200</v>
      </c>
      <c r="G840" s="3" t="n">
        <v>16</v>
      </c>
      <c r="H840" s="8" t="n">
        <f aca="false">(E840/1000)*(F840/1000)*(G840/1000)*7850</f>
        <v>241.152</v>
      </c>
      <c r="I840" s="3" t="n">
        <v>2</v>
      </c>
      <c r="J840" s="9" t="n">
        <f aca="false">H840*I840</f>
        <v>482.304</v>
      </c>
      <c r="K840" s="3"/>
    </row>
    <row r="841" customFormat="false" ht="19.5" hidden="false" customHeight="false" outlineLevel="0" collapsed="false">
      <c r="A841" s="3" t="s">
        <v>147</v>
      </c>
      <c r="B841" s="3" t="s">
        <v>148</v>
      </c>
      <c r="C841" s="3" t="s">
        <v>102</v>
      </c>
      <c r="D841" s="3" t="s">
        <v>9</v>
      </c>
      <c r="E841" s="3" t="n">
        <v>2100</v>
      </c>
      <c r="F841" s="3" t="n">
        <v>320</v>
      </c>
      <c r="G841" s="3" t="n">
        <v>32</v>
      </c>
      <c r="H841" s="8" t="n">
        <f aca="false">(E841/1000)*(F841/1000)*(G841/1000)*7850</f>
        <v>168.8064</v>
      </c>
      <c r="I841" s="3" t="n">
        <v>8</v>
      </c>
      <c r="J841" s="9" t="n">
        <f aca="false">H841*I841</f>
        <v>1350.4512</v>
      </c>
      <c r="K841" s="3"/>
    </row>
    <row r="842" customFormat="false" ht="19.5" hidden="false" customHeight="false" outlineLevel="0" collapsed="false">
      <c r="A842" s="3" t="s">
        <v>147</v>
      </c>
      <c r="B842" s="3" t="s">
        <v>148</v>
      </c>
      <c r="C842" s="3" t="s">
        <v>102</v>
      </c>
      <c r="D842" s="3" t="s">
        <v>9</v>
      </c>
      <c r="E842" s="3" t="n">
        <v>2000</v>
      </c>
      <c r="F842" s="3" t="n">
        <v>320</v>
      </c>
      <c r="G842" s="3" t="n">
        <v>32</v>
      </c>
      <c r="H842" s="8" t="n">
        <f aca="false">(E842/1000)*(F842/1000)*(G842/1000)*7850</f>
        <v>160.768</v>
      </c>
      <c r="I842" s="3" t="n">
        <v>8</v>
      </c>
      <c r="J842" s="9" t="n">
        <f aca="false">H842*I842</f>
        <v>1286.144</v>
      </c>
      <c r="K842" s="3"/>
    </row>
    <row r="843" customFormat="false" ht="19.5" hidden="false" customHeight="false" outlineLevel="0" collapsed="false">
      <c r="A843" s="3" t="s">
        <v>147</v>
      </c>
      <c r="B843" s="3" t="s">
        <v>148</v>
      </c>
      <c r="C843" s="3" t="s">
        <v>102</v>
      </c>
      <c r="D843" s="3" t="s">
        <v>8</v>
      </c>
      <c r="E843" s="3" t="n">
        <v>1560</v>
      </c>
      <c r="F843" s="3" t="n">
        <v>606</v>
      </c>
      <c r="G843" s="3" t="n">
        <v>14</v>
      </c>
      <c r="H843" s="8" t="n">
        <f aca="false">(E843/1000)*(F843/1000)*(G843/1000)*7850</f>
        <v>103.895064</v>
      </c>
      <c r="I843" s="3" t="n">
        <v>3</v>
      </c>
      <c r="J843" s="9" t="n">
        <f aca="false">H843*I843</f>
        <v>311.685192</v>
      </c>
      <c r="K843" s="3"/>
    </row>
    <row r="844" customFormat="false" ht="19.5" hidden="false" customHeight="false" outlineLevel="0" collapsed="false">
      <c r="A844" s="3" t="s">
        <v>147</v>
      </c>
      <c r="B844" s="3" t="s">
        <v>148</v>
      </c>
      <c r="C844" s="3" t="s">
        <v>102</v>
      </c>
      <c r="D844" s="3" t="s">
        <v>8</v>
      </c>
      <c r="E844" s="3" t="n">
        <v>1560</v>
      </c>
      <c r="F844" s="3" t="n">
        <v>602</v>
      </c>
      <c r="G844" s="3" t="n">
        <v>14</v>
      </c>
      <c r="H844" s="8" t="n">
        <f aca="false">(E844/1000)*(F844/1000)*(G844/1000)*7850</f>
        <v>103.209288</v>
      </c>
      <c r="I844" s="3" t="n">
        <v>2</v>
      </c>
      <c r="J844" s="9" t="n">
        <f aca="false">H844*I844</f>
        <v>206.418576</v>
      </c>
      <c r="K844" s="3"/>
    </row>
    <row r="845" customFormat="false" ht="19.5" hidden="false" customHeight="false" outlineLevel="0" collapsed="false">
      <c r="A845" s="3" t="s">
        <v>147</v>
      </c>
      <c r="B845" s="3" t="s">
        <v>148</v>
      </c>
      <c r="C845" s="3" t="s">
        <v>102</v>
      </c>
      <c r="D845" s="3" t="s">
        <v>8</v>
      </c>
      <c r="E845" s="3" t="n">
        <v>470</v>
      </c>
      <c r="F845" s="3" t="n">
        <v>1000</v>
      </c>
      <c r="G845" s="3" t="n">
        <v>24</v>
      </c>
      <c r="H845" s="8" t="n">
        <f aca="false">(E845/1000)*(F845/1000)*(G845/1000)*7850</f>
        <v>88.548</v>
      </c>
      <c r="I845" s="3" t="n">
        <v>3</v>
      </c>
      <c r="J845" s="9" t="n">
        <f aca="false">H845*I845</f>
        <v>265.644</v>
      </c>
      <c r="K845" s="3"/>
    </row>
    <row r="846" customFormat="false" ht="19.5" hidden="false" customHeight="false" outlineLevel="0" collapsed="false">
      <c r="A846" s="3" t="s">
        <v>147</v>
      </c>
      <c r="B846" s="3" t="s">
        <v>148</v>
      </c>
      <c r="C846" s="3" t="s">
        <v>102</v>
      </c>
      <c r="D846" s="3" t="s">
        <v>8</v>
      </c>
      <c r="E846" s="3" t="n">
        <v>1450</v>
      </c>
      <c r="F846" s="3" t="n">
        <v>606</v>
      </c>
      <c r="G846" s="3" t="n">
        <v>14</v>
      </c>
      <c r="H846" s="8" t="n">
        <f aca="false">(E846/1000)*(F846/1000)*(G846/1000)*7850</f>
        <v>96.56913</v>
      </c>
      <c r="I846" s="3" t="n">
        <v>2</v>
      </c>
      <c r="J846" s="9" t="n">
        <f aca="false">H846*I846</f>
        <v>193.13826</v>
      </c>
      <c r="K846" s="3"/>
    </row>
    <row r="847" customFormat="false" ht="19.5" hidden="false" customHeight="false" outlineLevel="0" collapsed="false">
      <c r="A847" s="3" t="s">
        <v>147</v>
      </c>
      <c r="B847" s="3" t="s">
        <v>148</v>
      </c>
      <c r="C847" s="3" t="s">
        <v>102</v>
      </c>
      <c r="D847" s="3" t="s">
        <v>9</v>
      </c>
      <c r="E847" s="3" t="n">
        <v>1450</v>
      </c>
      <c r="F847" s="3" t="n">
        <v>1200</v>
      </c>
      <c r="G847" s="3" t="n">
        <v>32</v>
      </c>
      <c r="H847" s="8" t="n">
        <f aca="false">(E847/1000)*(F847/1000)*(G847/1000)*7850</f>
        <v>437.088</v>
      </c>
      <c r="I847" s="3" t="n">
        <v>5</v>
      </c>
      <c r="J847" s="9" t="n">
        <f aca="false">H847*I847</f>
        <v>2185.44</v>
      </c>
      <c r="K847" s="3"/>
    </row>
    <row r="848" customFormat="false" ht="19.5" hidden="false" customHeight="false" outlineLevel="0" collapsed="false">
      <c r="A848" s="3" t="s">
        <v>147</v>
      </c>
      <c r="B848" s="3" t="s">
        <v>148</v>
      </c>
      <c r="C848" s="3" t="s">
        <v>102</v>
      </c>
      <c r="D848" s="3" t="s">
        <v>9</v>
      </c>
      <c r="E848" s="3" t="n">
        <v>1450</v>
      </c>
      <c r="F848" s="3" t="n">
        <v>602</v>
      </c>
      <c r="G848" s="3" t="n">
        <v>60</v>
      </c>
      <c r="H848" s="8" t="n">
        <f aca="false">(E848/1000)*(F848/1000)*(G848/1000)*7850</f>
        <v>411.1359</v>
      </c>
      <c r="I848" s="3" t="n">
        <v>3</v>
      </c>
      <c r="J848" s="9" t="n">
        <f aca="false">H848*I848</f>
        <v>1233.4077</v>
      </c>
      <c r="K848" s="3"/>
    </row>
    <row r="849" customFormat="false" ht="19.5" hidden="false" customHeight="false" outlineLevel="0" collapsed="false">
      <c r="A849" s="3" t="s">
        <v>147</v>
      </c>
      <c r="B849" s="3" t="s">
        <v>148</v>
      </c>
      <c r="C849" s="3" t="s">
        <v>102</v>
      </c>
      <c r="D849" s="3" t="s">
        <v>9</v>
      </c>
      <c r="E849" s="3" t="n">
        <v>2800</v>
      </c>
      <c r="F849" s="3" t="n">
        <v>2650</v>
      </c>
      <c r="G849" s="3" t="n">
        <v>100</v>
      </c>
      <c r="H849" s="8" t="n">
        <f aca="false">(E849/1000)*(F849/1000)*(G849/1000)*7850</f>
        <v>5824.7</v>
      </c>
      <c r="I849" s="3" t="n">
        <v>1</v>
      </c>
      <c r="J849" s="9" t="n">
        <f aca="false">H849*I849</f>
        <v>5824.7</v>
      </c>
      <c r="K849" s="3"/>
    </row>
    <row r="850" customFormat="false" ht="19.5" hidden="false" customHeight="false" outlineLevel="0" collapsed="false">
      <c r="A850" s="3" t="s">
        <v>149</v>
      </c>
      <c r="B850" s="3" t="s">
        <v>150</v>
      </c>
      <c r="C850" s="3" t="s">
        <v>44</v>
      </c>
      <c r="D850" s="3" t="s">
        <v>9</v>
      </c>
      <c r="E850" s="3" t="n">
        <v>11850</v>
      </c>
      <c r="F850" s="3" t="n">
        <v>1000</v>
      </c>
      <c r="G850" s="3" t="n">
        <v>40</v>
      </c>
      <c r="H850" s="8" t="n">
        <f aca="false">(E850/1000)*(F850/1000)*(G850/1000)*7850</f>
        <v>3720.9</v>
      </c>
      <c r="I850" s="3" t="n">
        <v>1</v>
      </c>
      <c r="J850" s="9" t="n">
        <f aca="false">H850*I850</f>
        <v>3720.9</v>
      </c>
      <c r="K850" s="3"/>
    </row>
    <row r="851" customFormat="false" ht="19.5" hidden="false" customHeight="false" outlineLevel="0" collapsed="false">
      <c r="A851" s="3" t="s">
        <v>149</v>
      </c>
      <c r="B851" s="3" t="s">
        <v>150</v>
      </c>
      <c r="C851" s="3" t="s">
        <v>45</v>
      </c>
      <c r="D851" s="3" t="s">
        <v>9</v>
      </c>
      <c r="E851" s="3" t="n">
        <v>10390</v>
      </c>
      <c r="F851" s="3" t="n">
        <v>1000</v>
      </c>
      <c r="G851" s="3" t="n">
        <v>40</v>
      </c>
      <c r="H851" s="8" t="n">
        <f aca="false">(E851/1000)*(F851/1000)*(G851/1000)*7850</f>
        <v>3262.46</v>
      </c>
      <c r="I851" s="3" t="n">
        <v>1</v>
      </c>
      <c r="J851" s="9" t="n">
        <f aca="false">H851*I851</f>
        <v>3262.46</v>
      </c>
      <c r="K851" s="3"/>
    </row>
    <row r="852" customFormat="false" ht="19.5" hidden="false" customHeight="false" outlineLevel="0" collapsed="false">
      <c r="A852" s="3" t="s">
        <v>149</v>
      </c>
      <c r="B852" s="3" t="s">
        <v>150</v>
      </c>
      <c r="C852" s="3" t="s">
        <v>45</v>
      </c>
      <c r="D852" s="3" t="s">
        <v>9</v>
      </c>
      <c r="E852" s="3" t="n">
        <v>7900</v>
      </c>
      <c r="F852" s="3" t="n">
        <v>1200</v>
      </c>
      <c r="G852" s="3" t="n">
        <v>40</v>
      </c>
      <c r="H852" s="8" t="n">
        <f aca="false">(E852/1000)*(F852/1000)*(G852/1000)*7850</f>
        <v>2976.72</v>
      </c>
      <c r="I852" s="3" t="n">
        <v>1</v>
      </c>
      <c r="J852" s="9" t="n">
        <f aca="false">H852*I852</f>
        <v>2976.72</v>
      </c>
      <c r="K852" s="3"/>
    </row>
    <row r="853" customFormat="false" ht="19.5" hidden="false" customHeight="false" outlineLevel="0" collapsed="false">
      <c r="A853" s="3" t="s">
        <v>149</v>
      </c>
      <c r="B853" s="3" t="s">
        <v>150</v>
      </c>
      <c r="C853" s="3" t="s">
        <v>47</v>
      </c>
      <c r="D853" s="3" t="s">
        <v>9</v>
      </c>
      <c r="E853" s="3" t="n">
        <v>7100</v>
      </c>
      <c r="F853" s="3" t="n">
        <v>1200</v>
      </c>
      <c r="G853" s="3" t="n">
        <v>40</v>
      </c>
      <c r="H853" s="8" t="n">
        <f aca="false">(E853/1000)*(F853/1000)*(G853/1000)*7850</f>
        <v>2675.28</v>
      </c>
      <c r="I853" s="3" t="n">
        <v>1</v>
      </c>
      <c r="J853" s="9" t="n">
        <f aca="false">H853*I853</f>
        <v>2675.28</v>
      </c>
      <c r="K853" s="3"/>
    </row>
    <row r="854" customFormat="false" ht="19.5" hidden="false" customHeight="false" outlineLevel="0" collapsed="false">
      <c r="A854" s="3" t="s">
        <v>149</v>
      </c>
      <c r="B854" s="3" t="s">
        <v>150</v>
      </c>
      <c r="C854" s="3" t="s">
        <v>47</v>
      </c>
      <c r="D854" s="3" t="s">
        <v>9</v>
      </c>
      <c r="E854" s="3" t="n">
        <v>22190</v>
      </c>
      <c r="F854" s="3" t="n">
        <v>1000</v>
      </c>
      <c r="G854" s="3" t="n">
        <v>44</v>
      </c>
      <c r="H854" s="8" t="n">
        <f aca="false">(E854/1000)*(F854/1000)*(G854/1000)*7850</f>
        <v>7664.426</v>
      </c>
      <c r="I854" s="3" t="n">
        <v>2</v>
      </c>
      <c r="J854" s="9" t="n">
        <f aca="false">H854*I854</f>
        <v>15328.852</v>
      </c>
      <c r="K854" s="3"/>
    </row>
    <row r="855" customFormat="false" ht="19.5" hidden="false" customHeight="false" outlineLevel="0" collapsed="false">
      <c r="A855" s="3" t="s">
        <v>149</v>
      </c>
      <c r="B855" s="3" t="s">
        <v>150</v>
      </c>
      <c r="C855" s="3" t="s">
        <v>49</v>
      </c>
      <c r="D855" s="3" t="s">
        <v>9</v>
      </c>
      <c r="E855" s="3" t="n">
        <v>7300</v>
      </c>
      <c r="F855" s="3" t="n">
        <v>1628</v>
      </c>
      <c r="G855" s="3" t="n">
        <v>48</v>
      </c>
      <c r="H855" s="8" t="n">
        <f aca="false">(E855/1000)*(F855/1000)*(G855/1000)*7850</f>
        <v>4478.04192</v>
      </c>
      <c r="I855" s="3" t="n">
        <v>2</v>
      </c>
      <c r="J855" s="9" t="n">
        <f aca="false">H855*I855</f>
        <v>8956.08384</v>
      </c>
      <c r="K855" s="3"/>
    </row>
    <row r="856" customFormat="false" ht="19.5" hidden="false" customHeight="false" outlineLevel="0" collapsed="false">
      <c r="A856" s="3" t="s">
        <v>149</v>
      </c>
      <c r="B856" s="3" t="s">
        <v>150</v>
      </c>
      <c r="C856" s="3" t="s">
        <v>51</v>
      </c>
      <c r="D856" s="3" t="s">
        <v>8</v>
      </c>
      <c r="E856" s="3" t="n">
        <v>7101</v>
      </c>
      <c r="F856" s="3" t="n">
        <v>1850</v>
      </c>
      <c r="G856" s="3" t="n">
        <v>24</v>
      </c>
      <c r="H856" s="8" t="n">
        <f aca="false">(E856/1000)*(F856/1000)*(G856/1000)*7850</f>
        <v>2474.98254</v>
      </c>
      <c r="I856" s="3" t="n">
        <v>1</v>
      </c>
      <c r="J856" s="9" t="n">
        <f aca="false">H856*I856</f>
        <v>2474.98254</v>
      </c>
      <c r="K856" s="3"/>
    </row>
    <row r="857" customFormat="false" ht="19.5" hidden="false" customHeight="false" outlineLevel="0" collapsed="false">
      <c r="A857" s="3" t="s">
        <v>149</v>
      </c>
      <c r="B857" s="3" t="s">
        <v>150</v>
      </c>
      <c r="C857" s="3" t="s">
        <v>51</v>
      </c>
      <c r="D857" s="3" t="s">
        <v>9</v>
      </c>
      <c r="E857" s="3" t="n">
        <v>12530</v>
      </c>
      <c r="F857" s="3" t="n">
        <v>1000</v>
      </c>
      <c r="G857" s="3" t="n">
        <v>32</v>
      </c>
      <c r="H857" s="8" t="n">
        <f aca="false">(E857/1000)*(F857/1000)*(G857/1000)*7850</f>
        <v>3147.536</v>
      </c>
      <c r="I857" s="3" t="n">
        <v>1</v>
      </c>
      <c r="J857" s="9" t="n">
        <f aca="false">H857*I857</f>
        <v>3147.536</v>
      </c>
      <c r="K857" s="3"/>
    </row>
    <row r="858" customFormat="false" ht="19.5" hidden="false" customHeight="false" outlineLevel="0" collapsed="false">
      <c r="A858" s="3" t="s">
        <v>149</v>
      </c>
      <c r="B858" s="3" t="s">
        <v>150</v>
      </c>
      <c r="C858" s="3" t="s">
        <v>53</v>
      </c>
      <c r="D858" s="3" t="s">
        <v>8</v>
      </c>
      <c r="E858" s="3" t="n">
        <v>9710</v>
      </c>
      <c r="F858" s="3" t="n">
        <v>1000</v>
      </c>
      <c r="G858" s="3" t="n">
        <v>24</v>
      </c>
      <c r="H858" s="8" t="n">
        <f aca="false">(E858/1000)*(F858/1000)*(G858/1000)*7850</f>
        <v>1829.364</v>
      </c>
      <c r="I858" s="3" t="n">
        <v>1</v>
      </c>
      <c r="J858" s="9" t="n">
        <f aca="false">H858*I858</f>
        <v>1829.364</v>
      </c>
      <c r="K858" s="3"/>
    </row>
    <row r="859" customFormat="false" ht="19.5" hidden="false" customHeight="false" outlineLevel="0" collapsed="false">
      <c r="A859" s="3" t="s">
        <v>149</v>
      </c>
      <c r="B859" s="3" t="s">
        <v>150</v>
      </c>
      <c r="C859" s="3" t="s">
        <v>53</v>
      </c>
      <c r="D859" s="3" t="s">
        <v>9</v>
      </c>
      <c r="E859" s="3" t="n">
        <v>22540</v>
      </c>
      <c r="F859" s="3" t="n">
        <v>1000</v>
      </c>
      <c r="G859" s="3" t="n">
        <v>44</v>
      </c>
      <c r="H859" s="8" t="n">
        <f aca="false">(E859/1000)*(F859/1000)*(G859/1000)*7850</f>
        <v>7785.316</v>
      </c>
      <c r="I859" s="3" t="n">
        <v>2</v>
      </c>
      <c r="J859" s="9" t="n">
        <f aca="false">H859*I859</f>
        <v>15570.632</v>
      </c>
      <c r="K859" s="3"/>
    </row>
    <row r="860" customFormat="false" ht="19.5" hidden="false" customHeight="false" outlineLevel="0" collapsed="false">
      <c r="A860" s="3" t="s">
        <v>149</v>
      </c>
      <c r="B860" s="3" t="s">
        <v>150</v>
      </c>
      <c r="C860" s="3" t="s">
        <v>54</v>
      </c>
      <c r="D860" s="3" t="s">
        <v>8</v>
      </c>
      <c r="E860" s="3" t="n">
        <v>7301</v>
      </c>
      <c r="F860" s="3" t="n">
        <v>1474</v>
      </c>
      <c r="G860" s="3" t="n">
        <v>32</v>
      </c>
      <c r="H860" s="8" t="n">
        <f aca="false">(E860/1000)*(F860/1000)*(G860/1000)*7850</f>
        <v>2703.3325088</v>
      </c>
      <c r="I860" s="3" t="n">
        <v>2</v>
      </c>
      <c r="J860" s="9" t="n">
        <f aca="false">H860*I860</f>
        <v>5406.6650176</v>
      </c>
      <c r="K860" s="3"/>
    </row>
    <row r="861" customFormat="false" ht="19.5" hidden="false" customHeight="false" outlineLevel="0" collapsed="false">
      <c r="A861" s="3" t="s">
        <v>149</v>
      </c>
      <c r="B861" s="3" t="s">
        <v>150</v>
      </c>
      <c r="C861" s="3" t="s">
        <v>56</v>
      </c>
      <c r="D861" s="3" t="s">
        <v>8</v>
      </c>
      <c r="E861" s="3" t="n">
        <v>7101</v>
      </c>
      <c r="F861" s="3" t="n">
        <v>320</v>
      </c>
      <c r="G861" s="3" t="n">
        <v>32</v>
      </c>
      <c r="H861" s="8" t="n">
        <f aca="false">(E861/1000)*(F861/1000)*(G861/1000)*7850</f>
        <v>570.806784</v>
      </c>
      <c r="I861" s="3" t="n">
        <v>4</v>
      </c>
      <c r="J861" s="9" t="n">
        <f aca="false">H861*I861</f>
        <v>2283.227136</v>
      </c>
      <c r="K861" s="3"/>
    </row>
    <row r="862" customFormat="false" ht="19.5" hidden="false" customHeight="false" outlineLevel="0" collapsed="false">
      <c r="A862" s="3" t="s">
        <v>149</v>
      </c>
      <c r="B862" s="3" t="s">
        <v>150</v>
      </c>
      <c r="C862" s="3" t="s">
        <v>56</v>
      </c>
      <c r="D862" s="3" t="s">
        <v>8</v>
      </c>
      <c r="E862" s="3" t="n">
        <v>15002</v>
      </c>
      <c r="F862" s="3" t="n">
        <v>170</v>
      </c>
      <c r="G862" s="3" t="n">
        <v>14</v>
      </c>
      <c r="H862" s="8" t="n">
        <f aca="false">(E862/1000)*(F862/1000)*(G862/1000)*7850</f>
        <v>280.282366</v>
      </c>
      <c r="I862" s="3" t="n">
        <v>1</v>
      </c>
      <c r="J862" s="9" t="n">
        <f aca="false">H862*I862</f>
        <v>280.282366</v>
      </c>
      <c r="K862" s="3"/>
    </row>
    <row r="863" customFormat="false" ht="19.5" hidden="false" customHeight="false" outlineLevel="0" collapsed="false">
      <c r="A863" s="3" t="s">
        <v>149</v>
      </c>
      <c r="B863" s="3" t="s">
        <v>150</v>
      </c>
      <c r="C863" s="3" t="s">
        <v>56</v>
      </c>
      <c r="D863" s="3" t="s">
        <v>8</v>
      </c>
      <c r="E863" s="3" t="n">
        <v>11850</v>
      </c>
      <c r="F863" s="3" t="n">
        <v>1200</v>
      </c>
      <c r="G863" s="3" t="n">
        <v>40</v>
      </c>
      <c r="H863" s="8" t="n">
        <f aca="false">(E863/1000)*(F863/1000)*(G863/1000)*7850</f>
        <v>4465.08</v>
      </c>
      <c r="I863" s="3" t="n">
        <v>1</v>
      </c>
      <c r="J863" s="9" t="n">
        <f aca="false">H863*I863</f>
        <v>4465.08</v>
      </c>
      <c r="K863" s="3"/>
    </row>
    <row r="864" customFormat="false" ht="19.5" hidden="false" customHeight="false" outlineLevel="0" collapsed="false">
      <c r="A864" s="3" t="s">
        <v>149</v>
      </c>
      <c r="B864" s="3" t="s">
        <v>150</v>
      </c>
      <c r="C864" s="3" t="s">
        <v>81</v>
      </c>
      <c r="D864" s="3" t="s">
        <v>8</v>
      </c>
      <c r="E864" s="3" t="n">
        <v>12250</v>
      </c>
      <c r="F864" s="3" t="n">
        <v>1200</v>
      </c>
      <c r="G864" s="3" t="n">
        <v>40</v>
      </c>
      <c r="H864" s="8" t="n">
        <f aca="false">(E864/1000)*(F864/1000)*(G864/1000)*7850</f>
        <v>4615.8</v>
      </c>
      <c r="I864" s="3" t="n">
        <v>1</v>
      </c>
      <c r="J864" s="9" t="n">
        <f aca="false">H864*I864</f>
        <v>4615.8</v>
      </c>
      <c r="K864" s="3"/>
    </row>
    <row r="865" customFormat="false" ht="19.5" hidden="false" customHeight="false" outlineLevel="0" collapsed="false">
      <c r="A865" s="3" t="s">
        <v>149</v>
      </c>
      <c r="B865" s="3" t="s">
        <v>150</v>
      </c>
      <c r="C865" s="3" t="s">
        <v>59</v>
      </c>
      <c r="D865" s="3" t="s">
        <v>8</v>
      </c>
      <c r="E865" s="3" t="n">
        <v>8050</v>
      </c>
      <c r="F865" s="3" t="n">
        <v>1760</v>
      </c>
      <c r="G865" s="3" t="n">
        <v>40</v>
      </c>
      <c r="H865" s="8" t="n">
        <f aca="false">(E865/1000)*(F865/1000)*(G865/1000)*7850</f>
        <v>4448.752</v>
      </c>
      <c r="I865" s="3" t="n">
        <v>2</v>
      </c>
      <c r="J865" s="9" t="n">
        <f aca="false">H865*I865</f>
        <v>8897.504</v>
      </c>
      <c r="K865" s="3"/>
    </row>
    <row r="866" customFormat="false" ht="19.5" hidden="false" customHeight="false" outlineLevel="0" collapsed="false">
      <c r="A866" s="3" t="s">
        <v>149</v>
      </c>
      <c r="B866" s="3" t="s">
        <v>150</v>
      </c>
      <c r="C866" s="3" t="s">
        <v>59</v>
      </c>
      <c r="D866" s="3" t="s">
        <v>8</v>
      </c>
      <c r="E866" s="3" t="n">
        <v>10450</v>
      </c>
      <c r="F866" s="3" t="n">
        <v>320</v>
      </c>
      <c r="G866" s="3" t="n">
        <v>32</v>
      </c>
      <c r="H866" s="8" t="n">
        <f aca="false">(E866/1000)*(F866/1000)*(G866/1000)*7850</f>
        <v>840.0128</v>
      </c>
      <c r="I866" s="3" t="n">
        <v>1</v>
      </c>
      <c r="J866" s="9" t="n">
        <f aca="false">H866*I866</f>
        <v>840.0128</v>
      </c>
      <c r="K866" s="3"/>
    </row>
    <row r="867" customFormat="false" ht="19.5" hidden="false" customHeight="false" outlineLevel="0" collapsed="false">
      <c r="A867" s="3" t="s">
        <v>149</v>
      </c>
      <c r="B867" s="3" t="s">
        <v>150</v>
      </c>
      <c r="C867" s="3" t="s">
        <v>59</v>
      </c>
      <c r="D867" s="3" t="s">
        <v>8</v>
      </c>
      <c r="E867" s="3" t="n">
        <v>10850</v>
      </c>
      <c r="F867" s="3" t="n">
        <v>320</v>
      </c>
      <c r="G867" s="3" t="n">
        <v>32</v>
      </c>
      <c r="H867" s="8" t="n">
        <f aca="false">(E867/1000)*(F867/1000)*(G867/1000)*7850</f>
        <v>872.1664</v>
      </c>
      <c r="I867" s="3" t="n">
        <v>1</v>
      </c>
      <c r="J867" s="9" t="n">
        <f aca="false">H867*I867</f>
        <v>872.1664</v>
      </c>
      <c r="K867" s="3"/>
    </row>
    <row r="868" customFormat="false" ht="19.5" hidden="false" customHeight="false" outlineLevel="0" collapsed="false">
      <c r="A868" s="3" t="s">
        <v>149</v>
      </c>
      <c r="B868" s="3" t="s">
        <v>150</v>
      </c>
      <c r="C868" s="3" t="s">
        <v>59</v>
      </c>
      <c r="D868" s="3" t="s">
        <v>8</v>
      </c>
      <c r="E868" s="3" t="n">
        <v>1600</v>
      </c>
      <c r="F868" s="3" t="n">
        <v>1200</v>
      </c>
      <c r="G868" s="3" t="n">
        <v>16</v>
      </c>
      <c r="H868" s="8" t="n">
        <f aca="false">(E868/1000)*(F868/1000)*(G868/1000)*7850</f>
        <v>241.152</v>
      </c>
      <c r="I868" s="3" t="n">
        <v>3</v>
      </c>
      <c r="J868" s="9" t="n">
        <f aca="false">H868*I868</f>
        <v>723.456</v>
      </c>
      <c r="K868" s="3"/>
    </row>
    <row r="869" customFormat="false" ht="19.5" hidden="false" customHeight="false" outlineLevel="0" collapsed="false">
      <c r="A869" s="3" t="s">
        <v>149</v>
      </c>
      <c r="B869" s="3" t="s">
        <v>150</v>
      </c>
      <c r="C869" s="3" t="s">
        <v>59</v>
      </c>
      <c r="D869" s="3" t="s">
        <v>8</v>
      </c>
      <c r="E869" s="3" t="n">
        <v>5711</v>
      </c>
      <c r="F869" s="3" t="n">
        <v>1200</v>
      </c>
      <c r="G869" s="3" t="n">
        <v>36</v>
      </c>
      <c r="H869" s="8" t="n">
        <f aca="false">(E869/1000)*(F869/1000)*(G869/1000)*7850</f>
        <v>1936.71432</v>
      </c>
      <c r="I869" s="3" t="n">
        <v>1</v>
      </c>
      <c r="J869" s="9" t="n">
        <f aca="false">H869*I869</f>
        <v>1936.71432</v>
      </c>
      <c r="K869" s="3"/>
    </row>
    <row r="870" customFormat="false" ht="19.5" hidden="false" customHeight="false" outlineLevel="0" collapsed="false">
      <c r="A870" s="3" t="s">
        <v>149</v>
      </c>
      <c r="B870" s="3" t="s">
        <v>150</v>
      </c>
      <c r="C870" s="3" t="s">
        <v>59</v>
      </c>
      <c r="D870" s="3" t="s">
        <v>8</v>
      </c>
      <c r="E870" s="3" t="n">
        <v>6011</v>
      </c>
      <c r="F870" s="3" t="n">
        <v>1200</v>
      </c>
      <c r="G870" s="3" t="n">
        <v>36</v>
      </c>
      <c r="H870" s="8" t="n">
        <f aca="false">(E870/1000)*(F870/1000)*(G870/1000)*7850</f>
        <v>2038.45032</v>
      </c>
      <c r="I870" s="3" t="n">
        <v>1</v>
      </c>
      <c r="J870" s="9" t="n">
        <f aca="false">H870*I870</f>
        <v>2038.45032</v>
      </c>
      <c r="K870" s="3"/>
    </row>
    <row r="871" customFormat="false" ht="19.5" hidden="false" customHeight="false" outlineLevel="0" collapsed="false">
      <c r="A871" s="3" t="s">
        <v>149</v>
      </c>
      <c r="B871" s="3" t="s">
        <v>150</v>
      </c>
      <c r="C871" s="3" t="s">
        <v>59</v>
      </c>
      <c r="D871" s="3" t="s">
        <v>8</v>
      </c>
      <c r="E871" s="3" t="n">
        <v>3911</v>
      </c>
      <c r="F871" s="3" t="n">
        <v>320</v>
      </c>
      <c r="G871" s="3" t="n">
        <v>32</v>
      </c>
      <c r="H871" s="8" t="n">
        <f aca="false">(E871/1000)*(F871/1000)*(G871/1000)*7850</f>
        <v>314.381824</v>
      </c>
      <c r="I871" s="3" t="n">
        <v>2</v>
      </c>
      <c r="J871" s="9" t="n">
        <f aca="false">H871*I871</f>
        <v>628.763648</v>
      </c>
      <c r="K871" s="3"/>
    </row>
    <row r="872" customFormat="false" ht="19.5" hidden="false" customHeight="false" outlineLevel="0" collapsed="false">
      <c r="A872" s="3" t="s">
        <v>149</v>
      </c>
      <c r="B872" s="3" t="s">
        <v>150</v>
      </c>
      <c r="C872" s="3" t="s">
        <v>59</v>
      </c>
      <c r="D872" s="3" t="s">
        <v>8</v>
      </c>
      <c r="E872" s="3" t="n">
        <v>5011</v>
      </c>
      <c r="F872" s="3" t="n">
        <v>320</v>
      </c>
      <c r="G872" s="3" t="n">
        <v>32</v>
      </c>
      <c r="H872" s="8" t="n">
        <f aca="false">(E872/1000)*(F872/1000)*(G872/1000)*7850</f>
        <v>402.804224</v>
      </c>
      <c r="I872" s="3" t="n">
        <v>1</v>
      </c>
      <c r="J872" s="9" t="n">
        <f aca="false">H872*I872</f>
        <v>402.804224</v>
      </c>
      <c r="K872" s="3"/>
    </row>
    <row r="873" customFormat="false" ht="19.5" hidden="false" customHeight="false" outlineLevel="0" collapsed="false">
      <c r="A873" s="3" t="s">
        <v>149</v>
      </c>
      <c r="B873" s="3" t="s">
        <v>150</v>
      </c>
      <c r="C873" s="3" t="s">
        <v>59</v>
      </c>
      <c r="D873" s="3" t="s">
        <v>8</v>
      </c>
      <c r="E873" s="3" t="n">
        <v>5311</v>
      </c>
      <c r="F873" s="3" t="n">
        <v>320</v>
      </c>
      <c r="G873" s="3" t="n">
        <v>32</v>
      </c>
      <c r="H873" s="8" t="n">
        <f aca="false">(E873/1000)*(F873/1000)*(G873/1000)*7850</f>
        <v>426.919424</v>
      </c>
      <c r="I873" s="3" t="n">
        <v>1</v>
      </c>
      <c r="J873" s="9" t="n">
        <f aca="false">H873*I873</f>
        <v>426.919424</v>
      </c>
      <c r="K873" s="3"/>
    </row>
    <row r="874" customFormat="false" ht="19.5" hidden="false" customHeight="false" outlineLevel="0" collapsed="false">
      <c r="A874" s="3" t="s">
        <v>149</v>
      </c>
      <c r="B874" s="3" t="s">
        <v>150</v>
      </c>
      <c r="C874" s="3" t="s">
        <v>59</v>
      </c>
      <c r="D874" s="3" t="s">
        <v>8</v>
      </c>
      <c r="E874" s="3" t="n">
        <v>1200</v>
      </c>
      <c r="F874" s="3" t="n">
        <v>1200</v>
      </c>
      <c r="G874" s="3" t="n">
        <v>16</v>
      </c>
      <c r="H874" s="8" t="n">
        <f aca="false">(E874/1000)*(F874/1000)*(G874/1000)*7850</f>
        <v>180.864</v>
      </c>
      <c r="I874" s="3" t="n">
        <v>2</v>
      </c>
      <c r="J874" s="9" t="n">
        <f aca="false">H874*I874</f>
        <v>361.728</v>
      </c>
      <c r="K874" s="3"/>
    </row>
    <row r="875" customFormat="false" ht="19.5" hidden="false" customHeight="false" outlineLevel="0" collapsed="false">
      <c r="A875" s="3" t="s">
        <v>149</v>
      </c>
      <c r="B875" s="3" t="s">
        <v>150</v>
      </c>
      <c r="C875" s="3" t="s">
        <v>59</v>
      </c>
      <c r="D875" s="3" t="s">
        <v>8</v>
      </c>
      <c r="E875" s="3" t="n">
        <v>5979</v>
      </c>
      <c r="F875" s="3" t="n">
        <v>1200</v>
      </c>
      <c r="G875" s="3" t="n">
        <v>36</v>
      </c>
      <c r="H875" s="8" t="n">
        <f aca="false">(E875/1000)*(F875/1000)*(G875/1000)*7850</f>
        <v>2027.59848</v>
      </c>
      <c r="I875" s="3" t="n">
        <v>1</v>
      </c>
      <c r="J875" s="9" t="n">
        <f aca="false">H875*I875</f>
        <v>2027.59848</v>
      </c>
      <c r="K875" s="3"/>
    </row>
    <row r="876" customFormat="false" ht="19.5" hidden="false" customHeight="false" outlineLevel="0" collapsed="false">
      <c r="A876" s="3" t="s">
        <v>149</v>
      </c>
      <c r="B876" s="3" t="s">
        <v>150</v>
      </c>
      <c r="C876" s="3" t="s">
        <v>59</v>
      </c>
      <c r="D876" s="3" t="s">
        <v>8</v>
      </c>
      <c r="E876" s="3" t="n">
        <v>6079</v>
      </c>
      <c r="F876" s="3" t="n">
        <v>1200</v>
      </c>
      <c r="G876" s="3" t="n">
        <v>36</v>
      </c>
      <c r="H876" s="8" t="n">
        <f aca="false">(E876/1000)*(F876/1000)*(G876/1000)*7850</f>
        <v>2061.51048</v>
      </c>
      <c r="I876" s="3" t="n">
        <v>1</v>
      </c>
      <c r="J876" s="9" t="n">
        <f aca="false">H876*I876</f>
        <v>2061.51048</v>
      </c>
      <c r="K876" s="3"/>
    </row>
    <row r="877" customFormat="false" ht="19.5" hidden="false" customHeight="false" outlineLevel="0" collapsed="false">
      <c r="A877" s="3" t="s">
        <v>149</v>
      </c>
      <c r="B877" s="3" t="s">
        <v>150</v>
      </c>
      <c r="C877" s="3" t="s">
        <v>59</v>
      </c>
      <c r="D877" s="3" t="s">
        <v>8</v>
      </c>
      <c r="E877" s="3" t="n">
        <v>3979</v>
      </c>
      <c r="F877" s="3" t="n">
        <v>1760</v>
      </c>
      <c r="G877" s="3" t="n">
        <v>36</v>
      </c>
      <c r="H877" s="8" t="n">
        <f aca="false">(E877/1000)*(F877/1000)*(G877/1000)*7850</f>
        <v>1979.059104</v>
      </c>
      <c r="I877" s="3" t="n">
        <v>2</v>
      </c>
      <c r="J877" s="9" t="n">
        <f aca="false">H877*I877</f>
        <v>3958.118208</v>
      </c>
      <c r="K877" s="3"/>
    </row>
    <row r="878" customFormat="false" ht="19.5" hidden="false" customHeight="false" outlineLevel="0" collapsed="false">
      <c r="A878" s="3" t="s">
        <v>149</v>
      </c>
      <c r="B878" s="3" t="s">
        <v>150</v>
      </c>
      <c r="C878" s="3" t="s">
        <v>59</v>
      </c>
      <c r="D878" s="3" t="s">
        <v>8</v>
      </c>
      <c r="E878" s="3" t="n">
        <v>3979</v>
      </c>
      <c r="F878" s="3" t="n">
        <v>320</v>
      </c>
      <c r="G878" s="3" t="n">
        <v>32</v>
      </c>
      <c r="H878" s="8" t="n">
        <f aca="false">(E878/1000)*(F878/1000)*(G878/1000)*7850</f>
        <v>319.847936</v>
      </c>
      <c r="I878" s="3" t="n">
        <v>4</v>
      </c>
      <c r="J878" s="9" t="n">
        <f aca="false">H878*I878</f>
        <v>1279.391744</v>
      </c>
      <c r="K878" s="3"/>
    </row>
    <row r="879" customFormat="false" ht="19.5" hidden="false" customHeight="false" outlineLevel="0" collapsed="false">
      <c r="A879" s="3" t="s">
        <v>149</v>
      </c>
      <c r="B879" s="3" t="s">
        <v>150</v>
      </c>
      <c r="C879" s="3" t="s">
        <v>59</v>
      </c>
      <c r="D879" s="3" t="s">
        <v>8</v>
      </c>
      <c r="E879" s="3" t="n">
        <v>5279</v>
      </c>
      <c r="F879" s="3" t="n">
        <v>320</v>
      </c>
      <c r="G879" s="3" t="n">
        <v>32</v>
      </c>
      <c r="H879" s="8" t="n">
        <f aca="false">(E879/1000)*(F879/1000)*(G879/1000)*7850</f>
        <v>424.347136</v>
      </c>
      <c r="I879" s="3" t="n">
        <v>1</v>
      </c>
      <c r="J879" s="9" t="n">
        <f aca="false">H879*I879</f>
        <v>424.347136</v>
      </c>
      <c r="K879" s="3"/>
    </row>
    <row r="880" customFormat="false" ht="19.5" hidden="false" customHeight="false" outlineLevel="0" collapsed="false">
      <c r="A880" s="3" t="s">
        <v>149</v>
      </c>
      <c r="B880" s="3" t="s">
        <v>150</v>
      </c>
      <c r="C880" s="3" t="s">
        <v>59</v>
      </c>
      <c r="D880" s="3" t="s">
        <v>8</v>
      </c>
      <c r="E880" s="3" t="n">
        <v>5379</v>
      </c>
      <c r="F880" s="3" t="n">
        <v>320</v>
      </c>
      <c r="G880" s="3" t="n">
        <v>32</v>
      </c>
      <c r="H880" s="8" t="n">
        <f aca="false">(E880/1000)*(F880/1000)*(G880/1000)*7850</f>
        <v>432.385536</v>
      </c>
      <c r="I880" s="3" t="n">
        <v>1</v>
      </c>
      <c r="J880" s="9" t="n">
        <f aca="false">H880*I880</f>
        <v>432.385536</v>
      </c>
      <c r="K880" s="3"/>
    </row>
    <row r="881" customFormat="false" ht="19.5" hidden="false" customHeight="false" outlineLevel="0" collapsed="false">
      <c r="A881" s="3" t="s">
        <v>149</v>
      </c>
      <c r="B881" s="3" t="s">
        <v>150</v>
      </c>
      <c r="C881" s="3" t="s">
        <v>59</v>
      </c>
      <c r="D881" s="3" t="s">
        <v>8</v>
      </c>
      <c r="E881" s="3" t="n">
        <v>1600</v>
      </c>
      <c r="F881" s="3" t="n">
        <v>1200</v>
      </c>
      <c r="G881" s="3" t="n">
        <v>16</v>
      </c>
      <c r="H881" s="8" t="n">
        <f aca="false">(E881/1000)*(F881/1000)*(G881/1000)*7850</f>
        <v>241.152</v>
      </c>
      <c r="I881" s="3" t="n">
        <v>2</v>
      </c>
      <c r="J881" s="9" t="n">
        <f aca="false">H881*I881</f>
        <v>482.304</v>
      </c>
      <c r="K881" s="3"/>
    </row>
    <row r="882" customFormat="false" ht="19.5" hidden="false" customHeight="false" outlineLevel="0" collapsed="false">
      <c r="A882" s="3" t="s">
        <v>149</v>
      </c>
      <c r="B882" s="3" t="s">
        <v>150</v>
      </c>
      <c r="C882" s="3" t="s">
        <v>59</v>
      </c>
      <c r="D882" s="3" t="s">
        <v>8</v>
      </c>
      <c r="E882" s="3" t="n">
        <v>2400</v>
      </c>
      <c r="F882" s="3" t="n">
        <v>320</v>
      </c>
      <c r="G882" s="3" t="n">
        <v>32</v>
      </c>
      <c r="H882" s="8" t="n">
        <f aca="false">(E882/1000)*(F882/1000)*(G882/1000)*7850</f>
        <v>192.9216</v>
      </c>
      <c r="I882" s="3" t="n">
        <v>8</v>
      </c>
      <c r="J882" s="9" t="n">
        <f aca="false">H882*I882</f>
        <v>1543.3728</v>
      </c>
      <c r="K882" s="3"/>
    </row>
    <row r="883" customFormat="false" ht="19.5" hidden="false" customHeight="false" outlineLevel="0" collapsed="false">
      <c r="A883" s="3" t="s">
        <v>149</v>
      </c>
      <c r="B883" s="3" t="s">
        <v>150</v>
      </c>
      <c r="C883" s="3" t="s">
        <v>59</v>
      </c>
      <c r="D883" s="3" t="s">
        <v>8</v>
      </c>
      <c r="E883" s="3" t="n">
        <v>1560</v>
      </c>
      <c r="F883" s="3" t="n">
        <v>606</v>
      </c>
      <c r="G883" s="3" t="n">
        <v>14</v>
      </c>
      <c r="H883" s="8" t="n">
        <f aca="false">(E883/1000)*(F883/1000)*(G883/1000)*7850</f>
        <v>103.895064</v>
      </c>
      <c r="I883" s="3" t="n">
        <v>3</v>
      </c>
      <c r="J883" s="9" t="n">
        <f aca="false">H883*I883</f>
        <v>311.685192</v>
      </c>
      <c r="K883" s="3"/>
    </row>
    <row r="884" customFormat="false" ht="19.5" hidden="false" customHeight="false" outlineLevel="0" collapsed="false">
      <c r="A884" s="3" t="s">
        <v>151</v>
      </c>
      <c r="B884" s="3" t="s">
        <v>152</v>
      </c>
      <c r="C884" s="3" t="s">
        <v>44</v>
      </c>
      <c r="D884" s="3" t="s">
        <v>8</v>
      </c>
      <c r="E884" s="3" t="n">
        <v>11850</v>
      </c>
      <c r="F884" s="3" t="n">
        <v>1000</v>
      </c>
      <c r="G884" s="3" t="n">
        <v>20</v>
      </c>
      <c r="H884" s="8" t="n">
        <f aca="false">(E884/1000)*(F884/1000)*(G884/1000)*7850</f>
        <v>1860.45</v>
      </c>
      <c r="I884" s="3" t="n">
        <v>1</v>
      </c>
      <c r="J884" s="9" t="n">
        <f aca="false">H884*I884</f>
        <v>1860.45</v>
      </c>
      <c r="K884" s="3"/>
    </row>
    <row r="885" customFormat="false" ht="19.5" hidden="false" customHeight="false" outlineLevel="0" collapsed="false">
      <c r="A885" s="3" t="s">
        <v>151</v>
      </c>
      <c r="B885" s="3" t="s">
        <v>152</v>
      </c>
      <c r="C885" s="3" t="s">
        <v>45</v>
      </c>
      <c r="D885" s="3" t="s">
        <v>8</v>
      </c>
      <c r="E885" s="3" t="n">
        <v>10390</v>
      </c>
      <c r="F885" s="3" t="n">
        <v>1000</v>
      </c>
      <c r="G885" s="3" t="n">
        <v>24</v>
      </c>
      <c r="H885" s="8" t="n">
        <f aca="false">(E885/1000)*(F885/1000)*(G885/1000)*7850</f>
        <v>1957.476</v>
      </c>
      <c r="I885" s="3" t="n">
        <v>1</v>
      </c>
      <c r="J885" s="9" t="n">
        <f aca="false">H885*I885</f>
        <v>1957.476</v>
      </c>
      <c r="K885" s="3"/>
    </row>
    <row r="886" customFormat="false" ht="19.5" hidden="false" customHeight="false" outlineLevel="0" collapsed="false">
      <c r="A886" s="3" t="s">
        <v>151</v>
      </c>
      <c r="B886" s="3" t="s">
        <v>152</v>
      </c>
      <c r="C886" s="3" t="s">
        <v>46</v>
      </c>
      <c r="D886" s="3" t="s">
        <v>8</v>
      </c>
      <c r="E886" s="3" t="n">
        <v>7900</v>
      </c>
      <c r="F886" s="3" t="n">
        <v>1200</v>
      </c>
      <c r="G886" s="3" t="n">
        <v>20</v>
      </c>
      <c r="H886" s="8" t="n">
        <f aca="false">(E886/1000)*(F886/1000)*(G886/1000)*7850</f>
        <v>1488.36</v>
      </c>
      <c r="I886" s="3" t="n">
        <v>1</v>
      </c>
      <c r="J886" s="9" t="n">
        <f aca="false">H886*I886</f>
        <v>1488.36</v>
      </c>
      <c r="K886" s="3"/>
    </row>
    <row r="887" customFormat="false" ht="19.5" hidden="false" customHeight="false" outlineLevel="0" collapsed="false">
      <c r="A887" s="3" t="s">
        <v>151</v>
      </c>
      <c r="B887" s="3" t="s">
        <v>152</v>
      </c>
      <c r="C887" s="3" t="s">
        <v>47</v>
      </c>
      <c r="D887" s="3" t="s">
        <v>8</v>
      </c>
      <c r="E887" s="3" t="n">
        <v>7100</v>
      </c>
      <c r="F887" s="3" t="n">
        <v>1200</v>
      </c>
      <c r="G887" s="3" t="n">
        <v>24</v>
      </c>
      <c r="H887" s="8" t="n">
        <f aca="false">(E887/1000)*(F887/1000)*(G887/1000)*7850</f>
        <v>1605.168</v>
      </c>
      <c r="I887" s="3" t="n">
        <v>1</v>
      </c>
      <c r="J887" s="9" t="n">
        <f aca="false">H887*I887</f>
        <v>1605.168</v>
      </c>
      <c r="K887" s="3"/>
    </row>
    <row r="888" customFormat="false" ht="19.5" hidden="false" customHeight="false" outlineLevel="0" collapsed="false">
      <c r="A888" s="3" t="s">
        <v>151</v>
      </c>
      <c r="B888" s="3" t="s">
        <v>152</v>
      </c>
      <c r="C888" s="3" t="s">
        <v>49</v>
      </c>
      <c r="D888" s="3" t="s">
        <v>8</v>
      </c>
      <c r="E888" s="3" t="n">
        <v>7300</v>
      </c>
      <c r="F888" s="3" t="n">
        <v>1644</v>
      </c>
      <c r="G888" s="3" t="n">
        <v>32</v>
      </c>
      <c r="H888" s="8" t="n">
        <f aca="false">(E888/1000)*(F888/1000)*(G888/1000)*7850</f>
        <v>3014.70144</v>
      </c>
      <c r="I888" s="3" t="n">
        <v>2</v>
      </c>
      <c r="J888" s="9" t="n">
        <f aca="false">H888*I888</f>
        <v>6029.40288</v>
      </c>
      <c r="K888" s="3"/>
    </row>
    <row r="889" customFormat="false" ht="19.5" hidden="false" customHeight="false" outlineLevel="0" collapsed="false">
      <c r="A889" s="3" t="s">
        <v>151</v>
      </c>
      <c r="B889" s="3" t="s">
        <v>152</v>
      </c>
      <c r="C889" s="3" t="s">
        <v>55</v>
      </c>
      <c r="D889" s="3" t="s">
        <v>8</v>
      </c>
      <c r="E889" s="3" t="n">
        <v>7901</v>
      </c>
      <c r="F889" s="3" t="n">
        <v>320</v>
      </c>
      <c r="G889" s="3" t="n">
        <v>32</v>
      </c>
      <c r="H889" s="8" t="n">
        <f aca="false">(E889/1000)*(F889/1000)*(G889/1000)*7850</f>
        <v>635.113984</v>
      </c>
      <c r="I889" s="3" t="n">
        <v>4</v>
      </c>
      <c r="J889" s="9" t="n">
        <f aca="false">H889*I889</f>
        <v>2540.455936</v>
      </c>
      <c r="K889" s="3"/>
    </row>
    <row r="890" customFormat="false" ht="19.5" hidden="false" customHeight="false" outlineLevel="0" collapsed="false">
      <c r="A890" s="3" t="s">
        <v>151</v>
      </c>
      <c r="B890" s="3" t="s">
        <v>152</v>
      </c>
      <c r="C890" s="3" t="s">
        <v>56</v>
      </c>
      <c r="D890" s="3" t="s">
        <v>8</v>
      </c>
      <c r="E890" s="3" t="n">
        <v>7101</v>
      </c>
      <c r="F890" s="3" t="n">
        <v>240</v>
      </c>
      <c r="G890" s="3" t="n">
        <v>20</v>
      </c>
      <c r="H890" s="8" t="n">
        <f aca="false">(E890/1000)*(F890/1000)*(G890/1000)*7850</f>
        <v>267.56568</v>
      </c>
      <c r="I890" s="3" t="n">
        <v>4</v>
      </c>
      <c r="J890" s="9" t="n">
        <f aca="false">H890*I890</f>
        <v>1070.26272</v>
      </c>
      <c r="K890" s="3"/>
    </row>
    <row r="891" customFormat="false" ht="19.5" hidden="false" customHeight="false" outlineLevel="0" collapsed="false">
      <c r="A891" s="3" t="s">
        <v>151</v>
      </c>
      <c r="B891" s="3" t="s">
        <v>152</v>
      </c>
      <c r="C891" s="3" t="s">
        <v>57</v>
      </c>
      <c r="D891" s="3" t="s">
        <v>8</v>
      </c>
      <c r="E891" s="3" t="n">
        <v>15002</v>
      </c>
      <c r="F891" s="3" t="n">
        <v>170</v>
      </c>
      <c r="G891" s="3" t="n">
        <v>14</v>
      </c>
      <c r="H891" s="8" t="n">
        <f aca="false">(E891/1000)*(F891/1000)*(G891/1000)*7850</f>
        <v>280.282366</v>
      </c>
      <c r="I891" s="3" t="n">
        <v>1</v>
      </c>
      <c r="J891" s="9" t="n">
        <f aca="false">H891*I891</f>
        <v>280.282366</v>
      </c>
      <c r="K891" s="3"/>
    </row>
    <row r="892" customFormat="false" ht="19.5" hidden="false" customHeight="false" outlineLevel="0" collapsed="false">
      <c r="A892" s="3" t="s">
        <v>151</v>
      </c>
      <c r="B892" s="3" t="s">
        <v>152</v>
      </c>
      <c r="C892" s="3" t="s">
        <v>58</v>
      </c>
      <c r="D892" s="3" t="s">
        <v>8</v>
      </c>
      <c r="E892" s="3" t="n">
        <v>11903</v>
      </c>
      <c r="F892" s="3" t="n">
        <v>1200</v>
      </c>
      <c r="G892" s="3" t="n">
        <v>36</v>
      </c>
      <c r="H892" s="8" t="n">
        <f aca="false">(E892/1000)*(F892/1000)*(G892/1000)*7850</f>
        <v>4036.54536</v>
      </c>
      <c r="I892" s="3" t="n">
        <v>1</v>
      </c>
      <c r="J892" s="9" t="n">
        <f aca="false">H892*I892</f>
        <v>4036.54536</v>
      </c>
      <c r="K892" s="3"/>
    </row>
    <row r="893" customFormat="false" ht="19.5" hidden="false" customHeight="false" outlineLevel="0" collapsed="false">
      <c r="A893" s="3" t="s">
        <v>151</v>
      </c>
      <c r="B893" s="3" t="s">
        <v>152</v>
      </c>
      <c r="C893" s="3" t="s">
        <v>58</v>
      </c>
      <c r="D893" s="3" t="s">
        <v>8</v>
      </c>
      <c r="E893" s="3" t="n">
        <v>12203</v>
      </c>
      <c r="F893" s="3" t="n">
        <v>1200</v>
      </c>
      <c r="G893" s="3" t="n">
        <v>36</v>
      </c>
      <c r="H893" s="8" t="n">
        <f aca="false">(E893/1000)*(F893/1000)*(G893/1000)*7850</f>
        <v>4138.28136</v>
      </c>
      <c r="I893" s="3" t="n">
        <v>1</v>
      </c>
      <c r="J893" s="9" t="n">
        <f aca="false">H893*I893</f>
        <v>4138.28136</v>
      </c>
      <c r="K893" s="3"/>
    </row>
    <row r="894" customFormat="false" ht="19.5" hidden="false" customHeight="false" outlineLevel="0" collapsed="false">
      <c r="A894" s="3" t="s">
        <v>151</v>
      </c>
      <c r="B894" s="3" t="s">
        <v>152</v>
      </c>
      <c r="C894" s="3" t="s">
        <v>58</v>
      </c>
      <c r="D894" s="3" t="s">
        <v>8</v>
      </c>
      <c r="E894" s="3" t="n">
        <v>7903</v>
      </c>
      <c r="F894" s="3" t="n">
        <v>320</v>
      </c>
      <c r="G894" s="3" t="n">
        <v>32</v>
      </c>
      <c r="H894" s="8" t="n">
        <f aca="false">(E894/1000)*(F894/1000)*(G894/1000)*7850</f>
        <v>635.274752</v>
      </c>
      <c r="I894" s="3" t="n">
        <v>2</v>
      </c>
      <c r="J894" s="9" t="n">
        <f aca="false">H894*I894</f>
        <v>1270.549504</v>
      </c>
      <c r="K894" s="3"/>
    </row>
    <row r="895" customFormat="false" ht="19.5" hidden="false" customHeight="false" outlineLevel="0" collapsed="false">
      <c r="A895" s="3" t="s">
        <v>151</v>
      </c>
      <c r="B895" s="3" t="s">
        <v>152</v>
      </c>
      <c r="C895" s="3" t="s">
        <v>58</v>
      </c>
      <c r="D895" s="3" t="s">
        <v>8</v>
      </c>
      <c r="E895" s="3" t="n">
        <v>10503</v>
      </c>
      <c r="F895" s="3" t="n">
        <v>320</v>
      </c>
      <c r="G895" s="3" t="n">
        <v>32</v>
      </c>
      <c r="H895" s="8" t="n">
        <f aca="false">(E895/1000)*(F895/1000)*(G895/1000)*7850</f>
        <v>844.273152</v>
      </c>
      <c r="I895" s="3" t="n">
        <v>1</v>
      </c>
      <c r="J895" s="9" t="n">
        <f aca="false">H895*I895</f>
        <v>844.273152</v>
      </c>
      <c r="K895" s="3"/>
    </row>
    <row r="896" customFormat="false" ht="19.5" hidden="false" customHeight="false" outlineLevel="0" collapsed="false">
      <c r="A896" s="3" t="s">
        <v>151</v>
      </c>
      <c r="B896" s="3" t="s">
        <v>152</v>
      </c>
      <c r="C896" s="3" t="s">
        <v>58</v>
      </c>
      <c r="D896" s="3" t="s">
        <v>8</v>
      </c>
      <c r="E896" s="3" t="n">
        <v>10803</v>
      </c>
      <c r="F896" s="3" t="n">
        <v>320</v>
      </c>
      <c r="G896" s="3" t="n">
        <v>32</v>
      </c>
      <c r="H896" s="8" t="n">
        <f aca="false">(E896/1000)*(F896/1000)*(G896/1000)*7850</f>
        <v>868.388352</v>
      </c>
      <c r="I896" s="3" t="n">
        <v>1</v>
      </c>
      <c r="J896" s="9" t="n">
        <f aca="false">H896*I896</f>
        <v>868.388352</v>
      </c>
      <c r="K896" s="3"/>
    </row>
    <row r="897" customFormat="false" ht="19.5" hidden="false" customHeight="false" outlineLevel="0" collapsed="false">
      <c r="A897" s="3" t="s">
        <v>151</v>
      </c>
      <c r="B897" s="3" t="s">
        <v>152</v>
      </c>
      <c r="C897" s="3" t="s">
        <v>82</v>
      </c>
      <c r="D897" s="3" t="s">
        <v>8</v>
      </c>
      <c r="E897" s="3" t="n">
        <v>1200</v>
      </c>
      <c r="F897" s="3" t="n">
        <v>1200</v>
      </c>
      <c r="G897" s="3" t="n">
        <v>16</v>
      </c>
      <c r="H897" s="8" t="n">
        <f aca="false">(E897/1000)*(F897/1000)*(G897/1000)*7850</f>
        <v>180.864</v>
      </c>
      <c r="I897" s="3" t="n">
        <v>3</v>
      </c>
      <c r="J897" s="9" t="n">
        <f aca="false">H897*I897</f>
        <v>542.592</v>
      </c>
      <c r="K897" s="3"/>
    </row>
    <row r="898" customFormat="false" ht="19.5" hidden="false" customHeight="false" outlineLevel="0" collapsed="false">
      <c r="A898" s="3" t="s">
        <v>151</v>
      </c>
      <c r="B898" s="3" t="s">
        <v>152</v>
      </c>
      <c r="C898" s="3" t="s">
        <v>61</v>
      </c>
      <c r="D898" s="3" t="s">
        <v>8</v>
      </c>
      <c r="E898" s="3" t="n">
        <v>5651</v>
      </c>
      <c r="F898" s="3" t="n">
        <v>1200</v>
      </c>
      <c r="G898" s="3" t="n">
        <v>36</v>
      </c>
      <c r="H898" s="8" t="n">
        <f aca="false">(E898/1000)*(F898/1000)*(G898/1000)*7850</f>
        <v>1916.36712</v>
      </c>
      <c r="I898" s="3" t="n">
        <v>1</v>
      </c>
      <c r="J898" s="9" t="n">
        <f aca="false">H898*I898</f>
        <v>1916.36712</v>
      </c>
      <c r="K898" s="3"/>
    </row>
    <row r="899" customFormat="false" ht="19.5" hidden="false" customHeight="false" outlineLevel="0" collapsed="false">
      <c r="A899" s="3" t="s">
        <v>151</v>
      </c>
      <c r="B899" s="3" t="s">
        <v>152</v>
      </c>
      <c r="C899" s="3" t="s">
        <v>61</v>
      </c>
      <c r="D899" s="3" t="s">
        <v>8</v>
      </c>
      <c r="E899" s="3" t="n">
        <v>3851</v>
      </c>
      <c r="F899" s="3" t="n">
        <v>1360</v>
      </c>
      <c r="G899" s="3" t="n">
        <v>36</v>
      </c>
      <c r="H899" s="8" t="n">
        <f aca="false">(E899/1000)*(F899/1000)*(G899/1000)*7850</f>
        <v>1480.077936</v>
      </c>
      <c r="I899" s="3" t="n">
        <v>2</v>
      </c>
      <c r="J899" s="9" t="n">
        <f aca="false">H899*I899</f>
        <v>2960.155872</v>
      </c>
      <c r="K899" s="3"/>
    </row>
    <row r="900" customFormat="false" ht="19.5" hidden="false" customHeight="false" outlineLevel="0" collapsed="false">
      <c r="A900" s="3" t="s">
        <v>151</v>
      </c>
      <c r="B900" s="3" t="s">
        <v>152</v>
      </c>
      <c r="C900" s="3" t="s">
        <v>61</v>
      </c>
      <c r="D900" s="3" t="s">
        <v>8</v>
      </c>
      <c r="E900" s="3" t="n">
        <v>3851</v>
      </c>
      <c r="F900" s="3" t="n">
        <v>320</v>
      </c>
      <c r="G900" s="3" t="n">
        <v>32</v>
      </c>
      <c r="H900" s="8" t="n">
        <f aca="false">(E900/1000)*(F900/1000)*(G900/1000)*7850</f>
        <v>309.558784</v>
      </c>
      <c r="I900" s="3" t="n">
        <v>2</v>
      </c>
      <c r="J900" s="9" t="n">
        <f aca="false">H900*I900</f>
        <v>619.117568</v>
      </c>
      <c r="K900" s="3"/>
    </row>
    <row r="901" customFormat="false" ht="19.5" hidden="false" customHeight="false" outlineLevel="0" collapsed="false">
      <c r="A901" s="3" t="s">
        <v>151</v>
      </c>
      <c r="B901" s="3" t="s">
        <v>152</v>
      </c>
      <c r="C901" s="3" t="s">
        <v>61</v>
      </c>
      <c r="D901" s="3" t="s">
        <v>8</v>
      </c>
      <c r="E901" s="3" t="n">
        <v>4951</v>
      </c>
      <c r="F901" s="3" t="n">
        <v>320</v>
      </c>
      <c r="G901" s="3" t="n">
        <v>32</v>
      </c>
      <c r="H901" s="8" t="n">
        <f aca="false">(E901/1000)*(F901/1000)*(G901/1000)*7850</f>
        <v>397.981184</v>
      </c>
      <c r="I901" s="3" t="n">
        <v>1</v>
      </c>
      <c r="J901" s="9" t="n">
        <f aca="false">H901*I901</f>
        <v>397.981184</v>
      </c>
      <c r="K901" s="3"/>
    </row>
    <row r="902" customFormat="false" ht="19.5" hidden="false" customHeight="false" outlineLevel="0" collapsed="false">
      <c r="A902" s="3" t="s">
        <v>151</v>
      </c>
      <c r="B902" s="3" t="s">
        <v>152</v>
      </c>
      <c r="C902" s="3" t="s">
        <v>61</v>
      </c>
      <c r="D902" s="3" t="s">
        <v>8</v>
      </c>
      <c r="E902" s="3" t="n">
        <v>5251</v>
      </c>
      <c r="F902" s="3" t="n">
        <v>320</v>
      </c>
      <c r="G902" s="3" t="n">
        <v>32</v>
      </c>
      <c r="H902" s="8" t="n">
        <f aca="false">(E902/1000)*(F902/1000)*(G902/1000)*7850</f>
        <v>422.096384</v>
      </c>
      <c r="I902" s="3" t="n">
        <v>1</v>
      </c>
      <c r="J902" s="9" t="n">
        <f aca="false">H902*I902</f>
        <v>422.096384</v>
      </c>
      <c r="K902" s="3"/>
    </row>
    <row r="903" customFormat="false" ht="19.5" hidden="false" customHeight="false" outlineLevel="0" collapsed="false">
      <c r="A903" s="3" t="s">
        <v>151</v>
      </c>
      <c r="B903" s="3" t="s">
        <v>152</v>
      </c>
      <c r="C903" s="3" t="s">
        <v>107</v>
      </c>
      <c r="D903" s="3" t="s">
        <v>8</v>
      </c>
      <c r="E903" s="3" t="n">
        <v>1200</v>
      </c>
      <c r="F903" s="3" t="n">
        <v>1200</v>
      </c>
      <c r="G903" s="3" t="n">
        <v>16</v>
      </c>
      <c r="H903" s="8" t="n">
        <f aca="false">(E903/1000)*(F903/1000)*(G903/1000)*7850</f>
        <v>180.864</v>
      </c>
      <c r="I903" s="3" t="n">
        <v>3</v>
      </c>
      <c r="J903" s="9" t="n">
        <f aca="false">H903*I903</f>
        <v>542.592</v>
      </c>
      <c r="K903" s="3"/>
    </row>
    <row r="904" customFormat="false" ht="19.5" hidden="false" customHeight="false" outlineLevel="0" collapsed="false">
      <c r="A904" s="3" t="s">
        <v>151</v>
      </c>
      <c r="B904" s="3" t="s">
        <v>152</v>
      </c>
      <c r="C904" s="3" t="s">
        <v>87</v>
      </c>
      <c r="D904" s="3" t="s">
        <v>8</v>
      </c>
      <c r="E904" s="3" t="n">
        <v>6111</v>
      </c>
      <c r="F904" s="3" t="n">
        <v>1200</v>
      </c>
      <c r="G904" s="3" t="n">
        <v>36</v>
      </c>
      <c r="H904" s="8" t="n">
        <f aca="false">(E904/1000)*(F904/1000)*(G904/1000)*7850</f>
        <v>2072.36232</v>
      </c>
      <c r="I904" s="3" t="n">
        <v>1</v>
      </c>
      <c r="J904" s="9" t="n">
        <f aca="false">H904*I904</f>
        <v>2072.36232</v>
      </c>
      <c r="K904" s="3"/>
    </row>
    <row r="905" customFormat="false" ht="19.5" hidden="false" customHeight="false" outlineLevel="0" collapsed="false">
      <c r="A905" s="3" t="s">
        <v>151</v>
      </c>
      <c r="B905" s="3" t="s">
        <v>152</v>
      </c>
      <c r="C905" s="3" t="s">
        <v>88</v>
      </c>
      <c r="D905" s="3" t="s">
        <v>8</v>
      </c>
      <c r="E905" s="3" t="n">
        <v>3911</v>
      </c>
      <c r="F905" s="3" t="n">
        <v>1360</v>
      </c>
      <c r="G905" s="3" t="n">
        <v>36</v>
      </c>
      <c r="H905" s="8" t="n">
        <f aca="false">(E905/1000)*(F905/1000)*(G905/1000)*7850</f>
        <v>1503.138096</v>
      </c>
      <c r="I905" s="3" t="n">
        <v>2</v>
      </c>
      <c r="J905" s="9" t="n">
        <f aca="false">H905*I905</f>
        <v>3006.276192</v>
      </c>
      <c r="K905" s="3"/>
    </row>
    <row r="906" customFormat="false" ht="19.5" hidden="false" customHeight="false" outlineLevel="0" collapsed="false">
      <c r="A906" s="3" t="s">
        <v>151</v>
      </c>
      <c r="B906" s="3" t="s">
        <v>152</v>
      </c>
      <c r="C906" s="3" t="s">
        <v>90</v>
      </c>
      <c r="D906" s="3" t="s">
        <v>8</v>
      </c>
      <c r="E906" s="3" t="n">
        <v>5411</v>
      </c>
      <c r="F906" s="3" t="n">
        <v>320</v>
      </c>
      <c r="G906" s="3" t="n">
        <v>32</v>
      </c>
      <c r="H906" s="8" t="n">
        <f aca="false">(E906/1000)*(F906/1000)*(G906/1000)*7850</f>
        <v>434.957824</v>
      </c>
      <c r="I906" s="3" t="n">
        <v>1</v>
      </c>
      <c r="J906" s="9" t="n">
        <f aca="false">H906*I906</f>
        <v>434.957824</v>
      </c>
      <c r="K906" s="3"/>
    </row>
    <row r="907" customFormat="false" ht="19.5" hidden="false" customHeight="false" outlineLevel="0" collapsed="false">
      <c r="A907" s="3" t="s">
        <v>151</v>
      </c>
      <c r="B907" s="3" t="s">
        <v>152</v>
      </c>
      <c r="C907" s="3" t="s">
        <v>91</v>
      </c>
      <c r="D907" s="3" t="s">
        <v>8</v>
      </c>
      <c r="E907" s="3" t="n">
        <v>5411</v>
      </c>
      <c r="F907" s="3" t="n">
        <v>320</v>
      </c>
      <c r="G907" s="3" t="n">
        <v>32</v>
      </c>
      <c r="H907" s="8" t="n">
        <f aca="false">(E907/1000)*(F907/1000)*(G907/1000)*7850</f>
        <v>434.957824</v>
      </c>
      <c r="I907" s="3" t="n">
        <v>1</v>
      </c>
      <c r="J907" s="9" t="n">
        <f aca="false">H907*I907</f>
        <v>434.957824</v>
      </c>
      <c r="K907" s="3"/>
    </row>
    <row r="908" customFormat="false" ht="19.5" hidden="false" customHeight="false" outlineLevel="0" collapsed="false">
      <c r="A908" s="3" t="s">
        <v>151</v>
      </c>
      <c r="B908" s="3" t="s">
        <v>152</v>
      </c>
      <c r="C908" s="3" t="s">
        <v>92</v>
      </c>
      <c r="D908" s="3" t="s">
        <v>8</v>
      </c>
      <c r="E908" s="3" t="n">
        <v>1200</v>
      </c>
      <c r="F908" s="3" t="n">
        <v>1200</v>
      </c>
      <c r="G908" s="3" t="n">
        <v>16</v>
      </c>
      <c r="H908" s="8" t="n">
        <f aca="false">(E908/1000)*(F908/1000)*(G908/1000)*7850</f>
        <v>180.864</v>
      </c>
      <c r="I908" s="3" t="n">
        <v>2</v>
      </c>
      <c r="J908" s="9" t="n">
        <f aca="false">H908*I908</f>
        <v>361.728</v>
      </c>
      <c r="K908" s="3"/>
    </row>
    <row r="909" customFormat="false" ht="19.5" hidden="false" customHeight="false" outlineLevel="0" collapsed="false">
      <c r="A909" s="3" t="s">
        <v>151</v>
      </c>
      <c r="B909" s="3" t="s">
        <v>152</v>
      </c>
      <c r="C909" s="3" t="s">
        <v>93</v>
      </c>
      <c r="D909" s="3" t="s">
        <v>8</v>
      </c>
      <c r="E909" s="3" t="n">
        <v>2300</v>
      </c>
      <c r="F909" s="3" t="n">
        <v>320</v>
      </c>
      <c r="G909" s="3" t="n">
        <v>32</v>
      </c>
      <c r="H909" s="8" t="n">
        <f aca="false">(E909/1000)*(F909/1000)*(G909/1000)*7850</f>
        <v>184.8832</v>
      </c>
      <c r="I909" s="3" t="n">
        <v>4</v>
      </c>
      <c r="J909" s="9" t="n">
        <f aca="false">H909*I909</f>
        <v>739.5328</v>
      </c>
      <c r="K909" s="3"/>
    </row>
    <row r="910" customFormat="false" ht="19.5" hidden="false" customHeight="false" outlineLevel="0" collapsed="false">
      <c r="A910" s="3" t="s">
        <v>151</v>
      </c>
      <c r="B910" s="3" t="s">
        <v>152</v>
      </c>
      <c r="C910" s="3" t="s">
        <v>94</v>
      </c>
      <c r="D910" s="3" t="s">
        <v>8</v>
      </c>
      <c r="E910" s="3" t="n">
        <v>2600</v>
      </c>
      <c r="F910" s="3" t="n">
        <v>320</v>
      </c>
      <c r="G910" s="3" t="n">
        <v>32</v>
      </c>
      <c r="H910" s="8" t="n">
        <f aca="false">(E910/1000)*(F910/1000)*(G910/1000)*7850</f>
        <v>208.9984</v>
      </c>
      <c r="I910" s="3" t="n">
        <v>4</v>
      </c>
      <c r="J910" s="9" t="n">
        <f aca="false">H910*I910</f>
        <v>835.9936</v>
      </c>
      <c r="K910" s="3"/>
    </row>
    <row r="911" customFormat="false" ht="19.5" hidden="false" customHeight="false" outlineLevel="0" collapsed="false">
      <c r="A911" s="3" t="s">
        <v>153</v>
      </c>
      <c r="B911" s="3" t="s">
        <v>154</v>
      </c>
      <c r="C911" s="3" t="s">
        <v>44</v>
      </c>
      <c r="D911" s="3" t="s">
        <v>8</v>
      </c>
      <c r="E911" s="3" t="n">
        <v>11850</v>
      </c>
      <c r="F911" s="3" t="n">
        <v>1000</v>
      </c>
      <c r="G911" s="3" t="n">
        <v>20</v>
      </c>
      <c r="H911" s="8" t="n">
        <f aca="false">(E911/1000)*(F911/1000)*(G911/1000)*7850</f>
        <v>1860.45</v>
      </c>
      <c r="I911" s="3" t="n">
        <v>1</v>
      </c>
      <c r="J911" s="9" t="n">
        <f aca="false">H911*I911</f>
        <v>1860.45</v>
      </c>
      <c r="K911" s="3"/>
    </row>
    <row r="912" customFormat="false" ht="19.5" hidden="false" customHeight="false" outlineLevel="0" collapsed="false">
      <c r="A912" s="3" t="s">
        <v>153</v>
      </c>
      <c r="B912" s="3" t="s">
        <v>154</v>
      </c>
      <c r="C912" s="3" t="s">
        <v>45</v>
      </c>
      <c r="D912" s="3" t="s">
        <v>8</v>
      </c>
      <c r="E912" s="3" t="n">
        <v>10390</v>
      </c>
      <c r="F912" s="3" t="n">
        <v>1000</v>
      </c>
      <c r="G912" s="3" t="n">
        <v>20</v>
      </c>
      <c r="H912" s="8" t="n">
        <f aca="false">(E912/1000)*(F912/1000)*(G912/1000)*7850</f>
        <v>1631.23</v>
      </c>
      <c r="I912" s="3" t="n">
        <v>1</v>
      </c>
      <c r="J912" s="9" t="n">
        <f aca="false">H912*I912</f>
        <v>1631.23</v>
      </c>
      <c r="K912" s="3"/>
    </row>
    <row r="913" customFormat="false" ht="19.5" hidden="false" customHeight="false" outlineLevel="0" collapsed="false">
      <c r="A913" s="3" t="s">
        <v>153</v>
      </c>
      <c r="B913" s="3" t="s">
        <v>154</v>
      </c>
      <c r="C913" s="3" t="s">
        <v>45</v>
      </c>
      <c r="D913" s="3" t="s">
        <v>8</v>
      </c>
      <c r="E913" s="3" t="n">
        <v>7900</v>
      </c>
      <c r="F913" s="3" t="n">
        <v>1200</v>
      </c>
      <c r="G913" s="3" t="n">
        <v>20</v>
      </c>
      <c r="H913" s="8" t="n">
        <f aca="false">(E913/1000)*(F913/1000)*(G913/1000)*7850</f>
        <v>1488.36</v>
      </c>
      <c r="I913" s="3" t="n">
        <v>1</v>
      </c>
      <c r="J913" s="9" t="n">
        <f aca="false">H913*I913</f>
        <v>1488.36</v>
      </c>
      <c r="K913" s="3"/>
    </row>
    <row r="914" customFormat="false" ht="19.5" hidden="false" customHeight="false" outlineLevel="0" collapsed="false">
      <c r="A914" s="3" t="s">
        <v>153</v>
      </c>
      <c r="B914" s="3" t="s">
        <v>154</v>
      </c>
      <c r="C914" s="3" t="s">
        <v>45</v>
      </c>
      <c r="D914" s="3" t="s">
        <v>8</v>
      </c>
      <c r="E914" s="3" t="n">
        <v>7100</v>
      </c>
      <c r="F914" s="3" t="n">
        <v>1200</v>
      </c>
      <c r="G914" s="3" t="n">
        <v>20</v>
      </c>
      <c r="H914" s="8" t="n">
        <f aca="false">(E914/1000)*(F914/1000)*(G914/1000)*7850</f>
        <v>1337.64</v>
      </c>
      <c r="I914" s="3" t="n">
        <v>1</v>
      </c>
      <c r="J914" s="9" t="n">
        <f aca="false">H914*I914</f>
        <v>1337.64</v>
      </c>
      <c r="K914" s="3"/>
    </row>
    <row r="915" customFormat="false" ht="19.5" hidden="false" customHeight="false" outlineLevel="0" collapsed="false">
      <c r="A915" s="3" t="s">
        <v>153</v>
      </c>
      <c r="B915" s="3" t="s">
        <v>154</v>
      </c>
      <c r="C915" s="3" t="s">
        <v>48</v>
      </c>
      <c r="D915" s="3" t="s">
        <v>8</v>
      </c>
      <c r="E915" s="3" t="n">
        <v>20340</v>
      </c>
      <c r="F915" s="3" t="n">
        <v>1000</v>
      </c>
      <c r="G915" s="3" t="n">
        <v>40</v>
      </c>
      <c r="H915" s="8" t="n">
        <f aca="false">(E915/1000)*(F915/1000)*(G915/1000)*7850</f>
        <v>6386.76</v>
      </c>
      <c r="I915" s="3" t="n">
        <v>2</v>
      </c>
      <c r="J915" s="9" t="n">
        <f aca="false">H915*I915</f>
        <v>12773.52</v>
      </c>
      <c r="K915" s="3"/>
    </row>
    <row r="916" customFormat="false" ht="19.5" hidden="false" customHeight="false" outlineLevel="0" collapsed="false">
      <c r="A916" s="3" t="s">
        <v>153</v>
      </c>
      <c r="B916" s="3" t="s">
        <v>154</v>
      </c>
      <c r="C916" s="3"/>
      <c r="D916" s="3" t="s">
        <v>8</v>
      </c>
      <c r="E916" s="3" t="n">
        <v>7300</v>
      </c>
      <c r="F916" s="3" t="n">
        <v>1648</v>
      </c>
      <c r="G916" s="3" t="n">
        <v>28</v>
      </c>
      <c r="H916" s="8" t="n">
        <f aca="false">(E916/1000)*(F916/1000)*(G916/1000)*7850</f>
        <v>2644.28192</v>
      </c>
      <c r="I916" s="3" t="n">
        <v>2</v>
      </c>
      <c r="J916" s="9" t="n">
        <f aca="false">H916*I916</f>
        <v>5288.56384</v>
      </c>
      <c r="K916" s="3"/>
    </row>
    <row r="917" customFormat="false" ht="19.5" hidden="false" customHeight="false" outlineLevel="0" collapsed="false">
      <c r="A917" s="3" t="s">
        <v>153</v>
      </c>
      <c r="B917" s="3" t="s">
        <v>154</v>
      </c>
      <c r="C917" s="3" t="s">
        <v>70</v>
      </c>
      <c r="D917" s="3" t="s">
        <v>8</v>
      </c>
      <c r="E917" s="3" t="n">
        <v>7101</v>
      </c>
      <c r="F917" s="3" t="n">
        <v>1850</v>
      </c>
      <c r="G917" s="3" t="n">
        <v>24</v>
      </c>
      <c r="H917" s="8" t="n">
        <f aca="false">(E917/1000)*(F917/1000)*(G917/1000)*7850</f>
        <v>2474.98254</v>
      </c>
      <c r="I917" s="3" t="n">
        <v>1</v>
      </c>
      <c r="J917" s="9" t="n">
        <f aca="false">H917*I917</f>
        <v>2474.98254</v>
      </c>
      <c r="K917" s="3"/>
    </row>
    <row r="918" customFormat="false" ht="19.5" hidden="false" customHeight="false" outlineLevel="0" collapsed="false">
      <c r="A918" s="3" t="s">
        <v>153</v>
      </c>
      <c r="B918" s="3" t="s">
        <v>154</v>
      </c>
      <c r="C918" s="3" t="s">
        <v>52</v>
      </c>
      <c r="D918" s="3" t="s">
        <v>8</v>
      </c>
      <c r="E918" s="3" t="n">
        <v>12530</v>
      </c>
      <c r="F918" s="3" t="n">
        <v>1000</v>
      </c>
      <c r="G918" s="3" t="n">
        <v>24</v>
      </c>
      <c r="H918" s="8" t="n">
        <f aca="false">(E918/1000)*(F918/1000)*(G918/1000)*7850</f>
        <v>2360.652</v>
      </c>
      <c r="I918" s="3" t="n">
        <v>1</v>
      </c>
      <c r="J918" s="9" t="n">
        <f aca="false">H918*I918</f>
        <v>2360.652</v>
      </c>
      <c r="K918" s="3"/>
    </row>
    <row r="919" customFormat="false" ht="19.5" hidden="false" customHeight="false" outlineLevel="0" collapsed="false">
      <c r="A919" s="3" t="s">
        <v>153</v>
      </c>
      <c r="B919" s="3" t="s">
        <v>154</v>
      </c>
      <c r="C919" s="3" t="s">
        <v>52</v>
      </c>
      <c r="D919" s="3" t="s">
        <v>8</v>
      </c>
      <c r="E919" s="3" t="n">
        <v>9710</v>
      </c>
      <c r="F919" s="3" t="n">
        <v>1000</v>
      </c>
      <c r="G919" s="3" t="n">
        <v>24</v>
      </c>
      <c r="H919" s="8" t="n">
        <f aca="false">(E919/1000)*(F919/1000)*(G919/1000)*7850</f>
        <v>1829.364</v>
      </c>
      <c r="I919" s="3" t="n">
        <v>1</v>
      </c>
      <c r="J919" s="9" t="n">
        <f aca="false">H919*I919</f>
        <v>1829.364</v>
      </c>
      <c r="K919" s="3"/>
    </row>
    <row r="920" customFormat="false" ht="19.5" hidden="false" customHeight="false" outlineLevel="0" collapsed="false">
      <c r="A920" s="3" t="s">
        <v>153</v>
      </c>
      <c r="B920" s="3" t="s">
        <v>154</v>
      </c>
      <c r="C920" s="3" t="s">
        <v>52</v>
      </c>
      <c r="D920" s="3" t="s">
        <v>8</v>
      </c>
      <c r="E920" s="3" t="n">
        <v>20720</v>
      </c>
      <c r="F920" s="3" t="n">
        <v>1000</v>
      </c>
      <c r="G920" s="3" t="n">
        <v>44</v>
      </c>
      <c r="H920" s="8" t="n">
        <f aca="false">(E920/1000)*(F920/1000)*(G920/1000)*7850</f>
        <v>7156.688</v>
      </c>
      <c r="I920" s="3" t="n">
        <v>2</v>
      </c>
      <c r="J920" s="9" t="n">
        <f aca="false">H920*I920</f>
        <v>14313.376</v>
      </c>
      <c r="K920" s="3"/>
    </row>
    <row r="921" customFormat="false" ht="19.5" hidden="false" customHeight="false" outlineLevel="0" collapsed="false">
      <c r="A921" s="3" t="s">
        <v>153</v>
      </c>
      <c r="B921" s="3" t="s">
        <v>154</v>
      </c>
      <c r="C921" s="3" t="s">
        <v>54</v>
      </c>
      <c r="D921" s="3" t="s">
        <v>8</v>
      </c>
      <c r="E921" s="3" t="n">
        <v>7301</v>
      </c>
      <c r="F921" s="3" t="n">
        <v>1474</v>
      </c>
      <c r="G921" s="3" t="n">
        <v>32</v>
      </c>
      <c r="H921" s="8" t="n">
        <f aca="false">(E921/1000)*(F921/1000)*(G921/1000)*7850</f>
        <v>2703.3325088</v>
      </c>
      <c r="I921" s="3" t="n">
        <v>2</v>
      </c>
      <c r="J921" s="9" t="n">
        <f aca="false">H921*I921</f>
        <v>5406.6650176</v>
      </c>
      <c r="K921" s="3"/>
    </row>
    <row r="922" customFormat="false" ht="19.5" hidden="false" customHeight="false" outlineLevel="0" collapsed="false">
      <c r="A922" s="3" t="s">
        <v>153</v>
      </c>
      <c r="B922" s="3" t="s">
        <v>154</v>
      </c>
      <c r="C922" s="3" t="s">
        <v>56</v>
      </c>
      <c r="D922" s="3" t="s">
        <v>8</v>
      </c>
      <c r="E922" s="3" t="n">
        <v>7101</v>
      </c>
      <c r="F922" s="3" t="n">
        <v>240</v>
      </c>
      <c r="G922" s="3" t="n">
        <v>20</v>
      </c>
      <c r="H922" s="8" t="n">
        <f aca="false">(E922/1000)*(F922/1000)*(G922/1000)*7850</f>
        <v>267.56568</v>
      </c>
      <c r="I922" s="3" t="n">
        <v>4</v>
      </c>
      <c r="J922" s="9" t="n">
        <f aca="false">H922*I922</f>
        <v>1070.26272</v>
      </c>
      <c r="K922" s="3"/>
    </row>
    <row r="923" customFormat="false" ht="19.5" hidden="false" customHeight="false" outlineLevel="0" collapsed="false">
      <c r="A923" s="3" t="s">
        <v>153</v>
      </c>
      <c r="B923" s="3" t="s">
        <v>154</v>
      </c>
      <c r="C923" s="3" t="s">
        <v>56</v>
      </c>
      <c r="D923" s="3" t="s">
        <v>8</v>
      </c>
      <c r="E923" s="3" t="n">
        <v>15002</v>
      </c>
      <c r="F923" s="3" t="n">
        <v>170</v>
      </c>
      <c r="G923" s="3" t="n">
        <v>14</v>
      </c>
      <c r="H923" s="8" t="n">
        <f aca="false">(E923/1000)*(F923/1000)*(G923/1000)*7850</f>
        <v>280.282366</v>
      </c>
      <c r="I923" s="3" t="n">
        <v>1</v>
      </c>
      <c r="J923" s="9" t="n">
        <f aca="false">H923*I923</f>
        <v>280.282366</v>
      </c>
      <c r="K923" s="3"/>
    </row>
    <row r="924" customFormat="false" ht="19.5" hidden="false" customHeight="false" outlineLevel="0" collapsed="false">
      <c r="A924" s="3" t="s">
        <v>153</v>
      </c>
      <c r="B924" s="3" t="s">
        <v>154</v>
      </c>
      <c r="C924" s="3" t="s">
        <v>56</v>
      </c>
      <c r="D924" s="3" t="s">
        <v>8</v>
      </c>
      <c r="E924" s="3" t="n">
        <v>11770</v>
      </c>
      <c r="F924" s="3" t="n">
        <v>1200</v>
      </c>
      <c r="G924" s="3" t="n">
        <v>36</v>
      </c>
      <c r="H924" s="8" t="n">
        <f aca="false">(E924/1000)*(F924/1000)*(G924/1000)*7850</f>
        <v>3991.4424</v>
      </c>
      <c r="I924" s="3" t="n">
        <v>1</v>
      </c>
      <c r="J924" s="9" t="n">
        <f aca="false">H924*I924</f>
        <v>3991.4424</v>
      </c>
      <c r="K924" s="3"/>
    </row>
    <row r="925" customFormat="false" ht="19.5" hidden="false" customHeight="false" outlineLevel="0" collapsed="false">
      <c r="A925" s="3" t="s">
        <v>153</v>
      </c>
      <c r="B925" s="3" t="s">
        <v>154</v>
      </c>
      <c r="C925" s="3" t="s">
        <v>56</v>
      </c>
      <c r="D925" s="3" t="s">
        <v>8</v>
      </c>
      <c r="E925" s="3" t="n">
        <v>12070</v>
      </c>
      <c r="F925" s="3" t="n">
        <v>1200</v>
      </c>
      <c r="G925" s="3" t="n">
        <v>36</v>
      </c>
      <c r="H925" s="8" t="n">
        <f aca="false">(E925/1000)*(F925/1000)*(G925/1000)*7850</f>
        <v>4093.1784</v>
      </c>
      <c r="I925" s="3" t="n">
        <v>1</v>
      </c>
      <c r="J925" s="9" t="n">
        <f aca="false">H925*I925</f>
        <v>4093.1784</v>
      </c>
      <c r="K925" s="3"/>
    </row>
    <row r="926" customFormat="false" ht="19.5" hidden="false" customHeight="false" outlineLevel="0" collapsed="false">
      <c r="A926" s="3" t="s">
        <v>153</v>
      </c>
      <c r="B926" s="3" t="s">
        <v>154</v>
      </c>
      <c r="C926" s="3" t="s">
        <v>56</v>
      </c>
      <c r="D926" s="3" t="s">
        <v>8</v>
      </c>
      <c r="E926" s="3" t="n">
        <v>7770</v>
      </c>
      <c r="F926" s="3" t="n">
        <v>1360</v>
      </c>
      <c r="G926" s="3" t="n">
        <v>36</v>
      </c>
      <c r="H926" s="8" t="n">
        <f aca="false">(E926/1000)*(F926/1000)*(G926/1000)*7850</f>
        <v>2986.29072</v>
      </c>
      <c r="I926" s="3" t="n">
        <v>2</v>
      </c>
      <c r="J926" s="9" t="n">
        <f aca="false">H926*I926</f>
        <v>5972.58144</v>
      </c>
      <c r="K926" s="3"/>
    </row>
    <row r="927" customFormat="false" ht="19.5" hidden="false" customHeight="false" outlineLevel="0" collapsed="false">
      <c r="A927" s="3" t="s">
        <v>153</v>
      </c>
      <c r="B927" s="3" t="s">
        <v>154</v>
      </c>
      <c r="C927" s="3" t="s">
        <v>60</v>
      </c>
      <c r="D927" s="3" t="s">
        <v>8</v>
      </c>
      <c r="E927" s="3" t="n">
        <v>7770</v>
      </c>
      <c r="F927" s="3" t="n">
        <v>320</v>
      </c>
      <c r="G927" s="3" t="n">
        <v>32</v>
      </c>
      <c r="H927" s="8" t="n">
        <f aca="false">(E927/1000)*(F927/1000)*(G927/1000)*7850</f>
        <v>624.58368</v>
      </c>
      <c r="I927" s="3" t="n">
        <v>2</v>
      </c>
      <c r="J927" s="9" t="n">
        <f aca="false">H927*I927</f>
        <v>1249.16736</v>
      </c>
      <c r="K927" s="3"/>
    </row>
    <row r="928" customFormat="false" ht="19.5" hidden="false" customHeight="false" outlineLevel="0" collapsed="false">
      <c r="A928" s="3" t="s">
        <v>153</v>
      </c>
      <c r="B928" s="3" t="s">
        <v>154</v>
      </c>
      <c r="C928" s="3" t="s">
        <v>74</v>
      </c>
      <c r="D928" s="3" t="s">
        <v>8</v>
      </c>
      <c r="E928" s="3" t="n">
        <v>10370</v>
      </c>
      <c r="F928" s="3" t="n">
        <v>320</v>
      </c>
      <c r="G928" s="3" t="n">
        <v>32</v>
      </c>
      <c r="H928" s="8" t="n">
        <f aca="false">(E928/1000)*(F928/1000)*(G928/1000)*7850</f>
        <v>833.58208</v>
      </c>
      <c r="I928" s="3" t="n">
        <v>1</v>
      </c>
      <c r="J928" s="9" t="n">
        <f aca="false">H928*I928</f>
        <v>833.58208</v>
      </c>
      <c r="K928" s="3"/>
    </row>
    <row r="929" customFormat="false" ht="19.5" hidden="false" customHeight="false" outlineLevel="0" collapsed="false">
      <c r="A929" s="3" t="s">
        <v>153</v>
      </c>
      <c r="B929" s="3" t="s">
        <v>154</v>
      </c>
      <c r="C929" s="3" t="s">
        <v>74</v>
      </c>
      <c r="D929" s="3" t="s">
        <v>8</v>
      </c>
      <c r="E929" s="3" t="n">
        <v>10670</v>
      </c>
      <c r="F929" s="3" t="n">
        <v>320</v>
      </c>
      <c r="G929" s="3" t="n">
        <v>32</v>
      </c>
      <c r="H929" s="8" t="n">
        <f aca="false">(E929/1000)*(F929/1000)*(G929/1000)*7850</f>
        <v>857.69728</v>
      </c>
      <c r="I929" s="3" t="n">
        <v>1</v>
      </c>
      <c r="J929" s="9" t="n">
        <f aca="false">H929*I929</f>
        <v>857.69728</v>
      </c>
      <c r="K929" s="3"/>
    </row>
    <row r="930" customFormat="false" ht="19.5" hidden="false" customHeight="false" outlineLevel="0" collapsed="false">
      <c r="A930" s="3" t="s">
        <v>153</v>
      </c>
      <c r="B930" s="3" t="s">
        <v>154</v>
      </c>
      <c r="C930" s="3" t="s">
        <v>74</v>
      </c>
      <c r="D930" s="3" t="s">
        <v>8</v>
      </c>
      <c r="E930" s="3" t="n">
        <v>3798</v>
      </c>
      <c r="F930" s="3" t="n">
        <v>900</v>
      </c>
      <c r="G930" s="3" t="n">
        <v>36</v>
      </c>
      <c r="H930" s="8" t="n">
        <f aca="false">(E930/1000)*(F930/1000)*(G930/1000)*7850</f>
        <v>965.98332</v>
      </c>
      <c r="I930" s="3" t="n">
        <v>2</v>
      </c>
      <c r="J930" s="9" t="n">
        <f aca="false">H930*I930</f>
        <v>1931.96664</v>
      </c>
      <c r="K930" s="3"/>
    </row>
    <row r="931" customFormat="false" ht="19.5" hidden="false" customHeight="false" outlineLevel="0" collapsed="false">
      <c r="A931" s="3" t="s">
        <v>153</v>
      </c>
      <c r="B931" s="3" t="s">
        <v>154</v>
      </c>
      <c r="C931" s="3" t="s">
        <v>74</v>
      </c>
      <c r="D931" s="3" t="s">
        <v>8</v>
      </c>
      <c r="E931" s="3" t="n">
        <v>6098</v>
      </c>
      <c r="F931" s="3" t="n">
        <v>1200</v>
      </c>
      <c r="G931" s="3" t="n">
        <v>32</v>
      </c>
      <c r="H931" s="8" t="n">
        <f aca="false">(E931/1000)*(F931/1000)*(G931/1000)*7850</f>
        <v>1838.18112</v>
      </c>
      <c r="I931" s="3" t="n">
        <v>1</v>
      </c>
      <c r="J931" s="9" t="n">
        <f aca="false">H931*I931</f>
        <v>1838.18112</v>
      </c>
      <c r="K931" s="3"/>
    </row>
    <row r="932" customFormat="false" ht="19.5" hidden="false" customHeight="false" outlineLevel="0" collapsed="false">
      <c r="A932" s="3" t="s">
        <v>153</v>
      </c>
      <c r="B932" s="3" t="s">
        <v>154</v>
      </c>
      <c r="C932" s="3" t="s">
        <v>74</v>
      </c>
      <c r="D932" s="3" t="s">
        <v>8</v>
      </c>
      <c r="E932" s="3" t="n">
        <v>5398</v>
      </c>
      <c r="F932" s="3" t="n">
        <v>240</v>
      </c>
      <c r="G932" s="3" t="n">
        <v>24</v>
      </c>
      <c r="H932" s="8" t="n">
        <f aca="false">(E932/1000)*(F932/1000)*(G932/1000)*7850</f>
        <v>244.075968</v>
      </c>
      <c r="I932" s="3" t="n">
        <v>2</v>
      </c>
      <c r="J932" s="9" t="n">
        <f aca="false">H932*I932</f>
        <v>488.151936</v>
      </c>
      <c r="K932" s="3"/>
    </row>
    <row r="933" customFormat="false" ht="19.5" hidden="false" customHeight="false" outlineLevel="0" collapsed="false">
      <c r="A933" s="3" t="s">
        <v>153</v>
      </c>
      <c r="B933" s="3" t="s">
        <v>154</v>
      </c>
      <c r="C933" s="3" t="s">
        <v>74</v>
      </c>
      <c r="D933" s="3" t="s">
        <v>8</v>
      </c>
      <c r="E933" s="3" t="n">
        <v>6051</v>
      </c>
      <c r="F933" s="3" t="n">
        <v>1200</v>
      </c>
      <c r="G933" s="3" t="n">
        <v>36</v>
      </c>
      <c r="H933" s="8" t="n">
        <f aca="false">(E933/1000)*(F933/1000)*(G933/1000)*7850</f>
        <v>2052.01512</v>
      </c>
      <c r="I933" s="3" t="n">
        <v>1</v>
      </c>
      <c r="J933" s="9" t="n">
        <f aca="false">H933*I933</f>
        <v>2052.01512</v>
      </c>
      <c r="K933" s="3"/>
    </row>
    <row r="934" customFormat="false" ht="19.5" hidden="false" customHeight="false" outlineLevel="0" collapsed="false">
      <c r="A934" s="3" t="s">
        <v>153</v>
      </c>
      <c r="B934" s="3" t="s">
        <v>154</v>
      </c>
      <c r="C934" s="3" t="s">
        <v>74</v>
      </c>
      <c r="D934" s="3" t="s">
        <v>8</v>
      </c>
      <c r="E934" s="3" t="n">
        <v>3851</v>
      </c>
      <c r="F934" s="3" t="n">
        <v>1360</v>
      </c>
      <c r="G934" s="3" t="n">
        <v>36</v>
      </c>
      <c r="H934" s="8" t="n">
        <f aca="false">(E934/1000)*(F934/1000)*(G934/1000)*7850</f>
        <v>1480.077936</v>
      </c>
      <c r="I934" s="3" t="n">
        <v>2</v>
      </c>
      <c r="J934" s="9" t="n">
        <f aca="false">H934*I934</f>
        <v>2960.155872</v>
      </c>
      <c r="K934" s="3"/>
    </row>
    <row r="935" customFormat="false" ht="19.5" hidden="false" customHeight="false" outlineLevel="0" collapsed="false">
      <c r="A935" s="3" t="s">
        <v>153</v>
      </c>
      <c r="B935" s="3" t="s">
        <v>154</v>
      </c>
      <c r="C935" s="3" t="s">
        <v>74</v>
      </c>
      <c r="D935" s="3" t="s">
        <v>8</v>
      </c>
      <c r="E935" s="3" t="n">
        <v>3851</v>
      </c>
      <c r="F935" s="3" t="n">
        <v>320</v>
      </c>
      <c r="G935" s="3" t="n">
        <v>32</v>
      </c>
      <c r="H935" s="8" t="n">
        <f aca="false">(E935/1000)*(F935/1000)*(G935/1000)*7850</f>
        <v>309.558784</v>
      </c>
      <c r="I935" s="3" t="n">
        <v>2</v>
      </c>
      <c r="J935" s="9" t="n">
        <f aca="false">H935*I935</f>
        <v>619.117568</v>
      </c>
      <c r="K935" s="3"/>
    </row>
    <row r="936" customFormat="false" ht="19.5" hidden="false" customHeight="false" outlineLevel="0" collapsed="false">
      <c r="A936" s="3" t="s">
        <v>153</v>
      </c>
      <c r="B936" s="3" t="s">
        <v>154</v>
      </c>
      <c r="C936" s="3" t="s">
        <v>74</v>
      </c>
      <c r="D936" s="3" t="s">
        <v>8</v>
      </c>
      <c r="E936" s="3" t="n">
        <v>4651</v>
      </c>
      <c r="F936" s="3" t="n">
        <v>320</v>
      </c>
      <c r="G936" s="3" t="n">
        <v>32</v>
      </c>
      <c r="H936" s="8" t="n">
        <f aca="false">(E936/1000)*(F936/1000)*(G936/1000)*7850</f>
        <v>373.865984</v>
      </c>
      <c r="I936" s="3" t="n">
        <v>1</v>
      </c>
      <c r="J936" s="9" t="n">
        <f aca="false">H936*I936</f>
        <v>373.865984</v>
      </c>
      <c r="K936" s="3"/>
    </row>
    <row r="937" customFormat="false" ht="19.5" hidden="false" customHeight="false" outlineLevel="0" collapsed="false">
      <c r="A937" s="3" t="s">
        <v>153</v>
      </c>
      <c r="B937" s="3" t="s">
        <v>154</v>
      </c>
      <c r="C937" s="3" t="s">
        <v>74</v>
      </c>
      <c r="D937" s="3" t="s">
        <v>8</v>
      </c>
      <c r="E937" s="3" t="n">
        <v>1200</v>
      </c>
      <c r="F937" s="3" t="n">
        <v>1200</v>
      </c>
      <c r="G937" s="3" t="n">
        <v>16</v>
      </c>
      <c r="H937" s="8" t="n">
        <f aca="false">(E937/1000)*(F937/1000)*(G937/1000)*7850</f>
        <v>180.864</v>
      </c>
      <c r="I937" s="3" t="n">
        <v>2</v>
      </c>
      <c r="J937" s="9" t="n">
        <f aca="false">H937*I937</f>
        <v>361.728</v>
      </c>
      <c r="K937" s="3"/>
    </row>
    <row r="938" customFormat="false" ht="19.5" hidden="false" customHeight="false" outlineLevel="0" collapsed="false">
      <c r="A938" s="3" t="s">
        <v>153</v>
      </c>
      <c r="B938" s="3" t="s">
        <v>154</v>
      </c>
      <c r="C938" s="3" t="s">
        <v>74</v>
      </c>
      <c r="D938" s="3" t="s">
        <v>8</v>
      </c>
      <c r="E938" s="3" t="n">
        <v>1580</v>
      </c>
      <c r="F938" s="3" t="n">
        <v>610</v>
      </c>
      <c r="G938" s="3" t="n">
        <v>14</v>
      </c>
      <c r="H938" s="8" t="n">
        <f aca="false">(E938/1000)*(F938/1000)*(G938/1000)*7850</f>
        <v>105.92162</v>
      </c>
      <c r="I938" s="3" t="n">
        <v>3</v>
      </c>
      <c r="J938" s="9" t="n">
        <f aca="false">H938*I938</f>
        <v>317.76486</v>
      </c>
      <c r="K938" s="3"/>
    </row>
    <row r="939" customFormat="false" ht="19.5" hidden="false" customHeight="false" outlineLevel="0" collapsed="false">
      <c r="A939" s="3" t="s">
        <v>153</v>
      </c>
      <c r="B939" s="3" t="s">
        <v>154</v>
      </c>
      <c r="C939" s="3" t="s">
        <v>74</v>
      </c>
      <c r="D939" s="3" t="s">
        <v>8</v>
      </c>
      <c r="E939" s="3" t="n">
        <v>1580</v>
      </c>
      <c r="F939" s="3" t="n">
        <v>622</v>
      </c>
      <c r="G939" s="3" t="n">
        <v>14</v>
      </c>
      <c r="H939" s="8" t="n">
        <f aca="false">(E939/1000)*(F939/1000)*(G939/1000)*7850</f>
        <v>108.005324</v>
      </c>
      <c r="I939" s="3" t="n">
        <v>2</v>
      </c>
      <c r="J939" s="9" t="n">
        <f aca="false">H939*I939</f>
        <v>216.010648</v>
      </c>
      <c r="K939" s="3"/>
    </row>
    <row r="940" customFormat="false" ht="19.5" hidden="false" customHeight="false" outlineLevel="0" collapsed="false">
      <c r="A940" s="3" t="s">
        <v>153</v>
      </c>
      <c r="B940" s="3" t="s">
        <v>154</v>
      </c>
      <c r="C940" s="3" t="s">
        <v>74</v>
      </c>
      <c r="D940" s="3" t="s">
        <v>8</v>
      </c>
      <c r="E940" s="3" t="n">
        <v>470</v>
      </c>
      <c r="F940" s="3" t="n">
        <v>1000</v>
      </c>
      <c r="G940" s="3" t="n">
        <v>24</v>
      </c>
      <c r="H940" s="8" t="n">
        <f aca="false">(E940/1000)*(F940/1000)*(G940/1000)*7850</f>
        <v>88.548</v>
      </c>
      <c r="I940" s="3" t="n">
        <v>3</v>
      </c>
      <c r="J940" s="9" t="n">
        <f aca="false">H940*I940</f>
        <v>265.644</v>
      </c>
      <c r="K940" s="3"/>
    </row>
    <row r="941" customFormat="false" ht="19.5" hidden="false" customHeight="false" outlineLevel="0" collapsed="false">
      <c r="A941" s="3" t="s">
        <v>153</v>
      </c>
      <c r="B941" s="3" t="s">
        <v>154</v>
      </c>
      <c r="C941" s="3" t="s">
        <v>74</v>
      </c>
      <c r="D941" s="3" t="s">
        <v>8</v>
      </c>
      <c r="E941" s="3" t="n">
        <v>470</v>
      </c>
      <c r="F941" s="3" t="n">
        <v>1000</v>
      </c>
      <c r="G941" s="3" t="n">
        <v>24</v>
      </c>
      <c r="H941" s="8" t="n">
        <f aca="false">(E941/1000)*(F941/1000)*(G941/1000)*7850</f>
        <v>88.548</v>
      </c>
      <c r="I941" s="3" t="n">
        <v>2</v>
      </c>
      <c r="J941" s="9" t="n">
        <f aca="false">H941*I941</f>
        <v>177.096</v>
      </c>
      <c r="K941" s="3"/>
    </row>
    <row r="942" customFormat="false" ht="19.5" hidden="false" customHeight="false" outlineLevel="0" collapsed="false">
      <c r="A942" s="3" t="s">
        <v>153</v>
      </c>
      <c r="B942" s="3" t="s">
        <v>154</v>
      </c>
      <c r="C942" s="3" t="s">
        <v>74</v>
      </c>
      <c r="D942" s="3" t="s">
        <v>8</v>
      </c>
      <c r="E942" s="3" t="n">
        <v>1450</v>
      </c>
      <c r="F942" s="3" t="n">
        <v>606</v>
      </c>
      <c r="G942" s="3" t="n">
        <v>14</v>
      </c>
      <c r="H942" s="8" t="n">
        <f aca="false">(E942/1000)*(F942/1000)*(G942/1000)*7850</f>
        <v>96.56913</v>
      </c>
      <c r="I942" s="3" t="n">
        <v>3</v>
      </c>
      <c r="J942" s="9" t="n">
        <f aca="false">H942*I942</f>
        <v>289.70739</v>
      </c>
      <c r="K942" s="3"/>
    </row>
    <row r="943" customFormat="false" ht="19.5" hidden="false" customHeight="false" outlineLevel="0" collapsed="false">
      <c r="A943" s="3" t="s">
        <v>153</v>
      </c>
      <c r="B943" s="3" t="s">
        <v>154</v>
      </c>
      <c r="C943" s="3" t="s">
        <v>74</v>
      </c>
      <c r="D943" s="3" t="s">
        <v>8</v>
      </c>
      <c r="E943" s="3" t="n">
        <v>1450</v>
      </c>
      <c r="F943" s="3" t="n">
        <v>618</v>
      </c>
      <c r="G943" s="3" t="n">
        <v>14</v>
      </c>
      <c r="H943" s="8" t="n">
        <f aca="false">(E943/1000)*(F943/1000)*(G943/1000)*7850</f>
        <v>98.48139</v>
      </c>
      <c r="I943" s="3" t="n">
        <v>2</v>
      </c>
      <c r="J943" s="9" t="n">
        <f aca="false">H943*I943</f>
        <v>196.96278</v>
      </c>
      <c r="K943" s="3"/>
    </row>
    <row r="944" customFormat="false" ht="19.5" hidden="false" customHeight="false" outlineLevel="0" collapsed="false">
      <c r="A944" s="3" t="s">
        <v>155</v>
      </c>
      <c r="B944" s="3" t="s">
        <v>156</v>
      </c>
      <c r="C944" s="3" t="s">
        <v>44</v>
      </c>
      <c r="D944" s="3" t="s">
        <v>8</v>
      </c>
      <c r="E944" s="3" t="n">
        <v>11850</v>
      </c>
      <c r="F944" s="3" t="n">
        <v>1000</v>
      </c>
      <c r="G944" s="3" t="n">
        <v>20</v>
      </c>
      <c r="H944" s="8" t="n">
        <f aca="false">(E944/1000)*(F944/1000)*(G944/1000)*7850</f>
        <v>1860.45</v>
      </c>
      <c r="I944" s="3" t="n">
        <v>1</v>
      </c>
      <c r="J944" s="9" t="n">
        <f aca="false">H944*I944</f>
        <v>1860.45</v>
      </c>
      <c r="K944" s="3"/>
    </row>
    <row r="945" customFormat="false" ht="19.5" hidden="false" customHeight="false" outlineLevel="0" collapsed="false">
      <c r="A945" s="3" t="s">
        <v>155</v>
      </c>
      <c r="B945" s="3" t="s">
        <v>156</v>
      </c>
      <c r="C945" s="3" t="s">
        <v>45</v>
      </c>
      <c r="D945" s="3" t="s">
        <v>8</v>
      </c>
      <c r="E945" s="3" t="n">
        <v>10390</v>
      </c>
      <c r="F945" s="3" t="n">
        <v>1000</v>
      </c>
      <c r="G945" s="3" t="n">
        <v>20</v>
      </c>
      <c r="H945" s="8" t="n">
        <f aca="false">(E945/1000)*(F945/1000)*(G945/1000)*7850</f>
        <v>1631.23</v>
      </c>
      <c r="I945" s="3" t="n">
        <v>1</v>
      </c>
      <c r="J945" s="9" t="n">
        <f aca="false">H945*I945</f>
        <v>1631.23</v>
      </c>
      <c r="K945" s="3"/>
    </row>
    <row r="946" customFormat="false" ht="19.5" hidden="false" customHeight="false" outlineLevel="0" collapsed="false">
      <c r="A946" s="3" t="s">
        <v>155</v>
      </c>
      <c r="B946" s="3" t="s">
        <v>156</v>
      </c>
      <c r="C946" s="3" t="s">
        <v>46</v>
      </c>
      <c r="D946" s="3" t="s">
        <v>8</v>
      </c>
      <c r="E946" s="3" t="n">
        <v>7900</v>
      </c>
      <c r="F946" s="3" t="n">
        <v>1200</v>
      </c>
      <c r="G946" s="3" t="n">
        <v>20</v>
      </c>
      <c r="H946" s="8" t="n">
        <f aca="false">(E946/1000)*(F946/1000)*(G946/1000)*7850</f>
        <v>1488.36</v>
      </c>
      <c r="I946" s="3" t="n">
        <v>1</v>
      </c>
      <c r="J946" s="9" t="n">
        <f aca="false">H946*I946</f>
        <v>1488.36</v>
      </c>
      <c r="K946" s="3"/>
    </row>
    <row r="947" customFormat="false" ht="19.5" hidden="false" customHeight="false" outlineLevel="0" collapsed="false">
      <c r="A947" s="3" t="s">
        <v>155</v>
      </c>
      <c r="B947" s="3" t="s">
        <v>156</v>
      </c>
      <c r="C947" s="3" t="s">
        <v>47</v>
      </c>
      <c r="D947" s="3" t="s">
        <v>8</v>
      </c>
      <c r="E947" s="3" t="n">
        <v>7100</v>
      </c>
      <c r="F947" s="3" t="n">
        <v>1200</v>
      </c>
      <c r="G947" s="3" t="n">
        <v>20</v>
      </c>
      <c r="H947" s="8" t="n">
        <f aca="false">(E947/1000)*(F947/1000)*(G947/1000)*7850</f>
        <v>1337.64</v>
      </c>
      <c r="I947" s="3" t="n">
        <v>1</v>
      </c>
      <c r="J947" s="9" t="n">
        <f aca="false">H947*I947</f>
        <v>1337.64</v>
      </c>
      <c r="K947" s="3"/>
    </row>
    <row r="948" customFormat="false" ht="19.5" hidden="false" customHeight="false" outlineLevel="0" collapsed="false">
      <c r="A948" s="3" t="s">
        <v>155</v>
      </c>
      <c r="B948" s="3" t="s">
        <v>156</v>
      </c>
      <c r="C948" s="3" t="s">
        <v>48</v>
      </c>
      <c r="D948" s="3" t="s">
        <v>8</v>
      </c>
      <c r="E948" s="3" t="n">
        <v>19200</v>
      </c>
      <c r="F948" s="3" t="n">
        <v>1000</v>
      </c>
      <c r="G948" s="3" t="n">
        <v>40</v>
      </c>
      <c r="H948" s="8" t="n">
        <f aca="false">(E948/1000)*(F948/1000)*(G948/1000)*7850</f>
        <v>6028.8</v>
      </c>
      <c r="I948" s="3" t="n">
        <v>2</v>
      </c>
      <c r="J948" s="9" t="n">
        <f aca="false">H948*I948</f>
        <v>12057.6</v>
      </c>
      <c r="K948" s="3"/>
    </row>
    <row r="949" customFormat="false" ht="19.5" hidden="false" customHeight="false" outlineLevel="0" collapsed="false">
      <c r="A949" s="3" t="s">
        <v>155</v>
      </c>
      <c r="B949" s="3" t="s">
        <v>156</v>
      </c>
      <c r="C949" s="3" t="s">
        <v>49</v>
      </c>
      <c r="D949" s="3" t="s">
        <v>8</v>
      </c>
      <c r="E949" s="3" t="n">
        <v>7300</v>
      </c>
      <c r="F949" s="3" t="n">
        <v>1648</v>
      </c>
      <c r="G949" s="3" t="n">
        <v>28</v>
      </c>
      <c r="H949" s="8" t="n">
        <f aca="false">(E949/1000)*(F949/1000)*(G949/1000)*7850</f>
        <v>2644.28192</v>
      </c>
      <c r="I949" s="3" t="n">
        <v>2</v>
      </c>
      <c r="J949" s="9" t="n">
        <f aca="false">H949*I949</f>
        <v>5288.56384</v>
      </c>
      <c r="K949" s="3"/>
    </row>
    <row r="950" customFormat="false" ht="19.5" hidden="false" customHeight="false" outlineLevel="0" collapsed="false">
      <c r="A950" s="3" t="s">
        <v>155</v>
      </c>
      <c r="B950" s="3" t="s">
        <v>156</v>
      </c>
      <c r="C950" s="3" t="s">
        <v>70</v>
      </c>
      <c r="D950" s="3" t="s">
        <v>8</v>
      </c>
      <c r="E950" s="3" t="n">
        <v>7101</v>
      </c>
      <c r="F950" s="3" t="n">
        <v>1850</v>
      </c>
      <c r="G950" s="3" t="n">
        <v>24</v>
      </c>
      <c r="H950" s="8" t="n">
        <f aca="false">(E950/1000)*(F950/1000)*(G950/1000)*7850</f>
        <v>2474.98254</v>
      </c>
      <c r="I950" s="3" t="n">
        <v>1</v>
      </c>
      <c r="J950" s="9" t="n">
        <f aca="false">H950*I950</f>
        <v>2474.98254</v>
      </c>
      <c r="K950" s="3"/>
    </row>
    <row r="951" customFormat="false" ht="19.5" hidden="false" customHeight="false" outlineLevel="0" collapsed="false">
      <c r="A951" s="3" t="s">
        <v>155</v>
      </c>
      <c r="B951" s="3" t="s">
        <v>156</v>
      </c>
      <c r="C951" s="3" t="s">
        <v>52</v>
      </c>
      <c r="D951" s="3" t="s">
        <v>8</v>
      </c>
      <c r="E951" s="3" t="n">
        <v>12530</v>
      </c>
      <c r="F951" s="3" t="n">
        <v>1000</v>
      </c>
      <c r="G951" s="3" t="n">
        <v>24</v>
      </c>
      <c r="H951" s="8" t="n">
        <f aca="false">(E951/1000)*(F951/1000)*(G951/1000)*7850</f>
        <v>2360.652</v>
      </c>
      <c r="I951" s="3" t="n">
        <v>1</v>
      </c>
      <c r="J951" s="9" t="n">
        <f aca="false">H951*I951</f>
        <v>2360.652</v>
      </c>
      <c r="K951" s="3"/>
    </row>
    <row r="952" customFormat="false" ht="19.5" hidden="false" customHeight="false" outlineLevel="0" collapsed="false">
      <c r="A952" s="3" t="s">
        <v>155</v>
      </c>
      <c r="B952" s="3" t="s">
        <v>156</v>
      </c>
      <c r="C952" s="3" t="s">
        <v>53</v>
      </c>
      <c r="D952" s="3" t="s">
        <v>8</v>
      </c>
      <c r="E952" s="3" t="n">
        <v>9710</v>
      </c>
      <c r="F952" s="3" t="n">
        <v>1000</v>
      </c>
      <c r="G952" s="3" t="n">
        <v>24</v>
      </c>
      <c r="H952" s="8" t="n">
        <f aca="false">(E952/1000)*(F952/1000)*(G952/1000)*7850</f>
        <v>1829.364</v>
      </c>
      <c r="I952" s="3" t="n">
        <v>1</v>
      </c>
      <c r="J952" s="9" t="n">
        <f aca="false">H952*I952</f>
        <v>1829.364</v>
      </c>
      <c r="K952" s="3"/>
    </row>
    <row r="953" customFormat="false" ht="19.5" hidden="false" customHeight="false" outlineLevel="0" collapsed="false">
      <c r="A953" s="3" t="s">
        <v>155</v>
      </c>
      <c r="B953" s="3" t="s">
        <v>156</v>
      </c>
      <c r="C953" s="3" t="s">
        <v>53</v>
      </c>
      <c r="D953" s="3" t="s">
        <v>8</v>
      </c>
      <c r="E953" s="3" t="n">
        <v>18390</v>
      </c>
      <c r="F953" s="3" t="n">
        <v>1000</v>
      </c>
      <c r="G953" s="3" t="n">
        <v>44</v>
      </c>
      <c r="H953" s="8" t="n">
        <f aca="false">(E953/1000)*(F953/1000)*(G953/1000)*7850</f>
        <v>6351.906</v>
      </c>
      <c r="I953" s="3" t="n">
        <v>2</v>
      </c>
      <c r="J953" s="9" t="n">
        <f aca="false">H953*I953</f>
        <v>12703.812</v>
      </c>
      <c r="K953" s="3"/>
    </row>
    <row r="954" customFormat="false" ht="19.5" hidden="false" customHeight="false" outlineLevel="0" collapsed="false">
      <c r="A954" s="3" t="s">
        <v>155</v>
      </c>
      <c r="B954" s="3" t="s">
        <v>156</v>
      </c>
      <c r="C954" s="3" t="s">
        <v>53</v>
      </c>
      <c r="D954" s="3" t="s">
        <v>8</v>
      </c>
      <c r="E954" s="3" t="n">
        <v>7301</v>
      </c>
      <c r="F954" s="3" t="n">
        <v>1474</v>
      </c>
      <c r="G954" s="3" t="n">
        <v>32</v>
      </c>
      <c r="H954" s="8" t="n">
        <f aca="false">(E954/1000)*(F954/1000)*(G954/1000)*7850</f>
        <v>2703.3325088</v>
      </c>
      <c r="I954" s="3" t="n">
        <v>2</v>
      </c>
      <c r="J954" s="9" t="n">
        <f aca="false">H954*I954</f>
        <v>5406.6650176</v>
      </c>
      <c r="K954" s="3"/>
    </row>
    <row r="955" customFormat="false" ht="19.5" hidden="false" customHeight="false" outlineLevel="0" collapsed="false">
      <c r="A955" s="3" t="s">
        <v>155</v>
      </c>
      <c r="B955" s="3" t="s">
        <v>156</v>
      </c>
      <c r="C955" s="3" t="s">
        <v>57</v>
      </c>
      <c r="D955" s="3" t="s">
        <v>8</v>
      </c>
      <c r="E955" s="3" t="n">
        <v>15002</v>
      </c>
      <c r="F955" s="3" t="n">
        <v>170</v>
      </c>
      <c r="G955" s="3" t="n">
        <v>14</v>
      </c>
      <c r="H955" s="8" t="n">
        <f aca="false">(E955/1000)*(F955/1000)*(G955/1000)*7850</f>
        <v>280.282366</v>
      </c>
      <c r="I955" s="3" t="n">
        <v>1</v>
      </c>
      <c r="J955" s="9" t="n">
        <f aca="false">H955*I955</f>
        <v>280.282366</v>
      </c>
      <c r="K955" s="3"/>
    </row>
    <row r="956" customFormat="false" ht="19.5" hidden="false" customHeight="false" outlineLevel="0" collapsed="false">
      <c r="A956" s="3" t="s">
        <v>155</v>
      </c>
      <c r="B956" s="3" t="s">
        <v>156</v>
      </c>
      <c r="C956" s="3" t="s">
        <v>57</v>
      </c>
      <c r="D956" s="3" t="s">
        <v>8</v>
      </c>
      <c r="E956" s="3" t="n">
        <v>7651</v>
      </c>
      <c r="F956" s="3" t="n">
        <v>900</v>
      </c>
      <c r="G956" s="3" t="n">
        <v>36</v>
      </c>
      <c r="H956" s="8" t="n">
        <f aca="false">(E956/1000)*(F956/1000)*(G956/1000)*7850</f>
        <v>1945.95534</v>
      </c>
      <c r="I956" s="3" t="n">
        <v>2</v>
      </c>
      <c r="J956" s="9" t="n">
        <f aca="false">H956*I956</f>
        <v>3891.91068</v>
      </c>
      <c r="K956" s="3"/>
    </row>
    <row r="957" customFormat="false" ht="19.5" hidden="false" customHeight="false" outlineLevel="0" collapsed="false">
      <c r="A957" s="3" t="s">
        <v>155</v>
      </c>
      <c r="B957" s="3" t="s">
        <v>156</v>
      </c>
      <c r="C957" s="3" t="s">
        <v>57</v>
      </c>
      <c r="D957" s="3" t="s">
        <v>8</v>
      </c>
      <c r="E957" s="3" t="n">
        <v>12551</v>
      </c>
      <c r="F957" s="3" t="n">
        <v>1200</v>
      </c>
      <c r="G957" s="3" t="n">
        <v>32</v>
      </c>
      <c r="H957" s="8" t="n">
        <f aca="false">(E957/1000)*(F957/1000)*(G957/1000)*7850</f>
        <v>3783.37344</v>
      </c>
      <c r="I957" s="3" t="n">
        <v>1</v>
      </c>
      <c r="J957" s="9" t="n">
        <f aca="false">H957*I957</f>
        <v>3783.37344</v>
      </c>
      <c r="K957" s="3"/>
    </row>
    <row r="958" customFormat="false" ht="19.5" hidden="false" customHeight="false" outlineLevel="0" collapsed="false">
      <c r="A958" s="3" t="s">
        <v>155</v>
      </c>
      <c r="B958" s="3" t="s">
        <v>156</v>
      </c>
      <c r="C958" s="3" t="s">
        <v>60</v>
      </c>
      <c r="D958" s="3" t="s">
        <v>8</v>
      </c>
      <c r="E958" s="3" t="n">
        <v>11151</v>
      </c>
      <c r="F958" s="3" t="n">
        <v>240</v>
      </c>
      <c r="G958" s="3" t="n">
        <v>24</v>
      </c>
      <c r="H958" s="8" t="n">
        <f aca="false">(E958/1000)*(F958/1000)*(G958/1000)*7850</f>
        <v>504.203616</v>
      </c>
      <c r="I958" s="3" t="n">
        <v>2</v>
      </c>
      <c r="J958" s="9" t="n">
        <f aca="false">H958*I958</f>
        <v>1008.407232</v>
      </c>
      <c r="K958" s="3"/>
    </row>
    <row r="959" customFormat="false" ht="19.5" hidden="false" customHeight="false" outlineLevel="0" collapsed="false">
      <c r="A959" s="3" t="s">
        <v>155</v>
      </c>
      <c r="B959" s="3" t="s">
        <v>156</v>
      </c>
      <c r="C959" s="3" t="s">
        <v>61</v>
      </c>
      <c r="D959" s="3" t="s">
        <v>8</v>
      </c>
      <c r="E959" s="3" t="n">
        <v>3752</v>
      </c>
      <c r="F959" s="3" t="n">
        <v>900</v>
      </c>
      <c r="G959" s="3" t="n">
        <v>36</v>
      </c>
      <c r="H959" s="8" t="n">
        <f aca="false">(E959/1000)*(F959/1000)*(G959/1000)*7850</f>
        <v>954.28368</v>
      </c>
      <c r="I959" s="3" t="n">
        <v>2</v>
      </c>
      <c r="J959" s="9" t="n">
        <f aca="false">H959*I959</f>
        <v>1908.56736</v>
      </c>
      <c r="K959" s="3"/>
    </row>
    <row r="960" customFormat="false" ht="19.5" hidden="false" customHeight="false" outlineLevel="0" collapsed="false">
      <c r="A960" s="3" t="s">
        <v>155</v>
      </c>
      <c r="B960" s="3" t="s">
        <v>156</v>
      </c>
      <c r="C960" s="3" t="s">
        <v>61</v>
      </c>
      <c r="D960" s="3" t="s">
        <v>8</v>
      </c>
      <c r="E960" s="3" t="n">
        <v>5352</v>
      </c>
      <c r="F960" s="3" t="n">
        <v>240</v>
      </c>
      <c r="G960" s="3" t="n">
        <v>24</v>
      </c>
      <c r="H960" s="8" t="n">
        <f aca="false">(E960/1000)*(F960/1000)*(G960/1000)*7850</f>
        <v>241.996032</v>
      </c>
      <c r="I960" s="3" t="n">
        <v>2</v>
      </c>
      <c r="J960" s="9" t="n">
        <f aca="false">H960*I960</f>
        <v>483.992064</v>
      </c>
      <c r="K960" s="3"/>
    </row>
    <row r="961" customFormat="false" ht="19.5" hidden="false" customHeight="false" outlineLevel="0" collapsed="false">
      <c r="A961" s="3" t="s">
        <v>155</v>
      </c>
      <c r="B961" s="3" t="s">
        <v>156</v>
      </c>
      <c r="C961" s="3" t="s">
        <v>61</v>
      </c>
      <c r="D961" s="3" t="s">
        <v>8</v>
      </c>
      <c r="E961" s="3" t="n">
        <v>3789</v>
      </c>
      <c r="F961" s="3" t="n">
        <v>900</v>
      </c>
      <c r="G961" s="3" t="n">
        <v>36</v>
      </c>
      <c r="H961" s="8" t="n">
        <f aca="false">(E961/1000)*(F961/1000)*(G961/1000)*7850</f>
        <v>963.69426</v>
      </c>
      <c r="I961" s="3" t="n">
        <v>2</v>
      </c>
      <c r="J961" s="9" t="n">
        <f aca="false">H961*I961</f>
        <v>1927.38852</v>
      </c>
      <c r="K961" s="3"/>
    </row>
    <row r="962" customFormat="false" ht="19.5" hidden="false" customHeight="false" outlineLevel="0" collapsed="false">
      <c r="A962" s="3" t="s">
        <v>155</v>
      </c>
      <c r="B962" s="3" t="s">
        <v>156</v>
      </c>
      <c r="C962" s="3" t="s">
        <v>61</v>
      </c>
      <c r="D962" s="3" t="s">
        <v>8</v>
      </c>
      <c r="E962" s="3" t="n">
        <v>6389</v>
      </c>
      <c r="F962" s="3" t="n">
        <v>1200</v>
      </c>
      <c r="G962" s="3" t="n">
        <v>32</v>
      </c>
      <c r="H962" s="8" t="n">
        <f aca="false">(E962/1000)*(F962/1000)*(G962/1000)*7850</f>
        <v>1925.90016</v>
      </c>
      <c r="I962" s="3" t="n">
        <v>1</v>
      </c>
      <c r="J962" s="9" t="n">
        <f aca="false">H962*I962</f>
        <v>1925.90016</v>
      </c>
      <c r="K962" s="3"/>
    </row>
    <row r="963" customFormat="false" ht="19.5" hidden="false" customHeight="false" outlineLevel="0" collapsed="false">
      <c r="A963" s="3" t="s">
        <v>155</v>
      </c>
      <c r="B963" s="3" t="s">
        <v>156</v>
      </c>
      <c r="C963" s="3" t="s">
        <v>61</v>
      </c>
      <c r="D963" s="3" t="s">
        <v>8</v>
      </c>
      <c r="E963" s="3" t="n">
        <v>5689</v>
      </c>
      <c r="F963" s="3" t="n">
        <v>240</v>
      </c>
      <c r="G963" s="3" t="n">
        <v>24</v>
      </c>
      <c r="H963" s="8" t="n">
        <f aca="false">(E963/1000)*(F963/1000)*(G963/1000)*7850</f>
        <v>257.233824</v>
      </c>
      <c r="I963" s="3" t="n">
        <v>2</v>
      </c>
      <c r="J963" s="9" t="n">
        <f aca="false">H963*I963</f>
        <v>514.467648</v>
      </c>
      <c r="K963" s="3"/>
    </row>
    <row r="964" customFormat="false" ht="19.5" hidden="false" customHeight="false" outlineLevel="0" collapsed="false">
      <c r="A964" s="3" t="s">
        <v>155</v>
      </c>
      <c r="B964" s="3" t="s">
        <v>156</v>
      </c>
      <c r="C964" s="3" t="s">
        <v>61</v>
      </c>
      <c r="D964" s="3" t="s">
        <v>8</v>
      </c>
      <c r="E964" s="3" t="n">
        <v>1200</v>
      </c>
      <c r="F964" s="3" t="n">
        <v>1123</v>
      </c>
      <c r="G964" s="3" t="n">
        <v>20</v>
      </c>
      <c r="H964" s="8" t="n">
        <f aca="false">(E964/1000)*(F964/1000)*(G964/1000)*7850</f>
        <v>211.5732</v>
      </c>
      <c r="I964" s="3" t="n">
        <v>1</v>
      </c>
      <c r="J964" s="9" t="n">
        <f aca="false">H964*I964</f>
        <v>211.5732</v>
      </c>
      <c r="K964" s="3"/>
    </row>
    <row r="965" customFormat="false" ht="19.5" hidden="false" customHeight="false" outlineLevel="0" collapsed="false">
      <c r="A965" s="3" t="s">
        <v>155</v>
      </c>
      <c r="B965" s="3" t="s">
        <v>156</v>
      </c>
      <c r="C965" s="3" t="s">
        <v>61</v>
      </c>
      <c r="D965" s="3" t="s">
        <v>8</v>
      </c>
      <c r="E965" s="3" t="n">
        <v>1200</v>
      </c>
      <c r="F965" s="3" t="n">
        <v>1089</v>
      </c>
      <c r="G965" s="3" t="n">
        <v>20</v>
      </c>
      <c r="H965" s="8" t="n">
        <f aca="false">(E965/1000)*(F965/1000)*(G965/1000)*7850</f>
        <v>205.1676</v>
      </c>
      <c r="I965" s="3" t="n">
        <v>2</v>
      </c>
      <c r="J965" s="9" t="n">
        <f aca="false">H965*I965</f>
        <v>410.3352</v>
      </c>
      <c r="K965" s="3"/>
    </row>
    <row r="966" customFormat="false" ht="19.5" hidden="false" customHeight="false" outlineLevel="0" collapsed="false">
      <c r="A966" s="3" t="s">
        <v>155</v>
      </c>
      <c r="B966" s="3" t="s">
        <v>156</v>
      </c>
      <c r="C966" s="3" t="s">
        <v>61</v>
      </c>
      <c r="D966" s="3" t="s">
        <v>8</v>
      </c>
      <c r="E966" s="3" t="n">
        <v>1580</v>
      </c>
      <c r="F966" s="3" t="n">
        <v>610</v>
      </c>
      <c r="G966" s="3" t="n">
        <v>14</v>
      </c>
      <c r="H966" s="8" t="n">
        <f aca="false">(E966/1000)*(F966/1000)*(G966/1000)*7850</f>
        <v>105.92162</v>
      </c>
      <c r="I966" s="3" t="n">
        <v>3</v>
      </c>
      <c r="J966" s="9" t="n">
        <f aca="false">H966*I966</f>
        <v>317.76486</v>
      </c>
      <c r="K966" s="3"/>
    </row>
    <row r="967" customFormat="false" ht="19.5" hidden="false" customHeight="false" outlineLevel="0" collapsed="false">
      <c r="A967" s="3" t="s">
        <v>155</v>
      </c>
      <c r="B967" s="3" t="s">
        <v>156</v>
      </c>
      <c r="C967" s="3" t="s">
        <v>61</v>
      </c>
      <c r="D967" s="3" t="s">
        <v>8</v>
      </c>
      <c r="E967" s="3" t="n">
        <v>1580</v>
      </c>
      <c r="F967" s="3" t="n">
        <v>622</v>
      </c>
      <c r="G967" s="3" t="n">
        <v>14</v>
      </c>
      <c r="H967" s="8" t="n">
        <f aca="false">(E967/1000)*(F967/1000)*(G967/1000)*7850</f>
        <v>108.005324</v>
      </c>
      <c r="I967" s="3" t="n">
        <v>2</v>
      </c>
      <c r="J967" s="9" t="n">
        <f aca="false">H967*I967</f>
        <v>216.010648</v>
      </c>
      <c r="K967" s="3"/>
    </row>
    <row r="968" customFormat="false" ht="19.5" hidden="false" customHeight="false" outlineLevel="0" collapsed="false">
      <c r="A968" s="3" t="s">
        <v>155</v>
      </c>
      <c r="B968" s="3" t="s">
        <v>156</v>
      </c>
      <c r="C968" s="3" t="s">
        <v>61</v>
      </c>
      <c r="D968" s="3" t="s">
        <v>8</v>
      </c>
      <c r="E968" s="3" t="n">
        <v>470</v>
      </c>
      <c r="F968" s="3" t="n">
        <v>1000</v>
      </c>
      <c r="G968" s="3" t="n">
        <v>24</v>
      </c>
      <c r="H968" s="8" t="n">
        <f aca="false">(E968/1000)*(F968/1000)*(G968/1000)*7850</f>
        <v>88.548</v>
      </c>
      <c r="I968" s="3" t="n">
        <v>3</v>
      </c>
      <c r="J968" s="9" t="n">
        <f aca="false">H968*I968</f>
        <v>265.644</v>
      </c>
      <c r="K968" s="3"/>
    </row>
    <row r="969" customFormat="false" ht="19.5" hidden="false" customHeight="false" outlineLevel="0" collapsed="false">
      <c r="A969" s="3" t="s">
        <v>155</v>
      </c>
      <c r="B969" s="3" t="s">
        <v>156</v>
      </c>
      <c r="C969" s="3" t="s">
        <v>61</v>
      </c>
      <c r="D969" s="3" t="s">
        <v>8</v>
      </c>
      <c r="E969" s="3" t="n">
        <v>470</v>
      </c>
      <c r="F969" s="3" t="n">
        <v>1000</v>
      </c>
      <c r="G969" s="3" t="n">
        <v>24</v>
      </c>
      <c r="H969" s="8" t="n">
        <f aca="false">(E969/1000)*(F969/1000)*(G969/1000)*7850</f>
        <v>88.548</v>
      </c>
      <c r="I969" s="3" t="n">
        <v>2</v>
      </c>
      <c r="J969" s="9" t="n">
        <f aca="false">H969*I969</f>
        <v>177.096</v>
      </c>
      <c r="K969" s="3"/>
    </row>
    <row r="970" customFormat="false" ht="19.5" hidden="false" customHeight="false" outlineLevel="0" collapsed="false">
      <c r="A970" s="3" t="s">
        <v>155</v>
      </c>
      <c r="B970" s="3" t="s">
        <v>156</v>
      </c>
      <c r="C970" s="3" t="s">
        <v>61</v>
      </c>
      <c r="D970" s="3" t="s">
        <v>8</v>
      </c>
      <c r="E970" s="3" t="n">
        <v>1450</v>
      </c>
      <c r="F970" s="3" t="n">
        <v>606</v>
      </c>
      <c r="G970" s="3" t="n">
        <v>14</v>
      </c>
      <c r="H970" s="8" t="n">
        <f aca="false">(E970/1000)*(F970/1000)*(G970/1000)*7850</f>
        <v>96.56913</v>
      </c>
      <c r="I970" s="3" t="n">
        <v>3</v>
      </c>
      <c r="J970" s="9" t="n">
        <f aca="false">H970*I970</f>
        <v>289.70739</v>
      </c>
      <c r="K970" s="3"/>
    </row>
    <row r="971" customFormat="false" ht="19.5" hidden="false" customHeight="false" outlineLevel="0" collapsed="false">
      <c r="A971" s="3" t="s">
        <v>157</v>
      </c>
      <c r="B971" s="3" t="s">
        <v>158</v>
      </c>
      <c r="C971" s="3" t="s">
        <v>44</v>
      </c>
      <c r="D971" s="3" t="s">
        <v>8</v>
      </c>
      <c r="E971" s="3" t="n">
        <v>11850</v>
      </c>
      <c r="F971" s="3" t="n">
        <v>1000</v>
      </c>
      <c r="G971" s="3" t="n">
        <v>20</v>
      </c>
      <c r="H971" s="8" t="n">
        <f aca="false">(E971/1000)*(F971/1000)*(G971/1000)*7850</f>
        <v>1860.45</v>
      </c>
      <c r="I971" s="3" t="n">
        <v>1</v>
      </c>
      <c r="J971" s="9" t="n">
        <f aca="false">H971*I971</f>
        <v>1860.45</v>
      </c>
      <c r="K971" s="3"/>
    </row>
    <row r="972" customFormat="false" ht="19.5" hidden="false" customHeight="false" outlineLevel="0" collapsed="false">
      <c r="A972" s="3" t="s">
        <v>157</v>
      </c>
      <c r="B972" s="3" t="s">
        <v>158</v>
      </c>
      <c r="C972" s="3" t="s">
        <v>45</v>
      </c>
      <c r="D972" s="3" t="s">
        <v>8</v>
      </c>
      <c r="E972" s="3" t="n">
        <v>10390</v>
      </c>
      <c r="F972" s="3" t="n">
        <v>1000</v>
      </c>
      <c r="G972" s="3" t="n">
        <v>20</v>
      </c>
      <c r="H972" s="8" t="n">
        <f aca="false">(E972/1000)*(F972/1000)*(G972/1000)*7850</f>
        <v>1631.23</v>
      </c>
      <c r="I972" s="3" t="n">
        <v>1</v>
      </c>
      <c r="J972" s="9" t="n">
        <f aca="false">H972*I972</f>
        <v>1631.23</v>
      </c>
      <c r="K972" s="3"/>
    </row>
    <row r="973" customFormat="false" ht="19.5" hidden="false" customHeight="false" outlineLevel="0" collapsed="false">
      <c r="A973" s="3" t="s">
        <v>157</v>
      </c>
      <c r="B973" s="3" t="s">
        <v>158</v>
      </c>
      <c r="C973" s="3" t="s">
        <v>45</v>
      </c>
      <c r="D973" s="3" t="s">
        <v>8</v>
      </c>
      <c r="E973" s="3" t="n">
        <v>7900</v>
      </c>
      <c r="F973" s="3" t="n">
        <v>1200</v>
      </c>
      <c r="G973" s="3" t="n">
        <v>20</v>
      </c>
      <c r="H973" s="8" t="n">
        <f aca="false">(E973/1000)*(F973/1000)*(G973/1000)*7850</f>
        <v>1488.36</v>
      </c>
      <c r="I973" s="3" t="n">
        <v>1</v>
      </c>
      <c r="J973" s="9" t="n">
        <f aca="false">H973*I973</f>
        <v>1488.36</v>
      </c>
      <c r="K973" s="3"/>
    </row>
    <row r="974" customFormat="false" ht="19.5" hidden="false" customHeight="false" outlineLevel="0" collapsed="false">
      <c r="A974" s="3" t="s">
        <v>157</v>
      </c>
      <c r="B974" s="3" t="s">
        <v>158</v>
      </c>
      <c r="C974" s="3" t="s">
        <v>45</v>
      </c>
      <c r="D974" s="3" t="s">
        <v>8</v>
      </c>
      <c r="E974" s="3" t="n">
        <v>7100</v>
      </c>
      <c r="F974" s="3" t="n">
        <v>1200</v>
      </c>
      <c r="G974" s="3" t="n">
        <v>20</v>
      </c>
      <c r="H974" s="8" t="n">
        <f aca="false">(E974/1000)*(F974/1000)*(G974/1000)*7850</f>
        <v>1337.64</v>
      </c>
      <c r="I974" s="3" t="n">
        <v>1</v>
      </c>
      <c r="J974" s="9" t="n">
        <f aca="false">H974*I974</f>
        <v>1337.64</v>
      </c>
      <c r="K974" s="3"/>
    </row>
    <row r="975" customFormat="false" ht="19.5" hidden="false" customHeight="false" outlineLevel="0" collapsed="false">
      <c r="A975" s="3" t="s">
        <v>157</v>
      </c>
      <c r="B975" s="3" t="s">
        <v>158</v>
      </c>
      <c r="C975" s="3" t="s">
        <v>48</v>
      </c>
      <c r="D975" s="3" t="s">
        <v>8</v>
      </c>
      <c r="E975" s="3" t="n">
        <v>19200</v>
      </c>
      <c r="F975" s="3" t="n">
        <v>1000</v>
      </c>
      <c r="G975" s="3" t="n">
        <v>40</v>
      </c>
      <c r="H975" s="8" t="n">
        <f aca="false">(E975/1000)*(F975/1000)*(G975/1000)*7850</f>
        <v>6028.8</v>
      </c>
      <c r="I975" s="3" t="n">
        <v>2</v>
      </c>
      <c r="J975" s="9" t="n">
        <f aca="false">H975*I975</f>
        <v>12057.6</v>
      </c>
      <c r="K975" s="3"/>
    </row>
    <row r="976" customFormat="false" ht="19.5" hidden="false" customHeight="false" outlineLevel="0" collapsed="false">
      <c r="A976" s="3" t="s">
        <v>157</v>
      </c>
      <c r="B976" s="3" t="s">
        <v>158</v>
      </c>
      <c r="C976" s="3" t="s">
        <v>49</v>
      </c>
      <c r="D976" s="3" t="s">
        <v>8</v>
      </c>
      <c r="E976" s="3" t="n">
        <v>7300</v>
      </c>
      <c r="F976" s="3" t="n">
        <v>1648</v>
      </c>
      <c r="G976" s="3" t="n">
        <v>28</v>
      </c>
      <c r="H976" s="8" t="n">
        <f aca="false">(E976/1000)*(F976/1000)*(G976/1000)*7850</f>
        <v>2644.28192</v>
      </c>
      <c r="I976" s="3" t="n">
        <v>2</v>
      </c>
      <c r="J976" s="9" t="n">
        <f aca="false">H976*I976</f>
        <v>5288.56384</v>
      </c>
      <c r="K976" s="3"/>
    </row>
    <row r="977" customFormat="false" ht="19.5" hidden="false" customHeight="false" outlineLevel="0" collapsed="false">
      <c r="A977" s="3" t="s">
        <v>157</v>
      </c>
      <c r="B977" s="3" t="s">
        <v>158</v>
      </c>
      <c r="C977" s="3" t="s">
        <v>51</v>
      </c>
      <c r="D977" s="3" t="s">
        <v>8</v>
      </c>
      <c r="E977" s="3" t="n">
        <v>7901</v>
      </c>
      <c r="F977" s="3" t="n">
        <v>1850</v>
      </c>
      <c r="G977" s="3" t="n">
        <v>24</v>
      </c>
      <c r="H977" s="8" t="n">
        <f aca="false">(E977/1000)*(F977/1000)*(G977/1000)*7850</f>
        <v>2753.81454</v>
      </c>
      <c r="I977" s="3" t="n">
        <v>1</v>
      </c>
      <c r="J977" s="9" t="n">
        <f aca="false">H977*I977</f>
        <v>2753.81454</v>
      </c>
      <c r="K977" s="3"/>
    </row>
    <row r="978" customFormat="false" ht="19.5" hidden="false" customHeight="false" outlineLevel="0" collapsed="false">
      <c r="A978" s="3" t="s">
        <v>157</v>
      </c>
      <c r="B978" s="3" t="s">
        <v>158</v>
      </c>
      <c r="C978" s="3" t="s">
        <v>70</v>
      </c>
      <c r="D978" s="3" t="s">
        <v>8</v>
      </c>
      <c r="E978" s="3" t="n">
        <v>7101</v>
      </c>
      <c r="F978" s="3" t="n">
        <v>1850</v>
      </c>
      <c r="G978" s="3" t="n">
        <v>24</v>
      </c>
      <c r="H978" s="8" t="n">
        <f aca="false">(E978/1000)*(F978/1000)*(G978/1000)*7850</f>
        <v>2474.98254</v>
      </c>
      <c r="I978" s="3" t="n">
        <v>1</v>
      </c>
      <c r="J978" s="9" t="n">
        <f aca="false">H978*I978</f>
        <v>2474.98254</v>
      </c>
      <c r="K978" s="3"/>
    </row>
    <row r="979" customFormat="false" ht="19.5" hidden="false" customHeight="false" outlineLevel="0" collapsed="false">
      <c r="A979" s="3" t="s">
        <v>157</v>
      </c>
      <c r="B979" s="3" t="s">
        <v>158</v>
      </c>
      <c r="C979" s="3" t="s">
        <v>52</v>
      </c>
      <c r="D979" s="3" t="s">
        <v>8</v>
      </c>
      <c r="E979" s="3" t="n">
        <v>12530</v>
      </c>
      <c r="F979" s="3" t="n">
        <v>1000</v>
      </c>
      <c r="G979" s="3" t="n">
        <v>24</v>
      </c>
      <c r="H979" s="8" t="n">
        <f aca="false">(E979/1000)*(F979/1000)*(G979/1000)*7850</f>
        <v>2360.652</v>
      </c>
      <c r="I979" s="3" t="n">
        <v>1</v>
      </c>
      <c r="J979" s="9" t="n">
        <f aca="false">H979*I979</f>
        <v>2360.652</v>
      </c>
      <c r="K979" s="3"/>
    </row>
    <row r="980" customFormat="false" ht="19.5" hidden="false" customHeight="false" outlineLevel="0" collapsed="false">
      <c r="A980" s="3" t="s">
        <v>157</v>
      </c>
      <c r="B980" s="3" t="s">
        <v>158</v>
      </c>
      <c r="C980" s="3" t="s">
        <v>53</v>
      </c>
      <c r="D980" s="3" t="s">
        <v>8</v>
      </c>
      <c r="E980" s="3" t="n">
        <v>9710</v>
      </c>
      <c r="F980" s="3" t="n">
        <v>1000</v>
      </c>
      <c r="G980" s="3" t="n">
        <v>24</v>
      </c>
      <c r="H980" s="8" t="n">
        <f aca="false">(E980/1000)*(F980/1000)*(G980/1000)*7850</f>
        <v>1829.364</v>
      </c>
      <c r="I980" s="3" t="n">
        <v>1</v>
      </c>
      <c r="J980" s="9" t="n">
        <f aca="false">H980*I980</f>
        <v>1829.364</v>
      </c>
      <c r="K980" s="3"/>
    </row>
    <row r="981" customFormat="false" ht="19.5" hidden="false" customHeight="false" outlineLevel="0" collapsed="false">
      <c r="A981" s="3" t="s">
        <v>157</v>
      </c>
      <c r="B981" s="3" t="s">
        <v>158</v>
      </c>
      <c r="C981" s="3" t="s">
        <v>67</v>
      </c>
      <c r="D981" s="3" t="s">
        <v>8</v>
      </c>
      <c r="E981" s="3" t="n">
        <v>18390</v>
      </c>
      <c r="F981" s="3" t="n">
        <v>1000</v>
      </c>
      <c r="G981" s="3" t="n">
        <v>44</v>
      </c>
      <c r="H981" s="8" t="n">
        <f aca="false">(E981/1000)*(F981/1000)*(G981/1000)*7850</f>
        <v>6351.906</v>
      </c>
      <c r="I981" s="3" t="n">
        <v>2</v>
      </c>
      <c r="J981" s="9" t="n">
        <f aca="false">H981*I981</f>
        <v>12703.812</v>
      </c>
      <c r="K981" s="3"/>
    </row>
    <row r="982" customFormat="false" ht="19.5" hidden="false" customHeight="false" outlineLevel="0" collapsed="false">
      <c r="A982" s="3" t="s">
        <v>157</v>
      </c>
      <c r="B982" s="3" t="s">
        <v>158</v>
      </c>
      <c r="C982" s="3" t="s">
        <v>54</v>
      </c>
      <c r="D982" s="3" t="s">
        <v>8</v>
      </c>
      <c r="E982" s="3" t="n">
        <v>7301</v>
      </c>
      <c r="F982" s="3" t="n">
        <v>1474</v>
      </c>
      <c r="G982" s="3" t="n">
        <v>32</v>
      </c>
      <c r="H982" s="8" t="n">
        <f aca="false">(E982/1000)*(F982/1000)*(G982/1000)*7850</f>
        <v>2703.3325088</v>
      </c>
      <c r="I982" s="3" t="n">
        <v>2</v>
      </c>
      <c r="J982" s="9" t="n">
        <f aca="false">H982*I982</f>
        <v>5406.6650176</v>
      </c>
      <c r="K982" s="3"/>
    </row>
    <row r="983" customFormat="false" ht="19.5" hidden="false" customHeight="false" outlineLevel="0" collapsed="false">
      <c r="A983" s="3" t="s">
        <v>157</v>
      </c>
      <c r="B983" s="3" t="s">
        <v>158</v>
      </c>
      <c r="C983" s="3" t="s">
        <v>55</v>
      </c>
      <c r="D983" s="3" t="s">
        <v>8</v>
      </c>
      <c r="E983" s="3" t="n">
        <v>7901</v>
      </c>
      <c r="F983" s="3" t="n">
        <v>240</v>
      </c>
      <c r="G983" s="3" t="n">
        <v>20</v>
      </c>
      <c r="H983" s="8" t="n">
        <f aca="false">(E983/1000)*(F983/1000)*(G983/1000)*7850</f>
        <v>297.70968</v>
      </c>
      <c r="I983" s="3" t="n">
        <v>4</v>
      </c>
      <c r="J983" s="9" t="n">
        <f aca="false">H983*I983</f>
        <v>1190.83872</v>
      </c>
      <c r="K983" s="3"/>
    </row>
    <row r="984" customFormat="false" ht="19.5" hidden="false" customHeight="false" outlineLevel="0" collapsed="false">
      <c r="A984" s="3" t="s">
        <v>157</v>
      </c>
      <c r="B984" s="3" t="s">
        <v>158</v>
      </c>
      <c r="C984" s="3" t="s">
        <v>56</v>
      </c>
      <c r="D984" s="3" t="s">
        <v>8</v>
      </c>
      <c r="E984" s="3" t="n">
        <v>7101</v>
      </c>
      <c r="F984" s="3" t="n">
        <v>240</v>
      </c>
      <c r="G984" s="3" t="n">
        <v>20</v>
      </c>
      <c r="H984" s="8" t="n">
        <f aca="false">(E984/1000)*(F984/1000)*(G984/1000)*7850</f>
        <v>267.56568</v>
      </c>
      <c r="I984" s="3" t="n">
        <v>4</v>
      </c>
      <c r="J984" s="9" t="n">
        <f aca="false">H984*I984</f>
        <v>1070.26272</v>
      </c>
      <c r="K984" s="3"/>
    </row>
    <row r="985" customFormat="false" ht="19.5" hidden="false" customHeight="false" outlineLevel="0" collapsed="false">
      <c r="A985" s="3" t="s">
        <v>157</v>
      </c>
      <c r="B985" s="3" t="s">
        <v>158</v>
      </c>
      <c r="C985" s="3" t="s">
        <v>57</v>
      </c>
      <c r="D985" s="3" t="s">
        <v>8</v>
      </c>
      <c r="E985" s="3" t="n">
        <v>15002</v>
      </c>
      <c r="F985" s="3" t="n">
        <v>170</v>
      </c>
      <c r="G985" s="3" t="n">
        <v>14</v>
      </c>
      <c r="H985" s="8" t="n">
        <f aca="false">(E985/1000)*(F985/1000)*(G985/1000)*7850</f>
        <v>280.282366</v>
      </c>
      <c r="I985" s="3" t="n">
        <v>1</v>
      </c>
      <c r="J985" s="9" t="n">
        <f aca="false">H985*I985</f>
        <v>280.282366</v>
      </c>
      <c r="K985" s="3"/>
    </row>
    <row r="986" customFormat="false" ht="19.5" hidden="false" customHeight="false" outlineLevel="0" collapsed="false">
      <c r="A986" s="3" t="s">
        <v>157</v>
      </c>
      <c r="B986" s="3" t="s">
        <v>158</v>
      </c>
      <c r="C986" s="3" t="s">
        <v>58</v>
      </c>
      <c r="D986" s="3" t="s">
        <v>8</v>
      </c>
      <c r="E986" s="3" t="n">
        <v>7548</v>
      </c>
      <c r="F986" s="3" t="n">
        <v>900</v>
      </c>
      <c r="G986" s="3" t="n">
        <v>36</v>
      </c>
      <c r="H986" s="8" t="n">
        <f aca="false">(E986/1000)*(F986/1000)*(G986/1000)*7850</f>
        <v>1919.75832</v>
      </c>
      <c r="I986" s="3" t="n">
        <v>2</v>
      </c>
      <c r="J986" s="9" t="n">
        <f aca="false">H986*I986</f>
        <v>3839.51664</v>
      </c>
      <c r="K986" s="3"/>
    </row>
    <row r="987" customFormat="false" ht="19.5" hidden="false" customHeight="false" outlineLevel="0" collapsed="false">
      <c r="A987" s="3" t="s">
        <v>157</v>
      </c>
      <c r="B987" s="3" t="s">
        <v>158</v>
      </c>
      <c r="C987" s="3" t="s">
        <v>59</v>
      </c>
      <c r="D987" s="3" t="s">
        <v>8</v>
      </c>
      <c r="E987" s="3" t="n">
        <v>12448</v>
      </c>
      <c r="F987" s="3" t="n">
        <v>1200</v>
      </c>
      <c r="G987" s="3" t="n">
        <v>32</v>
      </c>
      <c r="H987" s="8" t="n">
        <f aca="false">(E987/1000)*(F987/1000)*(G987/1000)*7850</f>
        <v>3752.32512</v>
      </c>
      <c r="I987" s="3" t="n">
        <v>1</v>
      </c>
      <c r="J987" s="9" t="n">
        <f aca="false">H987*I987</f>
        <v>3752.32512</v>
      </c>
      <c r="K987" s="3"/>
    </row>
    <row r="988" customFormat="false" ht="19.5" hidden="false" customHeight="false" outlineLevel="0" collapsed="false">
      <c r="A988" s="3" t="s">
        <v>157</v>
      </c>
      <c r="B988" s="3" t="s">
        <v>158</v>
      </c>
      <c r="C988" s="3" t="s">
        <v>60</v>
      </c>
      <c r="D988" s="3" t="s">
        <v>8</v>
      </c>
      <c r="E988" s="3" t="n">
        <v>11048</v>
      </c>
      <c r="F988" s="3" t="n">
        <v>240</v>
      </c>
      <c r="G988" s="3" t="n">
        <v>24</v>
      </c>
      <c r="H988" s="8" t="n">
        <f aca="false">(E988/1000)*(F988/1000)*(G988/1000)*7850</f>
        <v>499.546368</v>
      </c>
      <c r="I988" s="3" t="n">
        <v>2</v>
      </c>
      <c r="J988" s="9" t="n">
        <f aca="false">H988*I988</f>
        <v>999.092736</v>
      </c>
      <c r="K988" s="3"/>
    </row>
    <row r="989" customFormat="false" ht="19.5" hidden="false" customHeight="false" outlineLevel="0" collapsed="false">
      <c r="A989" s="3" t="s">
        <v>157</v>
      </c>
      <c r="B989" s="3" t="s">
        <v>158</v>
      </c>
      <c r="C989" s="3" t="s">
        <v>61</v>
      </c>
      <c r="D989" s="3" t="s">
        <v>8</v>
      </c>
      <c r="E989" s="3" t="n">
        <v>3714</v>
      </c>
      <c r="F989" s="3" t="n">
        <v>900</v>
      </c>
      <c r="G989" s="3" t="n">
        <v>36</v>
      </c>
      <c r="H989" s="8" t="n">
        <f aca="false">(E989/1000)*(F989/1000)*(G989/1000)*7850</f>
        <v>944.61876</v>
      </c>
      <c r="I989" s="3" t="n">
        <v>2</v>
      </c>
      <c r="J989" s="9" t="n">
        <f aca="false">H989*I989</f>
        <v>1889.23752</v>
      </c>
      <c r="K989" s="3"/>
    </row>
    <row r="990" customFormat="false" ht="19.5" hidden="false" customHeight="false" outlineLevel="0" collapsed="false">
      <c r="A990" s="3" t="s">
        <v>157</v>
      </c>
      <c r="B990" s="3" t="s">
        <v>158</v>
      </c>
      <c r="C990" s="3" t="s">
        <v>61</v>
      </c>
      <c r="D990" s="3" t="s">
        <v>8</v>
      </c>
      <c r="E990" s="3" t="n">
        <v>6014</v>
      </c>
      <c r="F990" s="3" t="n">
        <v>1200</v>
      </c>
      <c r="G990" s="3" t="n">
        <v>32</v>
      </c>
      <c r="H990" s="8" t="n">
        <f aca="false">(E990/1000)*(F990/1000)*(G990/1000)*7850</f>
        <v>1812.86016</v>
      </c>
      <c r="I990" s="3" t="n">
        <v>1</v>
      </c>
      <c r="J990" s="9" t="n">
        <f aca="false">H990*I990</f>
        <v>1812.86016</v>
      </c>
      <c r="K990" s="3"/>
    </row>
    <row r="991" customFormat="false" ht="19.5" hidden="false" customHeight="false" outlineLevel="0" collapsed="false">
      <c r="A991" s="3" t="s">
        <v>157</v>
      </c>
      <c r="B991" s="3" t="s">
        <v>158</v>
      </c>
      <c r="C991" s="3" t="s">
        <v>61</v>
      </c>
      <c r="D991" s="3" t="s">
        <v>8</v>
      </c>
      <c r="E991" s="3" t="n">
        <v>5314</v>
      </c>
      <c r="F991" s="3" t="n">
        <v>240</v>
      </c>
      <c r="G991" s="3" t="n">
        <v>24</v>
      </c>
      <c r="H991" s="8" t="n">
        <f aca="false">(E991/1000)*(F991/1000)*(G991/1000)*7850</f>
        <v>240.277824</v>
      </c>
      <c r="I991" s="3" t="n">
        <v>2</v>
      </c>
      <c r="J991" s="9" t="n">
        <f aca="false">H991*I991</f>
        <v>480.555648</v>
      </c>
      <c r="K991" s="3"/>
    </row>
    <row r="992" customFormat="false" ht="19.5" hidden="false" customHeight="false" outlineLevel="0" collapsed="false">
      <c r="A992" s="3" t="s">
        <v>157</v>
      </c>
      <c r="B992" s="3" t="s">
        <v>158</v>
      </c>
      <c r="C992" s="3" t="s">
        <v>61</v>
      </c>
      <c r="D992" s="3" t="s">
        <v>8</v>
      </c>
      <c r="E992" s="3" t="n">
        <v>3752</v>
      </c>
      <c r="F992" s="3" t="n">
        <v>900</v>
      </c>
      <c r="G992" s="3" t="n">
        <v>36</v>
      </c>
      <c r="H992" s="8" t="n">
        <f aca="false">(E992/1000)*(F992/1000)*(G992/1000)*7850</f>
        <v>954.28368</v>
      </c>
      <c r="I992" s="3" t="n">
        <v>2</v>
      </c>
      <c r="J992" s="9" t="n">
        <f aca="false">H992*I992</f>
        <v>1908.56736</v>
      </c>
      <c r="K992" s="3"/>
    </row>
    <row r="993" customFormat="false" ht="19.5" hidden="false" customHeight="false" outlineLevel="0" collapsed="false">
      <c r="A993" s="3" t="s">
        <v>157</v>
      </c>
      <c r="B993" s="3" t="s">
        <v>158</v>
      </c>
      <c r="C993" s="3" t="s">
        <v>61</v>
      </c>
      <c r="D993" s="3" t="s">
        <v>8</v>
      </c>
      <c r="E993" s="3" t="n">
        <v>6352</v>
      </c>
      <c r="F993" s="3" t="n">
        <v>1200</v>
      </c>
      <c r="G993" s="3" t="n">
        <v>32</v>
      </c>
      <c r="H993" s="8" t="n">
        <f aca="false">(E993/1000)*(F993/1000)*(G993/1000)*7850</f>
        <v>1914.74688</v>
      </c>
      <c r="I993" s="3" t="n">
        <v>1</v>
      </c>
      <c r="J993" s="9" t="n">
        <f aca="false">H993*I993</f>
        <v>1914.74688</v>
      </c>
      <c r="K993" s="3"/>
    </row>
    <row r="994" customFormat="false" ht="19.5" hidden="false" customHeight="false" outlineLevel="0" collapsed="false">
      <c r="A994" s="3" t="s">
        <v>157</v>
      </c>
      <c r="B994" s="3" t="s">
        <v>158</v>
      </c>
      <c r="C994" s="3" t="s">
        <v>61</v>
      </c>
      <c r="D994" s="3" t="s">
        <v>8</v>
      </c>
      <c r="E994" s="3" t="n">
        <v>5652</v>
      </c>
      <c r="F994" s="3" t="n">
        <v>240</v>
      </c>
      <c r="G994" s="3" t="n">
        <v>24</v>
      </c>
      <c r="H994" s="8" t="n">
        <f aca="false">(E994/1000)*(F994/1000)*(G994/1000)*7850</f>
        <v>255.560832</v>
      </c>
      <c r="I994" s="3" t="n">
        <v>2</v>
      </c>
      <c r="J994" s="9" t="n">
        <f aca="false">H994*I994</f>
        <v>511.121664</v>
      </c>
      <c r="K994" s="3"/>
    </row>
    <row r="995" customFormat="false" ht="19.5" hidden="false" customHeight="false" outlineLevel="0" collapsed="false">
      <c r="A995" s="3" t="s">
        <v>157</v>
      </c>
      <c r="B995" s="3" t="s">
        <v>158</v>
      </c>
      <c r="C995" s="3" t="s">
        <v>61</v>
      </c>
      <c r="D995" s="3" t="s">
        <v>8</v>
      </c>
      <c r="E995" s="3" t="n">
        <v>1200</v>
      </c>
      <c r="F995" s="3" t="n">
        <v>1103</v>
      </c>
      <c r="G995" s="3" t="n">
        <v>20</v>
      </c>
      <c r="H995" s="8" t="n">
        <f aca="false">(E995/1000)*(F995/1000)*(G995/1000)*7850</f>
        <v>207.8052</v>
      </c>
      <c r="I995" s="3" t="n">
        <v>1</v>
      </c>
      <c r="J995" s="9" t="n">
        <f aca="false">H995*I995</f>
        <v>207.8052</v>
      </c>
      <c r="K995" s="3"/>
    </row>
    <row r="996" customFormat="false" ht="19.5" hidden="false" customHeight="false" outlineLevel="0" collapsed="false">
      <c r="A996" s="3" t="s">
        <v>157</v>
      </c>
      <c r="B996" s="3" t="s">
        <v>158</v>
      </c>
      <c r="C996" s="3" t="s">
        <v>61</v>
      </c>
      <c r="D996" s="3" t="s">
        <v>8</v>
      </c>
      <c r="E996" s="3" t="n">
        <v>1200</v>
      </c>
      <c r="F996" s="3" t="n">
        <v>1071</v>
      </c>
      <c r="G996" s="3" t="n">
        <v>20</v>
      </c>
      <c r="H996" s="8" t="n">
        <f aca="false">(E996/1000)*(F996/1000)*(G996/1000)*7850</f>
        <v>201.7764</v>
      </c>
      <c r="I996" s="3" t="n">
        <v>1</v>
      </c>
      <c r="J996" s="9" t="n">
        <f aca="false">H996*I996</f>
        <v>201.7764</v>
      </c>
      <c r="K996" s="3"/>
    </row>
    <row r="997" customFormat="false" ht="19.5" hidden="false" customHeight="false" outlineLevel="0" collapsed="false">
      <c r="A997" s="3" t="s">
        <v>157</v>
      </c>
      <c r="B997" s="3" t="s">
        <v>158</v>
      </c>
      <c r="C997" s="3" t="s">
        <v>61</v>
      </c>
      <c r="D997" s="3" t="s">
        <v>8</v>
      </c>
      <c r="E997" s="3" t="n">
        <v>1580</v>
      </c>
      <c r="F997" s="3" t="n">
        <v>610</v>
      </c>
      <c r="G997" s="3" t="n">
        <v>14</v>
      </c>
      <c r="H997" s="8" t="n">
        <f aca="false">(E997/1000)*(F997/1000)*(G997/1000)*7850</f>
        <v>105.92162</v>
      </c>
      <c r="I997" s="3" t="n">
        <v>3</v>
      </c>
      <c r="J997" s="9" t="n">
        <f aca="false">H997*I997</f>
        <v>317.76486</v>
      </c>
      <c r="K997" s="3"/>
    </row>
    <row r="998" customFormat="false" ht="19.5" hidden="false" customHeight="false" outlineLevel="0" collapsed="false">
      <c r="A998" s="3" t="s">
        <v>157</v>
      </c>
      <c r="B998" s="3" t="s">
        <v>158</v>
      </c>
      <c r="C998" s="3" t="s">
        <v>61</v>
      </c>
      <c r="D998" s="3" t="s">
        <v>8</v>
      </c>
      <c r="E998" s="3" t="n">
        <v>1580</v>
      </c>
      <c r="F998" s="3" t="n">
        <v>622</v>
      </c>
      <c r="G998" s="3" t="n">
        <v>14</v>
      </c>
      <c r="H998" s="8" t="n">
        <f aca="false">(E998/1000)*(F998/1000)*(G998/1000)*7850</f>
        <v>108.005324</v>
      </c>
      <c r="I998" s="3" t="n">
        <v>2</v>
      </c>
      <c r="J998" s="9" t="n">
        <f aca="false">H998*I998</f>
        <v>216.010648</v>
      </c>
      <c r="K998" s="3"/>
    </row>
    <row r="999" customFormat="false" ht="19.5" hidden="false" customHeight="false" outlineLevel="0" collapsed="false">
      <c r="A999" s="3" t="s">
        <v>157</v>
      </c>
      <c r="B999" s="3" t="s">
        <v>158</v>
      </c>
      <c r="C999" s="3" t="s">
        <v>61</v>
      </c>
      <c r="D999" s="3" t="s">
        <v>8</v>
      </c>
      <c r="E999" s="3" t="n">
        <v>470</v>
      </c>
      <c r="F999" s="3" t="n">
        <v>1000</v>
      </c>
      <c r="G999" s="3" t="n">
        <v>24</v>
      </c>
      <c r="H999" s="8" t="n">
        <f aca="false">(E999/1000)*(F999/1000)*(G999/1000)*7850</f>
        <v>88.548</v>
      </c>
      <c r="I999" s="3" t="n">
        <v>3</v>
      </c>
      <c r="J999" s="9" t="n">
        <f aca="false">H999*I999</f>
        <v>265.644</v>
      </c>
      <c r="K999" s="3"/>
    </row>
    <row r="1000" customFormat="false" ht="19.5" hidden="false" customHeight="false" outlineLevel="0" collapsed="false">
      <c r="A1000" s="3" t="s">
        <v>157</v>
      </c>
      <c r="B1000" s="3" t="s">
        <v>158</v>
      </c>
      <c r="C1000" s="3" t="s">
        <v>61</v>
      </c>
      <c r="D1000" s="3" t="s">
        <v>8</v>
      </c>
      <c r="E1000" s="3" t="n">
        <v>470</v>
      </c>
      <c r="F1000" s="3" t="n">
        <v>1000</v>
      </c>
      <c r="G1000" s="3" t="n">
        <v>24</v>
      </c>
      <c r="H1000" s="8" t="n">
        <f aca="false">(E1000/1000)*(F1000/1000)*(G1000/1000)*7850</f>
        <v>88.548</v>
      </c>
      <c r="I1000" s="3" t="n">
        <v>2</v>
      </c>
      <c r="J1000" s="9" t="n">
        <f aca="false">H1000*I1000</f>
        <v>177.096</v>
      </c>
      <c r="K1000" s="3"/>
    </row>
    <row r="1001" customFormat="false" ht="19.5" hidden="false" customHeight="false" outlineLevel="0" collapsed="false">
      <c r="A1001" s="3" t="s">
        <v>157</v>
      </c>
      <c r="B1001" s="3" t="s">
        <v>158</v>
      </c>
      <c r="C1001" s="3" t="s">
        <v>61</v>
      </c>
      <c r="D1001" s="3" t="s">
        <v>8</v>
      </c>
      <c r="E1001" s="3" t="n">
        <v>1450</v>
      </c>
      <c r="F1001" s="3" t="n">
        <v>606</v>
      </c>
      <c r="G1001" s="3" t="n">
        <v>14</v>
      </c>
      <c r="H1001" s="8" t="n">
        <f aca="false">(E1001/1000)*(F1001/1000)*(G1001/1000)*7850</f>
        <v>96.56913</v>
      </c>
      <c r="I1001" s="3" t="n">
        <v>3</v>
      </c>
      <c r="J1001" s="9" t="n">
        <f aca="false">H1001*I1001</f>
        <v>289.70739</v>
      </c>
      <c r="K1001" s="3"/>
    </row>
    <row r="1002" customFormat="false" ht="19.5" hidden="false" customHeight="false" outlineLevel="0" collapsed="false">
      <c r="A1002" s="3" t="s">
        <v>157</v>
      </c>
      <c r="B1002" s="3" t="s">
        <v>158</v>
      </c>
      <c r="C1002" s="3" t="s">
        <v>61</v>
      </c>
      <c r="D1002" s="3" t="s">
        <v>8</v>
      </c>
      <c r="E1002" s="3" t="n">
        <v>1450</v>
      </c>
      <c r="F1002" s="3" t="n">
        <v>618</v>
      </c>
      <c r="G1002" s="3" t="n">
        <v>14</v>
      </c>
      <c r="H1002" s="8" t="n">
        <f aca="false">(E1002/1000)*(F1002/1000)*(G1002/1000)*7850</f>
        <v>98.48139</v>
      </c>
      <c r="I1002" s="3" t="n">
        <v>2</v>
      </c>
      <c r="J1002" s="9" t="n">
        <f aca="false">H1002*I1002</f>
        <v>196.96278</v>
      </c>
      <c r="K1002" s="3"/>
    </row>
    <row r="1003" customFormat="false" ht="19.5" hidden="false" customHeight="false" outlineLevel="0" collapsed="false">
      <c r="A1003" s="3" t="s">
        <v>159</v>
      </c>
      <c r="B1003" s="3" t="s">
        <v>160</v>
      </c>
      <c r="C1003" s="3" t="s">
        <v>44</v>
      </c>
      <c r="D1003" s="3" t="s">
        <v>8</v>
      </c>
      <c r="E1003" s="3" t="n">
        <v>11850</v>
      </c>
      <c r="F1003" s="3" t="n">
        <v>1000</v>
      </c>
      <c r="G1003" s="3" t="n">
        <v>20</v>
      </c>
      <c r="H1003" s="8" t="n">
        <f aca="false">(E1003/1000)*(F1003/1000)*(G1003/1000)*7850</f>
        <v>1860.45</v>
      </c>
      <c r="I1003" s="3" t="n">
        <v>1</v>
      </c>
      <c r="J1003" s="9" t="n">
        <f aca="false">H1003*I1003</f>
        <v>1860.45</v>
      </c>
      <c r="K1003" s="3"/>
    </row>
    <row r="1004" customFormat="false" ht="19.5" hidden="false" customHeight="false" outlineLevel="0" collapsed="false">
      <c r="A1004" s="3" t="s">
        <v>159</v>
      </c>
      <c r="B1004" s="3" t="s">
        <v>160</v>
      </c>
      <c r="C1004" s="3" t="s">
        <v>45</v>
      </c>
      <c r="D1004" s="3" t="s">
        <v>8</v>
      </c>
      <c r="E1004" s="3" t="n">
        <v>10390</v>
      </c>
      <c r="F1004" s="3" t="n">
        <v>1000</v>
      </c>
      <c r="G1004" s="3" t="n">
        <v>20</v>
      </c>
      <c r="H1004" s="8" t="n">
        <f aca="false">(E1004/1000)*(F1004/1000)*(G1004/1000)*7850</f>
        <v>1631.23</v>
      </c>
      <c r="I1004" s="3" t="n">
        <v>1</v>
      </c>
      <c r="J1004" s="9" t="n">
        <f aca="false">H1004*I1004</f>
        <v>1631.23</v>
      </c>
      <c r="K1004" s="3"/>
    </row>
    <row r="1005" customFormat="false" ht="19.5" hidden="false" customHeight="false" outlineLevel="0" collapsed="false">
      <c r="A1005" s="3" t="s">
        <v>159</v>
      </c>
      <c r="B1005" s="3" t="s">
        <v>160</v>
      </c>
      <c r="C1005" s="3" t="s">
        <v>46</v>
      </c>
      <c r="D1005" s="3" t="s">
        <v>8</v>
      </c>
      <c r="E1005" s="3" t="n">
        <v>7900</v>
      </c>
      <c r="F1005" s="3" t="n">
        <v>1200</v>
      </c>
      <c r="G1005" s="3" t="n">
        <v>20</v>
      </c>
      <c r="H1005" s="8" t="n">
        <f aca="false">(E1005/1000)*(F1005/1000)*(G1005/1000)*7850</f>
        <v>1488.36</v>
      </c>
      <c r="I1005" s="3" t="n">
        <v>1</v>
      </c>
      <c r="J1005" s="9" t="n">
        <f aca="false">H1005*I1005</f>
        <v>1488.36</v>
      </c>
      <c r="K1005" s="3"/>
    </row>
    <row r="1006" customFormat="false" ht="19.5" hidden="false" customHeight="false" outlineLevel="0" collapsed="false">
      <c r="A1006" s="3" t="s">
        <v>159</v>
      </c>
      <c r="B1006" s="3" t="s">
        <v>160</v>
      </c>
      <c r="C1006" s="3" t="s">
        <v>47</v>
      </c>
      <c r="D1006" s="3" t="s">
        <v>8</v>
      </c>
      <c r="E1006" s="3" t="n">
        <v>7100</v>
      </c>
      <c r="F1006" s="3" t="n">
        <v>1200</v>
      </c>
      <c r="G1006" s="3" t="n">
        <v>20</v>
      </c>
      <c r="H1006" s="8" t="n">
        <f aca="false">(E1006/1000)*(F1006/1000)*(G1006/1000)*7850</f>
        <v>1337.64</v>
      </c>
      <c r="I1006" s="3" t="n">
        <v>1</v>
      </c>
      <c r="J1006" s="9" t="n">
        <f aca="false">H1006*I1006</f>
        <v>1337.64</v>
      </c>
      <c r="K1006" s="3"/>
    </row>
    <row r="1007" customFormat="false" ht="19.5" hidden="false" customHeight="false" outlineLevel="0" collapsed="false">
      <c r="A1007" s="3" t="s">
        <v>159</v>
      </c>
      <c r="B1007" s="3" t="s">
        <v>160</v>
      </c>
      <c r="C1007" s="3" t="s">
        <v>48</v>
      </c>
      <c r="D1007" s="3" t="s">
        <v>8</v>
      </c>
      <c r="E1007" s="3" t="n">
        <v>20320</v>
      </c>
      <c r="F1007" s="3" t="n">
        <v>1000</v>
      </c>
      <c r="G1007" s="3" t="n">
        <v>40</v>
      </c>
      <c r="H1007" s="8" t="n">
        <f aca="false">(E1007/1000)*(F1007/1000)*(G1007/1000)*7850</f>
        <v>6380.48</v>
      </c>
      <c r="I1007" s="3" t="n">
        <v>2</v>
      </c>
      <c r="J1007" s="9" t="n">
        <f aca="false">H1007*I1007</f>
        <v>12760.96</v>
      </c>
      <c r="K1007" s="3"/>
    </row>
    <row r="1008" customFormat="false" ht="19.5" hidden="false" customHeight="false" outlineLevel="0" collapsed="false">
      <c r="A1008" s="3" t="s">
        <v>159</v>
      </c>
      <c r="B1008" s="3" t="s">
        <v>160</v>
      </c>
      <c r="C1008" s="3" t="s">
        <v>49</v>
      </c>
      <c r="D1008" s="3" t="s">
        <v>8</v>
      </c>
      <c r="E1008" s="3" t="n">
        <v>7300</v>
      </c>
      <c r="F1008" s="3" t="n">
        <v>1648</v>
      </c>
      <c r="G1008" s="3" t="n">
        <v>28</v>
      </c>
      <c r="H1008" s="8" t="n">
        <f aca="false">(E1008/1000)*(F1008/1000)*(G1008/1000)*7850</f>
        <v>2644.28192</v>
      </c>
      <c r="I1008" s="3" t="n">
        <v>2</v>
      </c>
      <c r="J1008" s="9" t="n">
        <f aca="false">H1008*I1008</f>
        <v>5288.56384</v>
      </c>
      <c r="K1008" s="3"/>
    </row>
    <row r="1009" customFormat="false" ht="19.5" hidden="false" customHeight="false" outlineLevel="0" collapsed="false">
      <c r="A1009" s="3" t="s">
        <v>159</v>
      </c>
      <c r="B1009" s="3" t="s">
        <v>160</v>
      </c>
      <c r="C1009" s="3" t="s">
        <v>67</v>
      </c>
      <c r="D1009" s="3" t="s">
        <v>8</v>
      </c>
      <c r="E1009" s="3" t="n">
        <v>18380</v>
      </c>
      <c r="F1009" s="3" t="n">
        <v>1000</v>
      </c>
      <c r="G1009" s="3" t="n">
        <v>44</v>
      </c>
      <c r="H1009" s="8" t="n">
        <f aca="false">(E1009/1000)*(F1009/1000)*(G1009/1000)*7850</f>
        <v>6348.452</v>
      </c>
      <c r="I1009" s="3" t="n">
        <v>2</v>
      </c>
      <c r="J1009" s="9" t="n">
        <f aca="false">H1009*I1009</f>
        <v>12696.904</v>
      </c>
      <c r="K1009" s="3"/>
    </row>
    <row r="1010" customFormat="false" ht="19.5" hidden="false" customHeight="false" outlineLevel="0" collapsed="false">
      <c r="A1010" s="3" t="s">
        <v>159</v>
      </c>
      <c r="B1010" s="3" t="s">
        <v>160</v>
      </c>
      <c r="C1010" s="3" t="s">
        <v>67</v>
      </c>
      <c r="D1010" s="3" t="s">
        <v>8</v>
      </c>
      <c r="E1010" s="3" t="n">
        <v>7301</v>
      </c>
      <c r="F1010" s="3" t="n">
        <v>1474</v>
      </c>
      <c r="G1010" s="3" t="n">
        <v>32</v>
      </c>
      <c r="H1010" s="8" t="n">
        <f aca="false">(E1010/1000)*(F1010/1000)*(G1010/1000)*7850</f>
        <v>2703.3325088</v>
      </c>
      <c r="I1010" s="3" t="n">
        <v>2</v>
      </c>
      <c r="J1010" s="9" t="n">
        <f aca="false">H1010*I1010</f>
        <v>5406.6650176</v>
      </c>
      <c r="K1010" s="3"/>
    </row>
    <row r="1011" customFormat="false" ht="19.5" hidden="false" customHeight="false" outlineLevel="0" collapsed="false">
      <c r="A1011" s="3" t="s">
        <v>159</v>
      </c>
      <c r="B1011" s="3" t="s">
        <v>160</v>
      </c>
      <c r="C1011" s="3" t="s">
        <v>67</v>
      </c>
      <c r="D1011" s="3" t="s">
        <v>8</v>
      </c>
      <c r="E1011" s="3" t="n">
        <v>1450</v>
      </c>
      <c r="F1011" s="3" t="n">
        <v>1200</v>
      </c>
      <c r="G1011" s="3" t="n">
        <v>16</v>
      </c>
      <c r="H1011" s="8" t="n">
        <f aca="false">(E1011/1000)*(F1011/1000)*(G1011/1000)*7850</f>
        <v>218.544</v>
      </c>
      <c r="I1011" s="3" t="n">
        <v>3</v>
      </c>
      <c r="J1011" s="9" t="n">
        <f aca="false">H1011*I1011</f>
        <v>655.632</v>
      </c>
      <c r="K1011" s="3"/>
    </row>
    <row r="1012" customFormat="false" ht="19.5" hidden="false" customHeight="false" outlineLevel="0" collapsed="false">
      <c r="A1012" s="3" t="s">
        <v>159</v>
      </c>
      <c r="B1012" s="3" t="s">
        <v>160</v>
      </c>
      <c r="C1012" s="3" t="s">
        <v>55</v>
      </c>
      <c r="D1012" s="3" t="s">
        <v>8</v>
      </c>
      <c r="E1012" s="3" t="n">
        <v>7901</v>
      </c>
      <c r="F1012" s="3" t="n">
        <v>240</v>
      </c>
      <c r="G1012" s="3" t="n">
        <v>20</v>
      </c>
      <c r="H1012" s="8" t="n">
        <f aca="false">(E1012/1000)*(F1012/1000)*(G1012/1000)*7850</f>
        <v>297.70968</v>
      </c>
      <c r="I1012" s="3" t="n">
        <v>4</v>
      </c>
      <c r="J1012" s="9" t="n">
        <f aca="false">H1012*I1012</f>
        <v>1190.83872</v>
      </c>
      <c r="K1012" s="3"/>
    </row>
    <row r="1013" customFormat="false" ht="19.5" hidden="false" customHeight="false" outlineLevel="0" collapsed="false">
      <c r="A1013" s="3" t="s">
        <v>159</v>
      </c>
      <c r="B1013" s="3" t="s">
        <v>160</v>
      </c>
      <c r="C1013" s="3" t="s">
        <v>56</v>
      </c>
      <c r="D1013" s="3" t="s">
        <v>8</v>
      </c>
      <c r="E1013" s="3" t="n">
        <v>7101</v>
      </c>
      <c r="F1013" s="3" t="n">
        <v>240</v>
      </c>
      <c r="G1013" s="3" t="n">
        <v>20</v>
      </c>
      <c r="H1013" s="8" t="n">
        <f aca="false">(E1013/1000)*(F1013/1000)*(G1013/1000)*7850</f>
        <v>267.56568</v>
      </c>
      <c r="I1013" s="3" t="n">
        <v>4</v>
      </c>
      <c r="J1013" s="9" t="n">
        <f aca="false">H1013*I1013</f>
        <v>1070.26272</v>
      </c>
      <c r="K1013" s="3"/>
    </row>
    <row r="1014" customFormat="false" ht="19.5" hidden="false" customHeight="false" outlineLevel="0" collapsed="false">
      <c r="A1014" s="3" t="s">
        <v>159</v>
      </c>
      <c r="B1014" s="3" t="s">
        <v>160</v>
      </c>
      <c r="C1014" s="3" t="s">
        <v>57</v>
      </c>
      <c r="D1014" s="3" t="s">
        <v>8</v>
      </c>
      <c r="E1014" s="3" t="n">
        <v>15002</v>
      </c>
      <c r="F1014" s="3" t="n">
        <v>170</v>
      </c>
      <c r="G1014" s="3" t="n">
        <v>14</v>
      </c>
      <c r="H1014" s="8" t="n">
        <f aca="false">(E1014/1000)*(F1014/1000)*(G1014/1000)*7850</f>
        <v>280.282366</v>
      </c>
      <c r="I1014" s="3" t="n">
        <v>1</v>
      </c>
      <c r="J1014" s="9" t="n">
        <f aca="false">H1014*I1014</f>
        <v>280.282366</v>
      </c>
      <c r="K1014" s="3"/>
    </row>
    <row r="1015" customFormat="false" ht="19.5" hidden="false" customHeight="false" outlineLevel="0" collapsed="false">
      <c r="A1015" s="3" t="s">
        <v>159</v>
      </c>
      <c r="B1015" s="3" t="s">
        <v>160</v>
      </c>
      <c r="C1015" s="3" t="s">
        <v>58</v>
      </c>
      <c r="D1015" s="3" t="s">
        <v>8</v>
      </c>
      <c r="E1015" s="3" t="n">
        <v>7458</v>
      </c>
      <c r="F1015" s="3" t="n">
        <v>900</v>
      </c>
      <c r="G1015" s="3" t="n">
        <v>36</v>
      </c>
      <c r="H1015" s="8" t="n">
        <f aca="false">(E1015/1000)*(F1015/1000)*(G1015/1000)*7850</f>
        <v>1896.86772</v>
      </c>
      <c r="I1015" s="3" t="n">
        <v>2</v>
      </c>
      <c r="J1015" s="9" t="n">
        <f aca="false">H1015*I1015</f>
        <v>3793.73544</v>
      </c>
      <c r="K1015" s="3"/>
    </row>
    <row r="1016" customFormat="false" ht="19.5" hidden="false" customHeight="false" outlineLevel="0" collapsed="false">
      <c r="A1016" s="3" t="s">
        <v>159</v>
      </c>
      <c r="B1016" s="3" t="s">
        <v>160</v>
      </c>
      <c r="C1016" s="3" t="s">
        <v>59</v>
      </c>
      <c r="D1016" s="3" t="s">
        <v>8</v>
      </c>
      <c r="E1016" s="3" t="n">
        <v>12358</v>
      </c>
      <c r="F1016" s="3" t="n">
        <v>1200</v>
      </c>
      <c r="G1016" s="3" t="n">
        <v>32</v>
      </c>
      <c r="H1016" s="8" t="n">
        <f aca="false">(E1016/1000)*(F1016/1000)*(G1016/1000)*7850</f>
        <v>3725.19552</v>
      </c>
      <c r="I1016" s="3" t="n">
        <v>1</v>
      </c>
      <c r="J1016" s="9" t="n">
        <f aca="false">H1016*I1016</f>
        <v>3725.19552</v>
      </c>
      <c r="K1016" s="3"/>
    </row>
    <row r="1017" customFormat="false" ht="19.5" hidden="false" customHeight="false" outlineLevel="0" collapsed="false">
      <c r="A1017" s="3" t="s">
        <v>159</v>
      </c>
      <c r="B1017" s="3" t="s">
        <v>160</v>
      </c>
      <c r="C1017" s="3" t="s">
        <v>60</v>
      </c>
      <c r="D1017" s="3" t="s">
        <v>8</v>
      </c>
      <c r="E1017" s="3" t="n">
        <v>10958</v>
      </c>
      <c r="F1017" s="3" t="n">
        <v>240</v>
      </c>
      <c r="G1017" s="3" t="n">
        <v>24</v>
      </c>
      <c r="H1017" s="8" t="n">
        <f aca="false">(E1017/1000)*(F1017/1000)*(G1017/1000)*7850</f>
        <v>495.476928</v>
      </c>
      <c r="I1017" s="3" t="n">
        <v>2</v>
      </c>
      <c r="J1017" s="9" t="n">
        <f aca="false">H1017*I1017</f>
        <v>990.953856</v>
      </c>
      <c r="K1017" s="3"/>
    </row>
    <row r="1018" customFormat="false" ht="19.5" hidden="false" customHeight="false" outlineLevel="0" collapsed="false">
      <c r="A1018" s="3" t="s">
        <v>159</v>
      </c>
      <c r="B1018" s="3" t="s">
        <v>160</v>
      </c>
      <c r="C1018" s="3" t="s">
        <v>102</v>
      </c>
      <c r="D1018" s="3" t="s">
        <v>8</v>
      </c>
      <c r="E1018" s="3" t="n">
        <v>5782</v>
      </c>
      <c r="F1018" s="3" t="n">
        <v>1200</v>
      </c>
      <c r="G1018" s="3" t="n">
        <v>36</v>
      </c>
      <c r="H1018" s="8" t="n">
        <f aca="false">(E1018/1000)*(F1018/1000)*(G1018/1000)*7850</f>
        <v>1960.79184</v>
      </c>
      <c r="I1018" s="3" t="n">
        <v>1</v>
      </c>
      <c r="J1018" s="9" t="n">
        <f aca="false">H1018*I1018</f>
        <v>1960.79184</v>
      </c>
      <c r="K1018" s="3"/>
    </row>
    <row r="1019" customFormat="false" ht="19.5" hidden="false" customHeight="false" outlineLevel="0" collapsed="false">
      <c r="A1019" s="3" t="s">
        <v>159</v>
      </c>
      <c r="B1019" s="3" t="s">
        <v>160</v>
      </c>
      <c r="C1019" s="3" t="s">
        <v>102</v>
      </c>
      <c r="D1019" s="3" t="s">
        <v>8</v>
      </c>
      <c r="E1019" s="3" t="n">
        <v>3682</v>
      </c>
      <c r="F1019" s="3" t="n">
        <v>1360</v>
      </c>
      <c r="G1019" s="3" t="n">
        <v>36</v>
      </c>
      <c r="H1019" s="8" t="n">
        <f aca="false">(E1019/1000)*(F1019/1000)*(G1019/1000)*7850</f>
        <v>1415.125152</v>
      </c>
      <c r="I1019" s="3" t="n">
        <v>2</v>
      </c>
      <c r="J1019" s="9" t="n">
        <f aca="false">H1019*I1019</f>
        <v>2830.250304</v>
      </c>
      <c r="K1019" s="3"/>
    </row>
    <row r="1020" customFormat="false" ht="19.5" hidden="false" customHeight="false" outlineLevel="0" collapsed="false">
      <c r="A1020" s="3" t="s">
        <v>159</v>
      </c>
      <c r="B1020" s="3" t="s">
        <v>160</v>
      </c>
      <c r="C1020" s="3" t="s">
        <v>102</v>
      </c>
      <c r="D1020" s="3" t="s">
        <v>8</v>
      </c>
      <c r="E1020" s="3" t="n">
        <v>3682</v>
      </c>
      <c r="F1020" s="3" t="n">
        <v>320</v>
      </c>
      <c r="G1020" s="3" t="n">
        <v>32</v>
      </c>
      <c r="H1020" s="8" t="n">
        <f aca="false">(E1020/1000)*(F1020/1000)*(G1020/1000)*7850</f>
        <v>295.973888</v>
      </c>
      <c r="I1020" s="3" t="n">
        <v>2</v>
      </c>
      <c r="J1020" s="9" t="n">
        <f aca="false">H1020*I1020</f>
        <v>591.947776</v>
      </c>
      <c r="K1020" s="3"/>
    </row>
    <row r="1021" customFormat="false" ht="19.5" hidden="false" customHeight="false" outlineLevel="0" collapsed="false">
      <c r="A1021" s="3" t="s">
        <v>159</v>
      </c>
      <c r="B1021" s="3" t="s">
        <v>160</v>
      </c>
      <c r="C1021" s="3" t="s">
        <v>102</v>
      </c>
      <c r="D1021" s="3" t="s">
        <v>8</v>
      </c>
      <c r="E1021" s="3" t="n">
        <v>4782</v>
      </c>
      <c r="F1021" s="3" t="n">
        <v>320</v>
      </c>
      <c r="G1021" s="3" t="n">
        <v>32</v>
      </c>
      <c r="H1021" s="8" t="n">
        <f aca="false">(E1021/1000)*(F1021/1000)*(G1021/1000)*7850</f>
        <v>384.396288</v>
      </c>
      <c r="I1021" s="3" t="n">
        <v>1</v>
      </c>
      <c r="J1021" s="9" t="n">
        <f aca="false">H1021*I1021</f>
        <v>384.396288</v>
      </c>
      <c r="K1021" s="3"/>
    </row>
    <row r="1022" customFormat="false" ht="19.5" hidden="false" customHeight="false" outlineLevel="0" collapsed="false">
      <c r="A1022" s="3" t="s">
        <v>159</v>
      </c>
      <c r="B1022" s="3" t="s">
        <v>160</v>
      </c>
      <c r="C1022" s="3" t="s">
        <v>102</v>
      </c>
      <c r="D1022" s="3" t="s">
        <v>8</v>
      </c>
      <c r="E1022" s="3" t="n">
        <v>5082</v>
      </c>
      <c r="F1022" s="3" t="n">
        <v>320</v>
      </c>
      <c r="G1022" s="3" t="n">
        <v>32</v>
      </c>
      <c r="H1022" s="8" t="n">
        <f aca="false">(E1022/1000)*(F1022/1000)*(G1022/1000)*7850</f>
        <v>408.511488</v>
      </c>
      <c r="I1022" s="3" t="n">
        <v>1</v>
      </c>
      <c r="J1022" s="9" t="n">
        <f aca="false">H1022*I1022</f>
        <v>408.511488</v>
      </c>
      <c r="K1022" s="3"/>
    </row>
    <row r="1023" customFormat="false" ht="19.5" hidden="false" customHeight="false" outlineLevel="0" collapsed="false">
      <c r="A1023" s="3" t="s">
        <v>159</v>
      </c>
      <c r="B1023" s="3" t="s">
        <v>160</v>
      </c>
      <c r="C1023" s="3" t="s">
        <v>102</v>
      </c>
      <c r="D1023" s="3" t="s">
        <v>8</v>
      </c>
      <c r="E1023" s="3" t="n">
        <v>1200</v>
      </c>
      <c r="F1023" s="3" t="n">
        <v>1200</v>
      </c>
      <c r="G1023" s="3" t="n">
        <v>16</v>
      </c>
      <c r="H1023" s="8" t="n">
        <f aca="false">(E1023/1000)*(F1023/1000)*(G1023/1000)*7850</f>
        <v>180.864</v>
      </c>
      <c r="I1023" s="3" t="n">
        <v>3</v>
      </c>
      <c r="J1023" s="9" t="n">
        <f aca="false">H1023*I1023</f>
        <v>542.592</v>
      </c>
      <c r="K1023" s="3"/>
    </row>
    <row r="1024" customFormat="false" ht="19.5" hidden="false" customHeight="false" outlineLevel="0" collapsed="false">
      <c r="A1024" s="3" t="s">
        <v>159</v>
      </c>
      <c r="B1024" s="3" t="s">
        <v>160</v>
      </c>
      <c r="C1024" s="3" t="s">
        <v>102</v>
      </c>
      <c r="D1024" s="3" t="s">
        <v>8</v>
      </c>
      <c r="E1024" s="3" t="n">
        <v>3714</v>
      </c>
      <c r="F1024" s="3" t="n">
        <v>900</v>
      </c>
      <c r="G1024" s="3" t="n">
        <v>36</v>
      </c>
      <c r="H1024" s="8" t="n">
        <f aca="false">(E1024/1000)*(F1024/1000)*(G1024/1000)*7850</f>
        <v>944.61876</v>
      </c>
      <c r="I1024" s="3" t="n">
        <v>2</v>
      </c>
      <c r="J1024" s="9" t="n">
        <f aca="false">H1024*I1024</f>
        <v>1889.23752</v>
      </c>
      <c r="K1024" s="3"/>
    </row>
    <row r="1025" customFormat="false" ht="19.5" hidden="false" customHeight="false" outlineLevel="0" collapsed="false">
      <c r="A1025" s="3" t="s">
        <v>159</v>
      </c>
      <c r="B1025" s="3" t="s">
        <v>160</v>
      </c>
      <c r="C1025" s="3" t="s">
        <v>102</v>
      </c>
      <c r="D1025" s="3" t="s">
        <v>8</v>
      </c>
      <c r="E1025" s="3" t="n">
        <v>6314</v>
      </c>
      <c r="F1025" s="3" t="n">
        <v>1200</v>
      </c>
      <c r="G1025" s="3" t="n">
        <v>32</v>
      </c>
      <c r="H1025" s="8" t="n">
        <f aca="false">(E1025/1000)*(F1025/1000)*(G1025/1000)*7850</f>
        <v>1903.29216</v>
      </c>
      <c r="I1025" s="3" t="n">
        <v>1</v>
      </c>
      <c r="J1025" s="9" t="n">
        <f aca="false">H1025*I1025</f>
        <v>1903.29216</v>
      </c>
      <c r="K1025" s="3"/>
    </row>
    <row r="1026" customFormat="false" ht="19.5" hidden="false" customHeight="false" outlineLevel="0" collapsed="false">
      <c r="A1026" s="3" t="s">
        <v>159</v>
      </c>
      <c r="B1026" s="3" t="s">
        <v>160</v>
      </c>
      <c r="C1026" s="3" t="s">
        <v>102</v>
      </c>
      <c r="D1026" s="3" t="s">
        <v>8</v>
      </c>
      <c r="E1026" s="3" t="n">
        <v>4914</v>
      </c>
      <c r="F1026" s="3" t="n">
        <v>240</v>
      </c>
      <c r="G1026" s="3" t="n">
        <v>24</v>
      </c>
      <c r="H1026" s="8" t="n">
        <f aca="false">(E1026/1000)*(F1026/1000)*(G1026/1000)*7850</f>
        <v>222.191424</v>
      </c>
      <c r="I1026" s="3" t="n">
        <v>2</v>
      </c>
      <c r="J1026" s="9" t="n">
        <f aca="false">H1026*I1026</f>
        <v>444.382848</v>
      </c>
      <c r="K1026" s="3"/>
    </row>
    <row r="1027" customFormat="false" ht="19.5" hidden="false" customHeight="false" outlineLevel="0" collapsed="false">
      <c r="A1027" s="3" t="s">
        <v>159</v>
      </c>
      <c r="B1027" s="3" t="s">
        <v>160</v>
      </c>
      <c r="C1027" s="3" t="s">
        <v>102</v>
      </c>
      <c r="D1027" s="3" t="s">
        <v>8</v>
      </c>
      <c r="E1027" s="3" t="n">
        <v>2300</v>
      </c>
      <c r="F1027" s="3" t="n">
        <v>320</v>
      </c>
      <c r="G1027" s="3" t="n">
        <v>32</v>
      </c>
      <c r="H1027" s="8" t="n">
        <f aca="false">(E1027/1000)*(F1027/1000)*(G1027/1000)*7850</f>
        <v>184.8832</v>
      </c>
      <c r="I1027" s="3" t="n">
        <v>2</v>
      </c>
      <c r="J1027" s="9" t="n">
        <f aca="false">H1027*I1027</f>
        <v>369.7664</v>
      </c>
      <c r="K1027" s="3"/>
    </row>
    <row r="1028" customFormat="false" ht="19.5" hidden="false" customHeight="false" outlineLevel="0" collapsed="false">
      <c r="A1028" s="3" t="s">
        <v>159</v>
      </c>
      <c r="B1028" s="3" t="s">
        <v>160</v>
      </c>
      <c r="C1028" s="3" t="s">
        <v>102</v>
      </c>
      <c r="D1028" s="3" t="s">
        <v>8</v>
      </c>
      <c r="E1028" s="3" t="n">
        <v>1200</v>
      </c>
      <c r="F1028" s="3" t="n">
        <v>1056</v>
      </c>
      <c r="G1028" s="3" t="n">
        <v>20</v>
      </c>
      <c r="H1028" s="8" t="n">
        <f aca="false">(E1028/1000)*(F1028/1000)*(G1028/1000)*7850</f>
        <v>198.9504</v>
      </c>
      <c r="I1028" s="3" t="n">
        <v>1</v>
      </c>
      <c r="J1028" s="9" t="n">
        <f aca="false">H1028*I1028</f>
        <v>198.9504</v>
      </c>
      <c r="K1028" s="3"/>
    </row>
    <row r="1029" customFormat="false" ht="19.5" hidden="false" customHeight="false" outlineLevel="0" collapsed="false">
      <c r="A1029" s="3" t="s">
        <v>159</v>
      </c>
      <c r="B1029" s="3" t="s">
        <v>160</v>
      </c>
      <c r="C1029" s="3" t="s">
        <v>102</v>
      </c>
      <c r="D1029" s="3" t="s">
        <v>8</v>
      </c>
      <c r="E1029" s="3" t="n">
        <v>1580</v>
      </c>
      <c r="F1029" s="3" t="n">
        <v>610</v>
      </c>
      <c r="G1029" s="3" t="n">
        <v>14</v>
      </c>
      <c r="H1029" s="8" t="n">
        <f aca="false">(E1029/1000)*(F1029/1000)*(G1029/1000)*7850</f>
        <v>105.92162</v>
      </c>
      <c r="I1029" s="3" t="n">
        <v>3</v>
      </c>
      <c r="J1029" s="9" t="n">
        <f aca="false">H1029*I1029</f>
        <v>317.76486</v>
      </c>
      <c r="K1029" s="3"/>
    </row>
    <row r="1030" customFormat="false" ht="19.5" hidden="false" customHeight="false" outlineLevel="0" collapsed="false">
      <c r="A1030" s="3" t="s">
        <v>159</v>
      </c>
      <c r="B1030" s="3" t="s">
        <v>160</v>
      </c>
      <c r="C1030" s="3" t="s">
        <v>102</v>
      </c>
      <c r="D1030" s="3" t="s">
        <v>8</v>
      </c>
      <c r="E1030" s="3" t="n">
        <v>1580</v>
      </c>
      <c r="F1030" s="3" t="n">
        <v>622</v>
      </c>
      <c r="G1030" s="3" t="n">
        <v>14</v>
      </c>
      <c r="H1030" s="8" t="n">
        <f aca="false">(E1030/1000)*(F1030/1000)*(G1030/1000)*7850</f>
        <v>108.005324</v>
      </c>
      <c r="I1030" s="3" t="n">
        <v>2</v>
      </c>
      <c r="J1030" s="9" t="n">
        <f aca="false">H1030*I1030</f>
        <v>216.010648</v>
      </c>
      <c r="K1030" s="3"/>
    </row>
    <row r="1031" customFormat="false" ht="19.5" hidden="false" customHeight="false" outlineLevel="0" collapsed="false">
      <c r="A1031" s="3" t="s">
        <v>159</v>
      </c>
      <c r="B1031" s="3" t="s">
        <v>160</v>
      </c>
      <c r="C1031" s="3" t="s">
        <v>102</v>
      </c>
      <c r="D1031" s="3" t="s">
        <v>8</v>
      </c>
      <c r="E1031" s="3" t="n">
        <v>470</v>
      </c>
      <c r="F1031" s="3" t="n">
        <v>1000</v>
      </c>
      <c r="G1031" s="3" t="n">
        <v>24</v>
      </c>
      <c r="H1031" s="8" t="n">
        <f aca="false">(E1031/1000)*(F1031/1000)*(G1031/1000)*7850</f>
        <v>88.548</v>
      </c>
      <c r="I1031" s="3" t="n">
        <v>3</v>
      </c>
      <c r="J1031" s="9" t="n">
        <f aca="false">H1031*I1031</f>
        <v>265.644</v>
      </c>
      <c r="K1031" s="3"/>
    </row>
    <row r="1032" customFormat="false" ht="19.5" hidden="false" customHeight="false" outlineLevel="0" collapsed="false">
      <c r="A1032" s="3" t="s">
        <v>159</v>
      </c>
      <c r="B1032" s="3" t="s">
        <v>160</v>
      </c>
      <c r="C1032" s="3" t="s">
        <v>102</v>
      </c>
      <c r="D1032" s="3" t="s">
        <v>8</v>
      </c>
      <c r="E1032" s="3" t="n">
        <v>470</v>
      </c>
      <c r="F1032" s="3" t="n">
        <v>1000</v>
      </c>
      <c r="G1032" s="3" t="n">
        <v>24</v>
      </c>
      <c r="H1032" s="8" t="n">
        <f aca="false">(E1032/1000)*(F1032/1000)*(G1032/1000)*7850</f>
        <v>88.548</v>
      </c>
      <c r="I1032" s="3" t="n">
        <v>2</v>
      </c>
      <c r="J1032" s="9" t="n">
        <f aca="false">H1032*I1032</f>
        <v>177.096</v>
      </c>
      <c r="K1032" s="3"/>
    </row>
    <row r="1033" customFormat="false" ht="19.5" hidden="false" customHeight="false" outlineLevel="0" collapsed="false">
      <c r="A1033" s="3" t="s">
        <v>159</v>
      </c>
      <c r="B1033" s="3" t="s">
        <v>160</v>
      </c>
      <c r="C1033" s="3" t="s">
        <v>102</v>
      </c>
      <c r="D1033" s="3" t="s">
        <v>8</v>
      </c>
      <c r="E1033" s="3" t="n">
        <v>1450</v>
      </c>
      <c r="F1033" s="3" t="n">
        <v>618</v>
      </c>
      <c r="G1033" s="3" t="n">
        <v>14</v>
      </c>
      <c r="H1033" s="8" t="n">
        <f aca="false">(E1033/1000)*(F1033/1000)*(G1033/1000)*7850</f>
        <v>98.48139</v>
      </c>
      <c r="I1033" s="3" t="n">
        <v>2</v>
      </c>
      <c r="J1033" s="9" t="n">
        <f aca="false">H1033*I1033</f>
        <v>196.96278</v>
      </c>
      <c r="K1033" s="3"/>
    </row>
    <row r="1034" customFormat="false" ht="19.5" hidden="false" customHeight="false" outlineLevel="0" collapsed="false">
      <c r="A1034" s="3" t="s">
        <v>161</v>
      </c>
      <c r="B1034" s="3" t="s">
        <v>162</v>
      </c>
      <c r="C1034" s="3" t="s">
        <v>44</v>
      </c>
      <c r="D1034" s="3" t="s">
        <v>8</v>
      </c>
      <c r="E1034" s="3" t="n">
        <v>11850</v>
      </c>
      <c r="F1034" s="3" t="n">
        <v>1000</v>
      </c>
      <c r="G1034" s="3" t="n">
        <v>20</v>
      </c>
      <c r="H1034" s="8" t="n">
        <f aca="false">(E1034/1000)*(F1034/1000)*(G1034/1000)*7850</f>
        <v>1860.45</v>
      </c>
      <c r="I1034" s="3" t="n">
        <v>1</v>
      </c>
      <c r="J1034" s="9" t="n">
        <f aca="false">H1034*I1034</f>
        <v>1860.45</v>
      </c>
      <c r="K1034" s="3"/>
    </row>
    <row r="1035" customFormat="false" ht="19.5" hidden="false" customHeight="false" outlineLevel="0" collapsed="false">
      <c r="A1035" s="3" t="s">
        <v>161</v>
      </c>
      <c r="B1035" s="3" t="s">
        <v>162</v>
      </c>
      <c r="C1035" s="3" t="s">
        <v>45</v>
      </c>
      <c r="D1035" s="3" t="s">
        <v>8</v>
      </c>
      <c r="E1035" s="3" t="n">
        <v>10390</v>
      </c>
      <c r="F1035" s="3" t="n">
        <v>1000</v>
      </c>
      <c r="G1035" s="3" t="n">
        <v>20</v>
      </c>
      <c r="H1035" s="8" t="n">
        <f aca="false">(E1035/1000)*(F1035/1000)*(G1035/1000)*7850</f>
        <v>1631.23</v>
      </c>
      <c r="I1035" s="3" t="n">
        <v>1</v>
      </c>
      <c r="J1035" s="9" t="n">
        <f aca="false">H1035*I1035</f>
        <v>1631.23</v>
      </c>
      <c r="K1035" s="3"/>
    </row>
    <row r="1036" customFormat="false" ht="19.5" hidden="false" customHeight="false" outlineLevel="0" collapsed="false">
      <c r="A1036" s="3" t="s">
        <v>161</v>
      </c>
      <c r="B1036" s="3" t="s">
        <v>162</v>
      </c>
      <c r="C1036" s="3" t="s">
        <v>46</v>
      </c>
      <c r="D1036" s="3" t="s">
        <v>8</v>
      </c>
      <c r="E1036" s="3" t="n">
        <v>7900</v>
      </c>
      <c r="F1036" s="3" t="n">
        <v>1200</v>
      </c>
      <c r="G1036" s="3" t="n">
        <v>20</v>
      </c>
      <c r="H1036" s="8" t="n">
        <f aca="false">(E1036/1000)*(F1036/1000)*(G1036/1000)*7850</f>
        <v>1488.36</v>
      </c>
      <c r="I1036" s="3" t="n">
        <v>1</v>
      </c>
      <c r="J1036" s="9" t="n">
        <f aca="false">H1036*I1036</f>
        <v>1488.36</v>
      </c>
      <c r="K1036" s="3"/>
    </row>
    <row r="1037" customFormat="false" ht="19.5" hidden="false" customHeight="false" outlineLevel="0" collapsed="false">
      <c r="A1037" s="3" t="s">
        <v>161</v>
      </c>
      <c r="B1037" s="3" t="s">
        <v>162</v>
      </c>
      <c r="C1037" s="3" t="s">
        <v>46</v>
      </c>
      <c r="D1037" s="3" t="s">
        <v>8</v>
      </c>
      <c r="E1037" s="3" t="n">
        <v>7100</v>
      </c>
      <c r="F1037" s="3" t="n">
        <v>1200</v>
      </c>
      <c r="G1037" s="3" t="n">
        <v>20</v>
      </c>
      <c r="H1037" s="8" t="n">
        <f aca="false">(E1037/1000)*(F1037/1000)*(G1037/1000)*7850</f>
        <v>1337.64</v>
      </c>
      <c r="I1037" s="3" t="n">
        <v>1</v>
      </c>
      <c r="J1037" s="9" t="n">
        <f aca="false">H1037*I1037</f>
        <v>1337.64</v>
      </c>
      <c r="K1037" s="3"/>
    </row>
    <row r="1038" customFormat="false" ht="19.5" hidden="false" customHeight="false" outlineLevel="0" collapsed="false">
      <c r="A1038" s="3" t="s">
        <v>161</v>
      </c>
      <c r="B1038" s="3" t="s">
        <v>162</v>
      </c>
      <c r="C1038" s="3" t="s">
        <v>49</v>
      </c>
      <c r="D1038" s="3" t="s">
        <v>8</v>
      </c>
      <c r="E1038" s="3" t="n">
        <v>7300</v>
      </c>
      <c r="F1038" s="3" t="n">
        <v>1648</v>
      </c>
      <c r="G1038" s="3" t="n">
        <v>28</v>
      </c>
      <c r="H1038" s="8" t="n">
        <f aca="false">(E1038/1000)*(F1038/1000)*(G1038/1000)*7850</f>
        <v>2644.28192</v>
      </c>
      <c r="I1038" s="3" t="n">
        <v>2</v>
      </c>
      <c r="J1038" s="9" t="n">
        <f aca="false">H1038*I1038</f>
        <v>5288.56384</v>
      </c>
      <c r="K1038" s="3"/>
    </row>
    <row r="1039" customFormat="false" ht="19.5" hidden="false" customHeight="false" outlineLevel="0" collapsed="false">
      <c r="A1039" s="3" t="s">
        <v>161</v>
      </c>
      <c r="B1039" s="3" t="s">
        <v>162</v>
      </c>
      <c r="C1039" s="3" t="s">
        <v>49</v>
      </c>
      <c r="D1039" s="3" t="s">
        <v>8</v>
      </c>
      <c r="E1039" s="3" t="n">
        <v>1580</v>
      </c>
      <c r="F1039" s="3" t="n">
        <v>1200</v>
      </c>
      <c r="G1039" s="3" t="n">
        <v>16</v>
      </c>
      <c r="H1039" s="8" t="n">
        <f aca="false">(E1039/1000)*(F1039/1000)*(G1039/1000)*7850</f>
        <v>238.1376</v>
      </c>
      <c r="I1039" s="3" t="n">
        <v>2</v>
      </c>
      <c r="J1039" s="9" t="n">
        <f aca="false">H1039*I1039</f>
        <v>476.2752</v>
      </c>
      <c r="K1039" s="3"/>
    </row>
    <row r="1040" customFormat="false" ht="19.5" hidden="false" customHeight="false" outlineLevel="0" collapsed="false">
      <c r="A1040" s="3" t="s">
        <v>161</v>
      </c>
      <c r="B1040" s="3" t="s">
        <v>162</v>
      </c>
      <c r="C1040" s="3" t="s">
        <v>70</v>
      </c>
      <c r="D1040" s="3" t="s">
        <v>8</v>
      </c>
      <c r="E1040" s="3" t="n">
        <v>7101</v>
      </c>
      <c r="F1040" s="3" t="n">
        <v>1850</v>
      </c>
      <c r="G1040" s="3" t="n">
        <v>24</v>
      </c>
      <c r="H1040" s="8" t="n">
        <f aca="false">(E1040/1000)*(F1040/1000)*(G1040/1000)*7850</f>
        <v>2474.98254</v>
      </c>
      <c r="I1040" s="3" t="n">
        <v>1</v>
      </c>
      <c r="J1040" s="9" t="n">
        <f aca="false">H1040*I1040</f>
        <v>2474.98254</v>
      </c>
      <c r="K1040" s="3"/>
    </row>
    <row r="1041" customFormat="false" ht="19.5" hidden="false" customHeight="false" outlineLevel="0" collapsed="false">
      <c r="A1041" s="3" t="s">
        <v>161</v>
      </c>
      <c r="B1041" s="3" t="s">
        <v>162</v>
      </c>
      <c r="C1041" s="3" t="s">
        <v>70</v>
      </c>
      <c r="D1041" s="3" t="s">
        <v>8</v>
      </c>
      <c r="E1041" s="3" t="n">
        <v>9710</v>
      </c>
      <c r="F1041" s="3" t="n">
        <v>1000</v>
      </c>
      <c r="G1041" s="3" t="n">
        <v>24</v>
      </c>
      <c r="H1041" s="8" t="n">
        <f aca="false">(E1041/1000)*(F1041/1000)*(G1041/1000)*7850</f>
        <v>1829.364</v>
      </c>
      <c r="I1041" s="3" t="n">
        <v>1</v>
      </c>
      <c r="J1041" s="9" t="n">
        <f aca="false">H1041*I1041</f>
        <v>1829.364</v>
      </c>
      <c r="K1041" s="3"/>
    </row>
    <row r="1042" customFormat="false" ht="19.5" hidden="false" customHeight="false" outlineLevel="0" collapsed="false">
      <c r="A1042" s="3" t="s">
        <v>161</v>
      </c>
      <c r="B1042" s="3" t="s">
        <v>162</v>
      </c>
      <c r="C1042" s="3" t="s">
        <v>70</v>
      </c>
      <c r="D1042" s="3" t="s">
        <v>8</v>
      </c>
      <c r="E1042" s="3" t="n">
        <v>20710</v>
      </c>
      <c r="F1042" s="3" t="n">
        <v>1000</v>
      </c>
      <c r="G1042" s="3" t="n">
        <v>44</v>
      </c>
      <c r="H1042" s="8" t="n">
        <f aca="false">(E1042/1000)*(F1042/1000)*(G1042/1000)*7850</f>
        <v>7153.234</v>
      </c>
      <c r="I1042" s="3" t="n">
        <v>2</v>
      </c>
      <c r="J1042" s="9" t="n">
        <f aca="false">H1042*I1042</f>
        <v>14306.468</v>
      </c>
      <c r="K1042" s="3"/>
    </row>
    <row r="1043" customFormat="false" ht="19.5" hidden="false" customHeight="false" outlineLevel="0" collapsed="false">
      <c r="A1043" s="3" t="s">
        <v>161</v>
      </c>
      <c r="B1043" s="3" t="s">
        <v>162</v>
      </c>
      <c r="C1043" s="3" t="s">
        <v>54</v>
      </c>
      <c r="D1043" s="3" t="s">
        <v>8</v>
      </c>
      <c r="E1043" s="3" t="n">
        <v>7301</v>
      </c>
      <c r="F1043" s="3" t="n">
        <v>1474</v>
      </c>
      <c r="G1043" s="3" t="n">
        <v>32</v>
      </c>
      <c r="H1043" s="8" t="n">
        <f aca="false">(E1043/1000)*(F1043/1000)*(G1043/1000)*7850</f>
        <v>2703.3325088</v>
      </c>
      <c r="I1043" s="3" t="n">
        <v>2</v>
      </c>
      <c r="J1043" s="9" t="n">
        <f aca="false">H1043*I1043</f>
        <v>5406.6650176</v>
      </c>
      <c r="K1043" s="3"/>
    </row>
    <row r="1044" customFormat="false" ht="19.5" hidden="false" customHeight="false" outlineLevel="0" collapsed="false">
      <c r="A1044" s="3" t="s">
        <v>161</v>
      </c>
      <c r="B1044" s="3" t="s">
        <v>162</v>
      </c>
      <c r="C1044" s="3" t="s">
        <v>55</v>
      </c>
      <c r="D1044" s="3" t="s">
        <v>8</v>
      </c>
      <c r="E1044" s="3" t="n">
        <v>7901</v>
      </c>
      <c r="F1044" s="3" t="n">
        <v>240</v>
      </c>
      <c r="G1044" s="3" t="n">
        <v>20</v>
      </c>
      <c r="H1044" s="8" t="n">
        <f aca="false">(E1044/1000)*(F1044/1000)*(G1044/1000)*7850</f>
        <v>297.70968</v>
      </c>
      <c r="I1044" s="3" t="n">
        <v>4</v>
      </c>
      <c r="J1044" s="9" t="n">
        <f aca="false">H1044*I1044</f>
        <v>1190.83872</v>
      </c>
      <c r="K1044" s="3"/>
    </row>
    <row r="1045" customFormat="false" ht="19.5" hidden="false" customHeight="false" outlineLevel="0" collapsed="false">
      <c r="A1045" s="3" t="s">
        <v>161</v>
      </c>
      <c r="B1045" s="3" t="s">
        <v>162</v>
      </c>
      <c r="C1045" s="3" t="s">
        <v>57</v>
      </c>
      <c r="D1045" s="3" t="s">
        <v>8</v>
      </c>
      <c r="E1045" s="3" t="n">
        <v>15002</v>
      </c>
      <c r="F1045" s="3" t="n">
        <v>170</v>
      </c>
      <c r="G1045" s="3" t="n">
        <v>14</v>
      </c>
      <c r="H1045" s="8" t="n">
        <f aca="false">(E1045/1000)*(F1045/1000)*(G1045/1000)*7850</f>
        <v>280.282366</v>
      </c>
      <c r="I1045" s="3" t="n">
        <v>1</v>
      </c>
      <c r="J1045" s="9" t="n">
        <f aca="false">H1045*I1045</f>
        <v>280.282366</v>
      </c>
      <c r="K1045" s="3"/>
    </row>
    <row r="1046" customFormat="false" ht="19.5" hidden="false" customHeight="false" outlineLevel="0" collapsed="false">
      <c r="A1046" s="3" t="s">
        <v>161</v>
      </c>
      <c r="B1046" s="3" t="s">
        <v>162</v>
      </c>
      <c r="C1046" s="3" t="s">
        <v>58</v>
      </c>
      <c r="D1046" s="3" t="s">
        <v>8</v>
      </c>
      <c r="E1046" s="3" t="n">
        <v>11383</v>
      </c>
      <c r="F1046" s="3" t="n">
        <v>1200</v>
      </c>
      <c r="G1046" s="3" t="n">
        <v>36</v>
      </c>
      <c r="H1046" s="8" t="n">
        <f aca="false">(E1046/1000)*(F1046/1000)*(G1046/1000)*7850</f>
        <v>3860.20296</v>
      </c>
      <c r="I1046" s="3" t="n">
        <v>1</v>
      </c>
      <c r="J1046" s="9" t="n">
        <f aca="false">H1046*I1046</f>
        <v>3860.20296</v>
      </c>
      <c r="K1046" s="3"/>
    </row>
    <row r="1047" customFormat="false" ht="19.5" hidden="false" customHeight="false" outlineLevel="0" collapsed="false">
      <c r="A1047" s="3" t="s">
        <v>161</v>
      </c>
      <c r="B1047" s="3" t="s">
        <v>162</v>
      </c>
      <c r="C1047" s="3" t="s">
        <v>58</v>
      </c>
      <c r="D1047" s="3" t="s">
        <v>8</v>
      </c>
      <c r="E1047" s="3" t="n">
        <v>11683</v>
      </c>
      <c r="F1047" s="3" t="n">
        <v>1200</v>
      </c>
      <c r="G1047" s="3" t="n">
        <v>36</v>
      </c>
      <c r="H1047" s="8" t="n">
        <f aca="false">(E1047/1000)*(F1047/1000)*(G1047/1000)*7850</f>
        <v>3961.93896</v>
      </c>
      <c r="I1047" s="3" t="n">
        <v>1</v>
      </c>
      <c r="J1047" s="9" t="n">
        <f aca="false">H1047*I1047</f>
        <v>3961.93896</v>
      </c>
      <c r="K1047" s="3"/>
    </row>
    <row r="1048" customFormat="false" ht="19.5" hidden="false" customHeight="false" outlineLevel="0" collapsed="false">
      <c r="A1048" s="3" t="s">
        <v>161</v>
      </c>
      <c r="B1048" s="3" t="s">
        <v>162</v>
      </c>
      <c r="C1048" s="3" t="s">
        <v>58</v>
      </c>
      <c r="D1048" s="3" t="s">
        <v>8</v>
      </c>
      <c r="E1048" s="3" t="n">
        <v>7383</v>
      </c>
      <c r="F1048" s="3" t="n">
        <v>1360</v>
      </c>
      <c r="G1048" s="3" t="n">
        <v>36</v>
      </c>
      <c r="H1048" s="8" t="n">
        <f aca="false">(E1048/1000)*(F1048/1000)*(G1048/1000)*7850</f>
        <v>2837.552688</v>
      </c>
      <c r="I1048" s="3" t="n">
        <v>2</v>
      </c>
      <c r="J1048" s="9" t="n">
        <f aca="false">H1048*I1048</f>
        <v>5675.105376</v>
      </c>
      <c r="K1048" s="3"/>
    </row>
    <row r="1049" customFormat="false" ht="19.5" hidden="false" customHeight="false" outlineLevel="0" collapsed="false">
      <c r="A1049" s="3" t="s">
        <v>161</v>
      </c>
      <c r="B1049" s="3" t="s">
        <v>162</v>
      </c>
      <c r="C1049" s="3" t="s">
        <v>58</v>
      </c>
      <c r="D1049" s="3" t="s">
        <v>8</v>
      </c>
      <c r="E1049" s="3" t="n">
        <v>9983</v>
      </c>
      <c r="F1049" s="3" t="n">
        <v>320</v>
      </c>
      <c r="G1049" s="3" t="n">
        <v>32</v>
      </c>
      <c r="H1049" s="8" t="n">
        <f aca="false">(E1049/1000)*(F1049/1000)*(G1049/1000)*7850</f>
        <v>802.473472</v>
      </c>
      <c r="I1049" s="3" t="n">
        <v>1</v>
      </c>
      <c r="J1049" s="9" t="n">
        <f aca="false">H1049*I1049</f>
        <v>802.473472</v>
      </c>
      <c r="K1049" s="3"/>
    </row>
    <row r="1050" customFormat="false" ht="19.5" hidden="false" customHeight="false" outlineLevel="0" collapsed="false">
      <c r="A1050" s="3" t="s">
        <v>161</v>
      </c>
      <c r="B1050" s="3" t="s">
        <v>162</v>
      </c>
      <c r="C1050" s="3" t="s">
        <v>58</v>
      </c>
      <c r="D1050" s="3" t="s">
        <v>8</v>
      </c>
      <c r="E1050" s="3" t="n">
        <v>10283</v>
      </c>
      <c r="F1050" s="3" t="n">
        <v>320</v>
      </c>
      <c r="G1050" s="3" t="n">
        <v>32</v>
      </c>
      <c r="H1050" s="8" t="n">
        <f aca="false">(E1050/1000)*(F1050/1000)*(G1050/1000)*7850</f>
        <v>826.588672</v>
      </c>
      <c r="I1050" s="3" t="n">
        <v>1</v>
      </c>
      <c r="J1050" s="9" t="n">
        <f aca="false">H1050*I1050</f>
        <v>826.588672</v>
      </c>
      <c r="K1050" s="3"/>
    </row>
    <row r="1051" customFormat="false" ht="19.5" hidden="false" customHeight="false" outlineLevel="0" collapsed="false">
      <c r="A1051" s="3" t="s">
        <v>161</v>
      </c>
      <c r="B1051" s="3" t="s">
        <v>162</v>
      </c>
      <c r="C1051" s="3" t="s">
        <v>82</v>
      </c>
      <c r="D1051" s="3" t="s">
        <v>8</v>
      </c>
      <c r="E1051" s="3" t="n">
        <v>1200</v>
      </c>
      <c r="F1051" s="3" t="n">
        <v>1200</v>
      </c>
      <c r="G1051" s="3" t="n">
        <v>16</v>
      </c>
      <c r="H1051" s="8" t="n">
        <f aca="false">(E1051/1000)*(F1051/1000)*(G1051/1000)*7850</f>
        <v>180.864</v>
      </c>
      <c r="I1051" s="3" t="n">
        <v>3</v>
      </c>
      <c r="J1051" s="9" t="n">
        <f aca="false">H1051*I1051</f>
        <v>542.592</v>
      </c>
      <c r="K1051" s="3"/>
    </row>
    <row r="1052" customFormat="false" ht="19.5" hidden="false" customHeight="false" outlineLevel="0" collapsed="false">
      <c r="A1052" s="3" t="s">
        <v>161</v>
      </c>
      <c r="B1052" s="3" t="s">
        <v>162</v>
      </c>
      <c r="C1052" s="3" t="s">
        <v>82</v>
      </c>
      <c r="D1052" s="3" t="s">
        <v>8</v>
      </c>
      <c r="E1052" s="3" t="n">
        <v>5458</v>
      </c>
      <c r="F1052" s="3" t="n">
        <v>1200</v>
      </c>
      <c r="G1052" s="3" t="n">
        <v>36</v>
      </c>
      <c r="H1052" s="8" t="n">
        <f aca="false">(E1052/1000)*(F1052/1000)*(G1052/1000)*7850</f>
        <v>1850.91696</v>
      </c>
      <c r="I1052" s="3" t="n">
        <v>1</v>
      </c>
      <c r="J1052" s="9" t="n">
        <f aca="false">H1052*I1052</f>
        <v>1850.91696</v>
      </c>
      <c r="K1052" s="3"/>
    </row>
    <row r="1053" customFormat="false" ht="19.5" hidden="false" customHeight="false" outlineLevel="0" collapsed="false">
      <c r="A1053" s="3" t="s">
        <v>161</v>
      </c>
      <c r="B1053" s="3" t="s">
        <v>162</v>
      </c>
      <c r="C1053" s="3" t="s">
        <v>82</v>
      </c>
      <c r="D1053" s="3" t="s">
        <v>8</v>
      </c>
      <c r="E1053" s="3" t="n">
        <v>5758</v>
      </c>
      <c r="F1053" s="3" t="n">
        <v>1200</v>
      </c>
      <c r="G1053" s="3" t="n">
        <v>36</v>
      </c>
      <c r="H1053" s="8" t="n">
        <f aca="false">(E1053/1000)*(F1053/1000)*(G1053/1000)*7850</f>
        <v>1952.65296</v>
      </c>
      <c r="I1053" s="3" t="n">
        <v>1</v>
      </c>
      <c r="J1053" s="9" t="n">
        <f aca="false">H1053*I1053</f>
        <v>1952.65296</v>
      </c>
      <c r="K1053" s="3"/>
    </row>
    <row r="1054" customFormat="false" ht="19.5" hidden="false" customHeight="false" outlineLevel="0" collapsed="false">
      <c r="A1054" s="3" t="s">
        <v>161</v>
      </c>
      <c r="B1054" s="3" t="s">
        <v>162</v>
      </c>
      <c r="C1054" s="3" t="s">
        <v>82</v>
      </c>
      <c r="D1054" s="3" t="s">
        <v>8</v>
      </c>
      <c r="E1054" s="3" t="n">
        <v>3658</v>
      </c>
      <c r="F1054" s="3" t="n">
        <v>320</v>
      </c>
      <c r="G1054" s="3" t="n">
        <v>32</v>
      </c>
      <c r="H1054" s="8" t="n">
        <f aca="false">(E1054/1000)*(F1054/1000)*(G1054/1000)*7850</f>
        <v>294.044672</v>
      </c>
      <c r="I1054" s="3" t="n">
        <v>2</v>
      </c>
      <c r="J1054" s="9" t="n">
        <f aca="false">H1054*I1054</f>
        <v>588.089344</v>
      </c>
      <c r="K1054" s="3"/>
    </row>
    <row r="1055" customFormat="false" ht="19.5" hidden="false" customHeight="false" outlineLevel="0" collapsed="false">
      <c r="A1055" s="3" t="s">
        <v>161</v>
      </c>
      <c r="B1055" s="3" t="s">
        <v>162</v>
      </c>
      <c r="C1055" s="3" t="s">
        <v>82</v>
      </c>
      <c r="D1055" s="3" t="s">
        <v>8</v>
      </c>
      <c r="E1055" s="3" t="n">
        <v>4758</v>
      </c>
      <c r="F1055" s="3" t="n">
        <v>320</v>
      </c>
      <c r="G1055" s="3" t="n">
        <v>32</v>
      </c>
      <c r="H1055" s="8" t="n">
        <f aca="false">(E1055/1000)*(F1055/1000)*(G1055/1000)*7850</f>
        <v>382.467072</v>
      </c>
      <c r="I1055" s="3" t="n">
        <v>1</v>
      </c>
      <c r="J1055" s="9" t="n">
        <f aca="false">H1055*I1055</f>
        <v>382.467072</v>
      </c>
      <c r="K1055" s="3"/>
    </row>
    <row r="1056" customFormat="false" ht="19.5" hidden="false" customHeight="false" outlineLevel="0" collapsed="false">
      <c r="A1056" s="3" t="s">
        <v>161</v>
      </c>
      <c r="B1056" s="3" t="s">
        <v>162</v>
      </c>
      <c r="C1056" s="3" t="s">
        <v>82</v>
      </c>
      <c r="D1056" s="3" t="s">
        <v>8</v>
      </c>
      <c r="E1056" s="3" t="n">
        <v>5058</v>
      </c>
      <c r="F1056" s="3" t="n">
        <v>320</v>
      </c>
      <c r="G1056" s="3" t="n">
        <v>32</v>
      </c>
      <c r="H1056" s="8" t="n">
        <f aca="false">(E1056/1000)*(F1056/1000)*(G1056/1000)*7850</f>
        <v>406.582272</v>
      </c>
      <c r="I1056" s="3" t="n">
        <v>1</v>
      </c>
      <c r="J1056" s="9" t="n">
        <f aca="false">H1056*I1056</f>
        <v>406.582272</v>
      </c>
      <c r="K1056" s="3"/>
    </row>
    <row r="1057" customFormat="false" ht="19.5" hidden="false" customHeight="false" outlineLevel="0" collapsed="false">
      <c r="A1057" s="3" t="s">
        <v>161</v>
      </c>
      <c r="B1057" s="3" t="s">
        <v>162</v>
      </c>
      <c r="C1057" s="3" t="s">
        <v>82</v>
      </c>
      <c r="D1057" s="3" t="s">
        <v>8</v>
      </c>
      <c r="E1057" s="3" t="n">
        <v>1200</v>
      </c>
      <c r="F1057" s="3" t="n">
        <v>1200</v>
      </c>
      <c r="G1057" s="3" t="n">
        <v>16</v>
      </c>
      <c r="H1057" s="8" t="n">
        <f aca="false">(E1057/1000)*(F1057/1000)*(G1057/1000)*7850</f>
        <v>180.864</v>
      </c>
      <c r="I1057" s="3" t="n">
        <v>2</v>
      </c>
      <c r="J1057" s="9" t="n">
        <f aca="false">H1057*I1057</f>
        <v>361.728</v>
      </c>
      <c r="K1057" s="3"/>
    </row>
    <row r="1058" customFormat="false" ht="19.5" hidden="false" customHeight="false" outlineLevel="0" collapsed="false">
      <c r="A1058" s="3" t="s">
        <v>161</v>
      </c>
      <c r="B1058" s="3" t="s">
        <v>162</v>
      </c>
      <c r="C1058" s="3" t="s">
        <v>82</v>
      </c>
      <c r="D1058" s="3" t="s">
        <v>8</v>
      </c>
      <c r="E1058" s="3" t="n">
        <v>5883</v>
      </c>
      <c r="F1058" s="3" t="n">
        <v>1200</v>
      </c>
      <c r="G1058" s="3" t="n">
        <v>36</v>
      </c>
      <c r="H1058" s="8" t="n">
        <f aca="false">(E1058/1000)*(F1058/1000)*(G1058/1000)*7850</f>
        <v>1995.04296</v>
      </c>
      <c r="I1058" s="3" t="n">
        <v>1</v>
      </c>
      <c r="J1058" s="9" t="n">
        <f aca="false">H1058*I1058</f>
        <v>1995.04296</v>
      </c>
      <c r="K1058" s="3"/>
    </row>
    <row r="1059" customFormat="false" ht="19.5" hidden="false" customHeight="false" outlineLevel="0" collapsed="false">
      <c r="A1059" s="3" t="s">
        <v>161</v>
      </c>
      <c r="B1059" s="3" t="s">
        <v>162</v>
      </c>
      <c r="C1059" s="3" t="s">
        <v>82</v>
      </c>
      <c r="D1059" s="3" t="s">
        <v>8</v>
      </c>
      <c r="E1059" s="3" t="n">
        <v>5183</v>
      </c>
      <c r="F1059" s="3" t="n">
        <v>320</v>
      </c>
      <c r="G1059" s="3" t="n">
        <v>32</v>
      </c>
      <c r="H1059" s="8" t="n">
        <f aca="false">(E1059/1000)*(F1059/1000)*(G1059/1000)*7850</f>
        <v>416.630272</v>
      </c>
      <c r="I1059" s="3" t="n">
        <v>1</v>
      </c>
      <c r="J1059" s="9" t="n">
        <f aca="false">H1059*I1059</f>
        <v>416.630272</v>
      </c>
      <c r="K1059" s="3"/>
    </row>
    <row r="1060" customFormat="false" ht="19.5" hidden="false" customHeight="false" outlineLevel="0" collapsed="false">
      <c r="A1060" s="3" t="s">
        <v>161</v>
      </c>
      <c r="B1060" s="3" t="s">
        <v>162</v>
      </c>
      <c r="C1060" s="3" t="s">
        <v>82</v>
      </c>
      <c r="D1060" s="3" t="s">
        <v>8</v>
      </c>
      <c r="E1060" s="3" t="n">
        <v>2300</v>
      </c>
      <c r="F1060" s="3" t="n">
        <v>320</v>
      </c>
      <c r="G1060" s="3" t="n">
        <v>32</v>
      </c>
      <c r="H1060" s="8" t="n">
        <f aca="false">(E1060/1000)*(F1060/1000)*(G1060/1000)*7850</f>
        <v>184.8832</v>
      </c>
      <c r="I1060" s="3" t="n">
        <v>4</v>
      </c>
      <c r="J1060" s="9" t="n">
        <f aca="false">H1060*I1060</f>
        <v>739.5328</v>
      </c>
      <c r="K1060" s="3"/>
    </row>
    <row r="1061" customFormat="false" ht="19.5" hidden="false" customHeight="false" outlineLevel="0" collapsed="false">
      <c r="A1061" s="3" t="s">
        <v>161</v>
      </c>
      <c r="B1061" s="3" t="s">
        <v>162</v>
      </c>
      <c r="C1061" s="3" t="s">
        <v>82</v>
      </c>
      <c r="D1061" s="3" t="s">
        <v>8</v>
      </c>
      <c r="E1061" s="3" t="n">
        <v>2600</v>
      </c>
      <c r="F1061" s="3" t="n">
        <v>320</v>
      </c>
      <c r="G1061" s="3" t="n">
        <v>32</v>
      </c>
      <c r="H1061" s="8" t="n">
        <f aca="false">(E1061/1000)*(F1061/1000)*(G1061/1000)*7850</f>
        <v>208.9984</v>
      </c>
      <c r="I1061" s="3" t="n">
        <v>4</v>
      </c>
      <c r="J1061" s="9" t="n">
        <f aca="false">H1061*I1061</f>
        <v>835.9936</v>
      </c>
      <c r="K1061" s="3"/>
    </row>
    <row r="1062" customFormat="false" ht="19.5" hidden="false" customHeight="false" outlineLevel="0" collapsed="false">
      <c r="A1062" s="3" t="s">
        <v>161</v>
      </c>
      <c r="B1062" s="3" t="s">
        <v>162</v>
      </c>
      <c r="C1062" s="3" t="s">
        <v>82</v>
      </c>
      <c r="D1062" s="3" t="s">
        <v>8</v>
      </c>
      <c r="E1062" s="3" t="n">
        <v>1580</v>
      </c>
      <c r="F1062" s="3" t="n">
        <v>602</v>
      </c>
      <c r="G1062" s="3" t="n">
        <v>14</v>
      </c>
      <c r="H1062" s="8" t="n">
        <f aca="false">(E1062/1000)*(F1062/1000)*(G1062/1000)*7850</f>
        <v>104.532484</v>
      </c>
      <c r="I1062" s="3" t="n">
        <v>3</v>
      </c>
      <c r="J1062" s="9" t="n">
        <f aca="false">H1062*I1062</f>
        <v>313.597452</v>
      </c>
      <c r="K1062" s="3"/>
    </row>
    <row r="1063" customFormat="false" ht="19.5" hidden="false" customHeight="false" outlineLevel="0" collapsed="false">
      <c r="A1063" s="3" t="s">
        <v>161</v>
      </c>
      <c r="B1063" s="3" t="s">
        <v>162</v>
      </c>
      <c r="C1063" s="3" t="s">
        <v>82</v>
      </c>
      <c r="D1063" s="3" t="s">
        <v>8</v>
      </c>
      <c r="E1063" s="3" t="n">
        <v>1580</v>
      </c>
      <c r="F1063" s="3" t="n">
        <v>622</v>
      </c>
      <c r="G1063" s="3" t="n">
        <v>14</v>
      </c>
      <c r="H1063" s="8" t="n">
        <f aca="false">(E1063/1000)*(F1063/1000)*(G1063/1000)*7850</f>
        <v>108.005324</v>
      </c>
      <c r="I1063" s="3" t="n">
        <v>2</v>
      </c>
      <c r="J1063" s="9" t="n">
        <f aca="false">H1063*I1063</f>
        <v>216.010648</v>
      </c>
      <c r="K1063" s="3"/>
    </row>
    <row r="1064" customFormat="false" ht="19.5" hidden="false" customHeight="false" outlineLevel="0" collapsed="false">
      <c r="A1064" s="3" t="s">
        <v>161</v>
      </c>
      <c r="B1064" s="3" t="s">
        <v>162</v>
      </c>
      <c r="C1064" s="3" t="s">
        <v>82</v>
      </c>
      <c r="D1064" s="3" t="s">
        <v>8</v>
      </c>
      <c r="E1064" s="3" t="n">
        <v>470</v>
      </c>
      <c r="F1064" s="3" t="n">
        <v>1000</v>
      </c>
      <c r="G1064" s="3" t="n">
        <v>24</v>
      </c>
      <c r="H1064" s="8" t="n">
        <f aca="false">(E1064/1000)*(F1064/1000)*(G1064/1000)*7850</f>
        <v>88.548</v>
      </c>
      <c r="I1064" s="3" t="n">
        <v>2</v>
      </c>
      <c r="J1064" s="9" t="n">
        <f aca="false">H1064*I1064</f>
        <v>177.096</v>
      </c>
      <c r="K1064" s="3"/>
    </row>
    <row r="1065" customFormat="false" ht="19.5" hidden="false" customHeight="false" outlineLevel="0" collapsed="false">
      <c r="A1065" s="3" t="s">
        <v>161</v>
      </c>
      <c r="B1065" s="3" t="s">
        <v>162</v>
      </c>
      <c r="C1065" s="3" t="s">
        <v>82</v>
      </c>
      <c r="D1065" s="3" t="s">
        <v>8</v>
      </c>
      <c r="E1065" s="3" t="n">
        <v>1450</v>
      </c>
      <c r="F1065" s="3" t="n">
        <v>606</v>
      </c>
      <c r="G1065" s="3" t="n">
        <v>14</v>
      </c>
      <c r="H1065" s="8" t="n">
        <f aca="false">(E1065/1000)*(F1065/1000)*(G1065/1000)*7850</f>
        <v>96.56913</v>
      </c>
      <c r="I1065" s="3" t="n">
        <v>3</v>
      </c>
      <c r="J1065" s="9" t="n">
        <f aca="false">H1065*I1065</f>
        <v>289.70739</v>
      </c>
      <c r="K1065" s="3"/>
    </row>
    <row r="1066" customFormat="false" ht="19.5" hidden="false" customHeight="false" outlineLevel="0" collapsed="false">
      <c r="A1066" s="3" t="s">
        <v>163</v>
      </c>
      <c r="B1066" s="3" t="s">
        <v>164</v>
      </c>
      <c r="C1066" s="3" t="s">
        <v>44</v>
      </c>
      <c r="D1066" s="3" t="s">
        <v>9</v>
      </c>
      <c r="E1066" s="3" t="n">
        <v>11850</v>
      </c>
      <c r="F1066" s="3" t="n">
        <v>1000</v>
      </c>
      <c r="G1066" s="3" t="n">
        <v>40</v>
      </c>
      <c r="H1066" s="8" t="n">
        <f aca="false">(E1066/1000)*(F1066/1000)*(G1066/1000)*7850</f>
        <v>3720.9</v>
      </c>
      <c r="I1066" s="3" t="n">
        <v>1</v>
      </c>
      <c r="J1066" s="9" t="n">
        <f aca="false">H1066*I1066</f>
        <v>3720.9</v>
      </c>
      <c r="K1066" s="3"/>
    </row>
    <row r="1067" customFormat="false" ht="19.5" hidden="false" customHeight="false" outlineLevel="0" collapsed="false">
      <c r="A1067" s="3" t="s">
        <v>163</v>
      </c>
      <c r="B1067" s="3" t="s">
        <v>164</v>
      </c>
      <c r="C1067" s="3" t="s">
        <v>45</v>
      </c>
      <c r="D1067" s="3" t="s">
        <v>8</v>
      </c>
      <c r="E1067" s="3" t="n">
        <v>10390</v>
      </c>
      <c r="F1067" s="3" t="n">
        <v>1000</v>
      </c>
      <c r="G1067" s="3" t="n">
        <v>24</v>
      </c>
      <c r="H1067" s="8" t="n">
        <f aca="false">(E1067/1000)*(F1067/1000)*(G1067/1000)*7850</f>
        <v>1957.476</v>
      </c>
      <c r="I1067" s="3" t="n">
        <v>1</v>
      </c>
      <c r="J1067" s="9" t="n">
        <f aca="false">H1067*I1067</f>
        <v>1957.476</v>
      </c>
      <c r="K1067" s="3"/>
    </row>
    <row r="1068" customFormat="false" ht="19.5" hidden="false" customHeight="false" outlineLevel="0" collapsed="false">
      <c r="A1068" s="3" t="s">
        <v>163</v>
      </c>
      <c r="B1068" s="3" t="s">
        <v>164</v>
      </c>
      <c r="C1068" s="3" t="s">
        <v>46</v>
      </c>
      <c r="D1068" s="3" t="s">
        <v>9</v>
      </c>
      <c r="E1068" s="3" t="n">
        <v>7900</v>
      </c>
      <c r="F1068" s="3" t="n">
        <v>1200</v>
      </c>
      <c r="G1068" s="3" t="n">
        <v>40</v>
      </c>
      <c r="H1068" s="8" t="n">
        <f aca="false">(E1068/1000)*(F1068/1000)*(G1068/1000)*7850</f>
        <v>2976.72</v>
      </c>
      <c r="I1068" s="3" t="n">
        <v>1</v>
      </c>
      <c r="J1068" s="9" t="n">
        <f aca="false">H1068*I1068</f>
        <v>2976.72</v>
      </c>
      <c r="K1068" s="3"/>
    </row>
    <row r="1069" customFormat="false" ht="19.5" hidden="false" customHeight="false" outlineLevel="0" collapsed="false">
      <c r="A1069" s="3" t="s">
        <v>163</v>
      </c>
      <c r="B1069" s="3" t="s">
        <v>164</v>
      </c>
      <c r="C1069" s="3" t="s">
        <v>47</v>
      </c>
      <c r="D1069" s="3" t="s">
        <v>8</v>
      </c>
      <c r="E1069" s="3" t="n">
        <v>7100</v>
      </c>
      <c r="F1069" s="3" t="n">
        <v>1200</v>
      </c>
      <c r="G1069" s="3" t="n">
        <v>24</v>
      </c>
      <c r="H1069" s="8" t="n">
        <f aca="false">(E1069/1000)*(F1069/1000)*(G1069/1000)*7850</f>
        <v>1605.168</v>
      </c>
      <c r="I1069" s="3" t="n">
        <v>1</v>
      </c>
      <c r="J1069" s="9" t="n">
        <f aca="false">H1069*I1069</f>
        <v>1605.168</v>
      </c>
      <c r="K1069" s="3"/>
    </row>
    <row r="1070" customFormat="false" ht="19.5" hidden="false" customHeight="false" outlineLevel="0" collapsed="false">
      <c r="A1070" s="3" t="s">
        <v>163</v>
      </c>
      <c r="B1070" s="3" t="s">
        <v>164</v>
      </c>
      <c r="C1070" s="3" t="s">
        <v>49</v>
      </c>
      <c r="D1070" s="3" t="s">
        <v>8</v>
      </c>
      <c r="E1070" s="3" t="n">
        <v>7300</v>
      </c>
      <c r="F1070" s="3" t="n">
        <v>1644</v>
      </c>
      <c r="G1070" s="3" t="n">
        <v>32</v>
      </c>
      <c r="H1070" s="8" t="n">
        <f aca="false">(E1070/1000)*(F1070/1000)*(G1070/1000)*7850</f>
        <v>3014.70144</v>
      </c>
      <c r="I1070" s="3" t="n">
        <v>2</v>
      </c>
      <c r="J1070" s="9" t="n">
        <f aca="false">H1070*I1070</f>
        <v>6029.40288</v>
      </c>
      <c r="K1070" s="3"/>
    </row>
    <row r="1071" customFormat="false" ht="19.5" hidden="false" customHeight="false" outlineLevel="0" collapsed="false">
      <c r="A1071" s="3" t="s">
        <v>163</v>
      </c>
      <c r="B1071" s="3" t="s">
        <v>164</v>
      </c>
      <c r="C1071" s="3" t="s">
        <v>53</v>
      </c>
      <c r="D1071" s="3" t="s">
        <v>8</v>
      </c>
      <c r="E1071" s="3" t="n">
        <v>9710</v>
      </c>
      <c r="F1071" s="3" t="n">
        <v>1000</v>
      </c>
      <c r="G1071" s="3" t="n">
        <v>24</v>
      </c>
      <c r="H1071" s="8" t="n">
        <f aca="false">(E1071/1000)*(F1071/1000)*(G1071/1000)*7850</f>
        <v>1829.364</v>
      </c>
      <c r="I1071" s="3" t="n">
        <v>1</v>
      </c>
      <c r="J1071" s="9" t="n">
        <f aca="false">H1071*I1071</f>
        <v>1829.364</v>
      </c>
      <c r="K1071" s="3"/>
    </row>
    <row r="1072" customFormat="false" ht="19.5" hidden="false" customHeight="false" outlineLevel="0" collapsed="false">
      <c r="A1072" s="3" t="s">
        <v>163</v>
      </c>
      <c r="B1072" s="3" t="s">
        <v>164</v>
      </c>
      <c r="C1072" s="3" t="s">
        <v>67</v>
      </c>
      <c r="D1072" s="3" t="s">
        <v>8</v>
      </c>
      <c r="E1072" s="3" t="n">
        <v>20710</v>
      </c>
      <c r="F1072" s="3" t="n">
        <v>1000</v>
      </c>
      <c r="G1072" s="3" t="n">
        <v>44</v>
      </c>
      <c r="H1072" s="8" t="n">
        <f aca="false">(E1072/1000)*(F1072/1000)*(G1072/1000)*7850</f>
        <v>7153.234</v>
      </c>
      <c r="I1072" s="3" t="n">
        <v>2</v>
      </c>
      <c r="J1072" s="9" t="n">
        <f aca="false">H1072*I1072</f>
        <v>14306.468</v>
      </c>
      <c r="K1072" s="3"/>
    </row>
    <row r="1073" customFormat="false" ht="19.5" hidden="false" customHeight="false" outlineLevel="0" collapsed="false">
      <c r="A1073" s="3" t="s">
        <v>163</v>
      </c>
      <c r="B1073" s="3" t="s">
        <v>164</v>
      </c>
      <c r="C1073" s="3" t="s">
        <v>54</v>
      </c>
      <c r="D1073" s="3" t="s">
        <v>8</v>
      </c>
      <c r="E1073" s="3" t="n">
        <v>7300</v>
      </c>
      <c r="F1073" s="3" t="n">
        <v>1474</v>
      </c>
      <c r="G1073" s="3" t="n">
        <v>32</v>
      </c>
      <c r="H1073" s="8" t="n">
        <f aca="false">(E1073/1000)*(F1073/1000)*(G1073/1000)*7850</f>
        <v>2702.96224</v>
      </c>
      <c r="I1073" s="3" t="n">
        <v>2</v>
      </c>
      <c r="J1073" s="9" t="n">
        <f aca="false">H1073*I1073</f>
        <v>5405.92448</v>
      </c>
      <c r="K1073" s="3"/>
    </row>
    <row r="1074" customFormat="false" ht="19.5" hidden="false" customHeight="false" outlineLevel="0" collapsed="false">
      <c r="A1074" s="3" t="s">
        <v>163</v>
      </c>
      <c r="B1074" s="3" t="s">
        <v>164</v>
      </c>
      <c r="C1074" s="3" t="s">
        <v>55</v>
      </c>
      <c r="D1074" s="3" t="s">
        <v>8</v>
      </c>
      <c r="E1074" s="3" t="n">
        <v>7900</v>
      </c>
      <c r="F1074" s="3" t="n">
        <v>240</v>
      </c>
      <c r="G1074" s="3" t="n">
        <v>20</v>
      </c>
      <c r="H1074" s="8" t="n">
        <f aca="false">(E1074/1000)*(F1074/1000)*(G1074/1000)*7850</f>
        <v>297.672</v>
      </c>
      <c r="I1074" s="3" t="n">
        <v>4</v>
      </c>
      <c r="J1074" s="9" t="n">
        <f aca="false">H1074*I1074</f>
        <v>1190.688</v>
      </c>
      <c r="K1074" s="3"/>
    </row>
    <row r="1075" customFormat="false" ht="19.5" hidden="false" customHeight="false" outlineLevel="0" collapsed="false">
      <c r="A1075" s="3" t="s">
        <v>163</v>
      </c>
      <c r="B1075" s="3" t="s">
        <v>164</v>
      </c>
      <c r="C1075" s="3" t="s">
        <v>56</v>
      </c>
      <c r="D1075" s="3" t="s">
        <v>8</v>
      </c>
      <c r="E1075" s="3" t="n">
        <v>7100</v>
      </c>
      <c r="F1075" s="3" t="n">
        <v>320</v>
      </c>
      <c r="G1075" s="3" t="n">
        <v>32</v>
      </c>
      <c r="H1075" s="8" t="n">
        <f aca="false">(E1075/1000)*(F1075/1000)*(G1075/1000)*7850</f>
        <v>570.7264</v>
      </c>
      <c r="I1075" s="3" t="n">
        <v>4</v>
      </c>
      <c r="J1075" s="9" t="n">
        <f aca="false">H1075*I1075</f>
        <v>2282.9056</v>
      </c>
      <c r="K1075" s="3"/>
    </row>
    <row r="1076" customFormat="false" ht="19.5" hidden="false" customHeight="false" outlineLevel="0" collapsed="false">
      <c r="A1076" s="3" t="s">
        <v>163</v>
      </c>
      <c r="B1076" s="3" t="s">
        <v>164</v>
      </c>
      <c r="C1076" s="3" t="s">
        <v>56</v>
      </c>
      <c r="D1076" s="3" t="s">
        <v>8</v>
      </c>
      <c r="E1076" s="3" t="n">
        <v>15000</v>
      </c>
      <c r="F1076" s="3" t="n">
        <v>170</v>
      </c>
      <c r="G1076" s="3" t="n">
        <v>14</v>
      </c>
      <c r="H1076" s="8" t="n">
        <f aca="false">(E1076/1000)*(F1076/1000)*(G1076/1000)*7850</f>
        <v>280.245</v>
      </c>
      <c r="I1076" s="3" t="n">
        <v>1</v>
      </c>
      <c r="J1076" s="9" t="n">
        <f aca="false">H1076*I1076</f>
        <v>280.245</v>
      </c>
      <c r="K1076" s="3"/>
    </row>
    <row r="1077" customFormat="false" ht="19.5" hidden="false" customHeight="false" outlineLevel="0" collapsed="false">
      <c r="A1077" s="3" t="s">
        <v>163</v>
      </c>
      <c r="B1077" s="3" t="s">
        <v>164</v>
      </c>
      <c r="C1077" s="3" t="s">
        <v>56</v>
      </c>
      <c r="D1077" s="3" t="s">
        <v>8</v>
      </c>
      <c r="E1077" s="3" t="n">
        <v>11322</v>
      </c>
      <c r="F1077" s="3" t="n">
        <v>1200</v>
      </c>
      <c r="G1077" s="3" t="n">
        <v>36</v>
      </c>
      <c r="H1077" s="8" t="n">
        <f aca="false">(E1077/1000)*(F1077/1000)*(G1077/1000)*7850</f>
        <v>3839.51664</v>
      </c>
      <c r="I1077" s="3" t="n">
        <v>1</v>
      </c>
      <c r="J1077" s="9" t="n">
        <f aca="false">H1077*I1077</f>
        <v>3839.51664</v>
      </c>
      <c r="K1077" s="3"/>
    </row>
    <row r="1078" customFormat="false" ht="19.5" hidden="false" customHeight="false" outlineLevel="0" collapsed="false">
      <c r="A1078" s="3" t="s">
        <v>163</v>
      </c>
      <c r="B1078" s="3" t="s">
        <v>164</v>
      </c>
      <c r="C1078" s="3" t="s">
        <v>56</v>
      </c>
      <c r="D1078" s="3" t="s">
        <v>8</v>
      </c>
      <c r="E1078" s="3" t="n">
        <v>11622</v>
      </c>
      <c r="F1078" s="3" t="n">
        <v>1200</v>
      </c>
      <c r="G1078" s="3" t="n">
        <v>36</v>
      </c>
      <c r="H1078" s="8" t="n">
        <f aca="false">(E1078/1000)*(F1078/1000)*(G1078/1000)*7850</f>
        <v>3941.25264</v>
      </c>
      <c r="I1078" s="3" t="n">
        <v>1</v>
      </c>
      <c r="J1078" s="9" t="n">
        <f aca="false">H1078*I1078</f>
        <v>3941.25264</v>
      </c>
      <c r="K1078" s="3"/>
    </row>
    <row r="1079" customFormat="false" ht="19.5" hidden="false" customHeight="false" outlineLevel="0" collapsed="false">
      <c r="A1079" s="3" t="s">
        <v>163</v>
      </c>
      <c r="B1079" s="3" t="s">
        <v>164</v>
      </c>
      <c r="C1079" s="3" t="s">
        <v>56</v>
      </c>
      <c r="D1079" s="3" t="s">
        <v>8</v>
      </c>
      <c r="E1079" s="3" t="n">
        <v>7322</v>
      </c>
      <c r="F1079" s="3" t="n">
        <v>1360</v>
      </c>
      <c r="G1079" s="3" t="n">
        <v>36</v>
      </c>
      <c r="H1079" s="8" t="n">
        <f aca="false">(E1079/1000)*(F1079/1000)*(G1079/1000)*7850</f>
        <v>2814.108192</v>
      </c>
      <c r="I1079" s="3" t="n">
        <v>2</v>
      </c>
      <c r="J1079" s="9" t="n">
        <f aca="false">H1079*I1079</f>
        <v>5628.216384</v>
      </c>
      <c r="K1079" s="3"/>
    </row>
    <row r="1080" customFormat="false" ht="19.5" hidden="false" customHeight="false" outlineLevel="0" collapsed="false">
      <c r="A1080" s="3" t="s">
        <v>163</v>
      </c>
      <c r="B1080" s="3" t="s">
        <v>164</v>
      </c>
      <c r="C1080" s="3" t="s">
        <v>60</v>
      </c>
      <c r="D1080" s="3" t="s">
        <v>8</v>
      </c>
      <c r="E1080" s="3" t="n">
        <v>7322</v>
      </c>
      <c r="F1080" s="3" t="n">
        <v>320</v>
      </c>
      <c r="G1080" s="3" t="n">
        <v>32</v>
      </c>
      <c r="H1080" s="8" t="n">
        <f aca="false">(E1080/1000)*(F1080/1000)*(G1080/1000)*7850</f>
        <v>588.571648</v>
      </c>
      <c r="I1080" s="3" t="n">
        <v>2</v>
      </c>
      <c r="J1080" s="9" t="n">
        <f aca="false">H1080*I1080</f>
        <v>1177.143296</v>
      </c>
      <c r="K1080" s="3"/>
    </row>
    <row r="1081" customFormat="false" ht="19.5" hidden="false" customHeight="false" outlineLevel="0" collapsed="false">
      <c r="A1081" s="3" t="s">
        <v>163</v>
      </c>
      <c r="B1081" s="3" t="s">
        <v>164</v>
      </c>
      <c r="C1081" s="3" t="s">
        <v>74</v>
      </c>
      <c r="D1081" s="3" t="s">
        <v>8</v>
      </c>
      <c r="E1081" s="3" t="n">
        <v>9922</v>
      </c>
      <c r="F1081" s="3" t="n">
        <v>320</v>
      </c>
      <c r="G1081" s="3" t="n">
        <v>32</v>
      </c>
      <c r="H1081" s="8" t="n">
        <f aca="false">(E1081/1000)*(F1081/1000)*(G1081/1000)*7850</f>
        <v>797.570048</v>
      </c>
      <c r="I1081" s="3" t="n">
        <v>1</v>
      </c>
      <c r="J1081" s="9" t="n">
        <f aca="false">H1081*I1081</f>
        <v>797.570048</v>
      </c>
      <c r="K1081" s="3"/>
    </row>
    <row r="1082" customFormat="false" ht="19.5" hidden="false" customHeight="false" outlineLevel="0" collapsed="false">
      <c r="A1082" s="3" t="s">
        <v>163</v>
      </c>
      <c r="B1082" s="3" t="s">
        <v>164</v>
      </c>
      <c r="C1082" s="3" t="s">
        <v>74</v>
      </c>
      <c r="D1082" s="3" t="s">
        <v>8</v>
      </c>
      <c r="E1082" s="3" t="n">
        <v>10222</v>
      </c>
      <c r="F1082" s="3" t="n">
        <v>320</v>
      </c>
      <c r="G1082" s="3" t="n">
        <v>32</v>
      </c>
      <c r="H1082" s="8" t="n">
        <f aca="false">(E1082/1000)*(F1082/1000)*(G1082/1000)*7850</f>
        <v>821.685248</v>
      </c>
      <c r="I1082" s="3" t="n">
        <v>1</v>
      </c>
      <c r="J1082" s="9" t="n">
        <f aca="false">H1082*I1082</f>
        <v>821.685248</v>
      </c>
      <c r="K1082" s="3"/>
    </row>
    <row r="1083" customFormat="false" ht="19.5" hidden="false" customHeight="false" outlineLevel="0" collapsed="false">
      <c r="A1083" s="3" t="s">
        <v>163</v>
      </c>
      <c r="B1083" s="3" t="s">
        <v>164</v>
      </c>
      <c r="C1083" s="3" t="s">
        <v>74</v>
      </c>
      <c r="D1083" s="3" t="s">
        <v>8</v>
      </c>
      <c r="E1083" s="3" t="n">
        <v>1200</v>
      </c>
      <c r="F1083" s="3" t="n">
        <v>1200</v>
      </c>
      <c r="G1083" s="3" t="n">
        <v>16</v>
      </c>
      <c r="H1083" s="8" t="n">
        <f aca="false">(E1083/1000)*(F1083/1000)*(G1083/1000)*7850</f>
        <v>180.864</v>
      </c>
      <c r="I1083" s="3" t="n">
        <v>3</v>
      </c>
      <c r="J1083" s="9" t="n">
        <f aca="false">H1083*I1083</f>
        <v>542.592</v>
      </c>
      <c r="K1083" s="3"/>
    </row>
    <row r="1084" customFormat="false" ht="19.5" hidden="false" customHeight="false" outlineLevel="0" collapsed="false">
      <c r="A1084" s="3" t="s">
        <v>163</v>
      </c>
      <c r="B1084" s="3" t="s">
        <v>164</v>
      </c>
      <c r="C1084" s="3" t="s">
        <v>74</v>
      </c>
      <c r="D1084" s="3" t="s">
        <v>8</v>
      </c>
      <c r="E1084" s="3" t="n">
        <v>5740</v>
      </c>
      <c r="F1084" s="3" t="n">
        <v>1200</v>
      </c>
      <c r="G1084" s="3" t="n">
        <v>40</v>
      </c>
      <c r="H1084" s="8" t="n">
        <f aca="false">(E1084/1000)*(F1084/1000)*(G1084/1000)*7850</f>
        <v>2162.832</v>
      </c>
      <c r="I1084" s="3" t="n">
        <v>1</v>
      </c>
      <c r="J1084" s="9" t="n">
        <f aca="false">H1084*I1084</f>
        <v>2162.832</v>
      </c>
      <c r="K1084" s="3"/>
    </row>
    <row r="1085" customFormat="false" ht="19.5" hidden="false" customHeight="false" outlineLevel="0" collapsed="false">
      <c r="A1085" s="3" t="s">
        <v>163</v>
      </c>
      <c r="B1085" s="3" t="s">
        <v>164</v>
      </c>
      <c r="C1085" s="3" t="s">
        <v>74</v>
      </c>
      <c r="D1085" s="3" t="s">
        <v>8</v>
      </c>
      <c r="E1085" s="3" t="n">
        <v>3640</v>
      </c>
      <c r="F1085" s="3" t="n">
        <v>1760</v>
      </c>
      <c r="G1085" s="3" t="n">
        <v>40</v>
      </c>
      <c r="H1085" s="8" t="n">
        <f aca="false">(E1085/1000)*(F1085/1000)*(G1085/1000)*7850</f>
        <v>2011.6096</v>
      </c>
      <c r="I1085" s="3" t="n">
        <v>2</v>
      </c>
      <c r="J1085" s="9" t="n">
        <f aca="false">H1085*I1085</f>
        <v>4023.2192</v>
      </c>
      <c r="K1085" s="3"/>
    </row>
    <row r="1086" customFormat="false" ht="19.5" hidden="false" customHeight="false" outlineLevel="0" collapsed="false">
      <c r="A1086" s="3" t="s">
        <v>163</v>
      </c>
      <c r="B1086" s="3" t="s">
        <v>164</v>
      </c>
      <c r="C1086" s="3" t="s">
        <v>74</v>
      </c>
      <c r="D1086" s="3" t="s">
        <v>8</v>
      </c>
      <c r="E1086" s="3" t="n">
        <v>3640</v>
      </c>
      <c r="F1086" s="3" t="n">
        <v>320</v>
      </c>
      <c r="G1086" s="3" t="n">
        <v>32</v>
      </c>
      <c r="H1086" s="8" t="n">
        <f aca="false">(E1086/1000)*(F1086/1000)*(G1086/1000)*7850</f>
        <v>292.59776</v>
      </c>
      <c r="I1086" s="3" t="n">
        <v>4</v>
      </c>
      <c r="J1086" s="9" t="n">
        <f aca="false">H1086*I1086</f>
        <v>1170.39104</v>
      </c>
      <c r="K1086" s="3"/>
    </row>
    <row r="1087" customFormat="false" ht="19.5" hidden="false" customHeight="false" outlineLevel="0" collapsed="false">
      <c r="A1087" s="3" t="s">
        <v>163</v>
      </c>
      <c r="B1087" s="3" t="s">
        <v>164</v>
      </c>
      <c r="C1087" s="3" t="s">
        <v>74</v>
      </c>
      <c r="D1087" s="3" t="s">
        <v>8</v>
      </c>
      <c r="E1087" s="3" t="n">
        <v>4740</v>
      </c>
      <c r="F1087" s="3" t="n">
        <v>320</v>
      </c>
      <c r="G1087" s="3" t="n">
        <v>32</v>
      </c>
      <c r="H1087" s="8" t="n">
        <f aca="false">(E1087/1000)*(F1087/1000)*(G1087/1000)*7850</f>
        <v>381.02016</v>
      </c>
      <c r="I1087" s="3" t="n">
        <v>1</v>
      </c>
      <c r="J1087" s="9" t="n">
        <f aca="false">H1087*I1087</f>
        <v>381.02016</v>
      </c>
      <c r="K1087" s="3"/>
    </row>
    <row r="1088" customFormat="false" ht="19.5" hidden="false" customHeight="false" outlineLevel="0" collapsed="false">
      <c r="A1088" s="3" t="s">
        <v>163</v>
      </c>
      <c r="B1088" s="3" t="s">
        <v>164</v>
      </c>
      <c r="C1088" s="3" t="s">
        <v>74</v>
      </c>
      <c r="D1088" s="3" t="s">
        <v>8</v>
      </c>
      <c r="E1088" s="3" t="n">
        <v>5040</v>
      </c>
      <c r="F1088" s="3" t="n">
        <v>320</v>
      </c>
      <c r="G1088" s="3" t="n">
        <v>32</v>
      </c>
      <c r="H1088" s="8" t="n">
        <f aca="false">(E1088/1000)*(F1088/1000)*(G1088/1000)*7850</f>
        <v>405.13536</v>
      </c>
      <c r="I1088" s="3" t="n">
        <v>1</v>
      </c>
      <c r="J1088" s="9" t="n">
        <f aca="false">H1088*I1088</f>
        <v>405.13536</v>
      </c>
      <c r="K1088" s="3"/>
    </row>
    <row r="1089" customFormat="false" ht="19.5" hidden="false" customHeight="false" outlineLevel="0" collapsed="false">
      <c r="A1089" s="3" t="s">
        <v>163</v>
      </c>
      <c r="B1089" s="3" t="s">
        <v>164</v>
      </c>
      <c r="C1089" s="3" t="s">
        <v>74</v>
      </c>
      <c r="D1089" s="3" t="s">
        <v>9</v>
      </c>
      <c r="E1089" s="3" t="n">
        <v>5858</v>
      </c>
      <c r="F1089" s="3" t="n">
        <v>1200</v>
      </c>
      <c r="G1089" s="3" t="n">
        <v>40</v>
      </c>
      <c r="H1089" s="8" t="n">
        <f aca="false">(E1089/1000)*(F1089/1000)*(G1089/1000)*7850</f>
        <v>2207.2944</v>
      </c>
      <c r="I1089" s="3" t="n">
        <v>1</v>
      </c>
      <c r="J1089" s="9" t="n">
        <f aca="false">H1089*I1089</f>
        <v>2207.2944</v>
      </c>
      <c r="K1089" s="3"/>
    </row>
    <row r="1090" customFormat="false" ht="19.5" hidden="false" customHeight="false" outlineLevel="0" collapsed="false">
      <c r="A1090" s="3" t="s">
        <v>163</v>
      </c>
      <c r="B1090" s="3" t="s">
        <v>164</v>
      </c>
      <c r="C1090" s="3" t="s">
        <v>74</v>
      </c>
      <c r="D1090" s="3" t="s">
        <v>9</v>
      </c>
      <c r="E1090" s="3" t="n">
        <v>5158</v>
      </c>
      <c r="F1090" s="3" t="n">
        <v>320</v>
      </c>
      <c r="G1090" s="3" t="n">
        <v>32</v>
      </c>
      <c r="H1090" s="8" t="n">
        <f aca="false">(E1090/1000)*(F1090/1000)*(G1090/1000)*7850</f>
        <v>414.620672</v>
      </c>
      <c r="I1090" s="3" t="n">
        <v>1</v>
      </c>
      <c r="J1090" s="9" t="n">
        <f aca="false">H1090*I1090</f>
        <v>414.620672</v>
      </c>
      <c r="K1090" s="3"/>
    </row>
    <row r="1091" customFormat="false" ht="19.5" hidden="false" customHeight="false" outlineLevel="0" collapsed="false">
      <c r="A1091" s="3" t="s">
        <v>163</v>
      </c>
      <c r="B1091" s="3" t="s">
        <v>164</v>
      </c>
      <c r="C1091" s="3" t="s">
        <v>74</v>
      </c>
      <c r="D1091" s="3" t="s">
        <v>9</v>
      </c>
      <c r="E1091" s="3" t="n">
        <v>1200</v>
      </c>
      <c r="F1091" s="3" t="n">
        <v>1200</v>
      </c>
      <c r="G1091" s="3" t="n">
        <v>16</v>
      </c>
      <c r="H1091" s="8" t="n">
        <f aca="false">(E1091/1000)*(F1091/1000)*(G1091/1000)*7850</f>
        <v>180.864</v>
      </c>
      <c r="I1091" s="3" t="n">
        <v>2</v>
      </c>
      <c r="J1091" s="9" t="n">
        <f aca="false">H1091*I1091</f>
        <v>361.728</v>
      </c>
      <c r="K1091" s="3"/>
    </row>
    <row r="1092" customFormat="false" ht="19.5" hidden="false" customHeight="false" outlineLevel="0" collapsed="false">
      <c r="A1092" s="3" t="s">
        <v>163</v>
      </c>
      <c r="B1092" s="3" t="s">
        <v>164</v>
      </c>
      <c r="C1092" s="3" t="s">
        <v>74</v>
      </c>
      <c r="D1092" s="3" t="s">
        <v>9</v>
      </c>
      <c r="E1092" s="3" t="n">
        <v>2100</v>
      </c>
      <c r="F1092" s="3" t="n">
        <v>320</v>
      </c>
      <c r="G1092" s="3" t="n">
        <v>32</v>
      </c>
      <c r="H1092" s="8" t="n">
        <f aca="false">(E1092/1000)*(F1092/1000)*(G1092/1000)*7850</f>
        <v>168.8064</v>
      </c>
      <c r="I1092" s="3" t="n">
        <v>4</v>
      </c>
      <c r="J1092" s="9" t="n">
        <f aca="false">H1092*I1092</f>
        <v>675.2256</v>
      </c>
      <c r="K1092" s="3"/>
    </row>
    <row r="1093" customFormat="false" ht="19.5" hidden="false" customHeight="false" outlineLevel="0" collapsed="false">
      <c r="A1093" s="3" t="s">
        <v>163</v>
      </c>
      <c r="B1093" s="3" t="s">
        <v>164</v>
      </c>
      <c r="C1093" s="3" t="s">
        <v>74</v>
      </c>
      <c r="D1093" s="3" t="s">
        <v>9</v>
      </c>
      <c r="E1093" s="3" t="n">
        <v>2600</v>
      </c>
      <c r="F1093" s="3" t="n">
        <v>320</v>
      </c>
      <c r="G1093" s="3" t="n">
        <v>32</v>
      </c>
      <c r="H1093" s="8" t="n">
        <f aca="false">(E1093/1000)*(F1093/1000)*(G1093/1000)*7850</f>
        <v>208.9984</v>
      </c>
      <c r="I1093" s="3" t="n">
        <v>4</v>
      </c>
      <c r="J1093" s="9" t="n">
        <f aca="false">H1093*I1093</f>
        <v>835.9936</v>
      </c>
      <c r="K1093" s="3"/>
    </row>
    <row r="1094" customFormat="false" ht="19.5" hidden="false" customHeight="false" outlineLevel="0" collapsed="false">
      <c r="A1094" s="3" t="s">
        <v>163</v>
      </c>
      <c r="B1094" s="3" t="s">
        <v>164</v>
      </c>
      <c r="C1094" s="3" t="s">
        <v>74</v>
      </c>
      <c r="D1094" s="3" t="s">
        <v>8</v>
      </c>
      <c r="E1094" s="3" t="n">
        <v>1560</v>
      </c>
      <c r="F1094" s="3" t="n">
        <v>602</v>
      </c>
      <c r="G1094" s="3" t="n">
        <v>14</v>
      </c>
      <c r="H1094" s="8" t="n">
        <f aca="false">(E1094/1000)*(F1094/1000)*(G1094/1000)*7850</f>
        <v>103.209288</v>
      </c>
      <c r="I1094" s="3" t="n">
        <v>3</v>
      </c>
      <c r="J1094" s="9" t="n">
        <f aca="false">H1094*I1094</f>
        <v>309.627864</v>
      </c>
      <c r="K1094" s="3"/>
    </row>
    <row r="1095" customFormat="false" ht="19.5" hidden="false" customHeight="false" outlineLevel="0" collapsed="false">
      <c r="A1095" s="3" t="s">
        <v>163</v>
      </c>
      <c r="B1095" s="3" t="s">
        <v>164</v>
      </c>
      <c r="C1095" s="3" t="s">
        <v>74</v>
      </c>
      <c r="D1095" s="3" t="s">
        <v>8</v>
      </c>
      <c r="E1095" s="3" t="n">
        <v>460</v>
      </c>
      <c r="F1095" s="3" t="n">
        <v>1000</v>
      </c>
      <c r="G1095" s="3" t="n">
        <v>24</v>
      </c>
      <c r="H1095" s="8" t="n">
        <f aca="false">(E1095/1000)*(F1095/1000)*(G1095/1000)*7850</f>
        <v>86.664</v>
      </c>
      <c r="I1095" s="3" t="n">
        <v>3</v>
      </c>
      <c r="J1095" s="9" t="n">
        <f aca="false">H1095*I1095</f>
        <v>259.992</v>
      </c>
      <c r="K1095" s="3"/>
    </row>
    <row r="1096" customFormat="false" ht="19.5" hidden="false" customHeight="false" outlineLevel="0" collapsed="false">
      <c r="A1096" s="3" t="s">
        <v>165</v>
      </c>
      <c r="B1096" s="3" t="s">
        <v>166</v>
      </c>
      <c r="C1096" s="3" t="s">
        <v>44</v>
      </c>
      <c r="D1096" s="3" t="s">
        <v>9</v>
      </c>
      <c r="E1096" s="3" t="n">
        <v>11850</v>
      </c>
      <c r="F1096" s="3" t="n">
        <v>1000</v>
      </c>
      <c r="G1096" s="3" t="n">
        <v>40</v>
      </c>
      <c r="H1096" s="8" t="n">
        <f aca="false">(E1096/1000)*(F1096/1000)*(G1096/1000)*7850</f>
        <v>3720.9</v>
      </c>
      <c r="I1096" s="3" t="n">
        <v>1</v>
      </c>
      <c r="J1096" s="9" t="n">
        <f aca="false">H1096*I1096</f>
        <v>3720.9</v>
      </c>
      <c r="K1096" s="3"/>
    </row>
    <row r="1097" customFormat="false" ht="19.5" hidden="false" customHeight="false" outlineLevel="0" collapsed="false">
      <c r="A1097" s="3" t="s">
        <v>165</v>
      </c>
      <c r="B1097" s="3" t="s">
        <v>166</v>
      </c>
      <c r="C1097" s="3" t="s">
        <v>45</v>
      </c>
      <c r="D1097" s="3" t="s">
        <v>9</v>
      </c>
      <c r="E1097" s="3" t="n">
        <v>10390</v>
      </c>
      <c r="F1097" s="3" t="n">
        <v>1000</v>
      </c>
      <c r="G1097" s="3" t="n">
        <v>40</v>
      </c>
      <c r="H1097" s="8" t="n">
        <f aca="false">(E1097/1000)*(F1097/1000)*(G1097/1000)*7850</f>
        <v>3262.46</v>
      </c>
      <c r="I1097" s="3" t="n">
        <v>1</v>
      </c>
      <c r="J1097" s="9" t="n">
        <f aca="false">H1097*I1097</f>
        <v>3262.46</v>
      </c>
      <c r="K1097" s="3"/>
    </row>
    <row r="1098" customFormat="false" ht="19.5" hidden="false" customHeight="false" outlineLevel="0" collapsed="false">
      <c r="A1098" s="3" t="s">
        <v>165</v>
      </c>
      <c r="B1098" s="3" t="s">
        <v>166</v>
      </c>
      <c r="C1098" s="3" t="s">
        <v>46</v>
      </c>
      <c r="D1098" s="3" t="s">
        <v>9</v>
      </c>
      <c r="E1098" s="3" t="n">
        <v>8050</v>
      </c>
      <c r="F1098" s="3" t="n">
        <v>1200</v>
      </c>
      <c r="G1098" s="3" t="n">
        <v>40</v>
      </c>
      <c r="H1098" s="8" t="n">
        <f aca="false">(E1098/1000)*(F1098/1000)*(G1098/1000)*7850</f>
        <v>3033.24</v>
      </c>
      <c r="I1098" s="3" t="n">
        <v>1</v>
      </c>
      <c r="J1098" s="9" t="n">
        <f aca="false">H1098*I1098</f>
        <v>3033.24</v>
      </c>
      <c r="K1098" s="3"/>
    </row>
    <row r="1099" customFormat="false" ht="19.5" hidden="false" customHeight="false" outlineLevel="0" collapsed="false">
      <c r="A1099" s="3" t="s">
        <v>165</v>
      </c>
      <c r="B1099" s="3" t="s">
        <v>166</v>
      </c>
      <c r="C1099" s="3" t="s">
        <v>46</v>
      </c>
      <c r="D1099" s="3" t="s">
        <v>9</v>
      </c>
      <c r="E1099" s="3" t="n">
        <v>6950</v>
      </c>
      <c r="F1099" s="3" t="n">
        <v>1200</v>
      </c>
      <c r="G1099" s="3" t="n">
        <v>40</v>
      </c>
      <c r="H1099" s="8" t="n">
        <f aca="false">(E1099/1000)*(F1099/1000)*(G1099/1000)*7850</f>
        <v>2618.76</v>
      </c>
      <c r="I1099" s="3" t="n">
        <v>1</v>
      </c>
      <c r="J1099" s="9" t="n">
        <f aca="false">H1099*I1099</f>
        <v>2618.76</v>
      </c>
      <c r="K1099" s="3"/>
    </row>
    <row r="1100" customFormat="false" ht="19.5" hidden="false" customHeight="false" outlineLevel="0" collapsed="false">
      <c r="A1100" s="3" t="s">
        <v>165</v>
      </c>
      <c r="B1100" s="3" t="s">
        <v>166</v>
      </c>
      <c r="C1100" s="3" t="s">
        <v>46</v>
      </c>
      <c r="D1100" s="3" t="s">
        <v>9</v>
      </c>
      <c r="E1100" s="3" t="n">
        <v>22950</v>
      </c>
      <c r="F1100" s="3" t="n">
        <v>1000</v>
      </c>
      <c r="G1100" s="3" t="n">
        <v>44</v>
      </c>
      <c r="H1100" s="8" t="n">
        <f aca="false">(E1100/1000)*(F1100/1000)*(G1100/1000)*7850</f>
        <v>7926.93</v>
      </c>
      <c r="I1100" s="3" t="n">
        <v>2</v>
      </c>
      <c r="J1100" s="9" t="n">
        <f aca="false">H1100*I1100</f>
        <v>15853.86</v>
      </c>
      <c r="K1100" s="3"/>
    </row>
    <row r="1101" customFormat="false" ht="19.5" hidden="false" customHeight="false" outlineLevel="0" collapsed="false">
      <c r="A1101" s="3" t="s">
        <v>165</v>
      </c>
      <c r="B1101" s="3" t="s">
        <v>166</v>
      </c>
      <c r="C1101" s="3" t="s">
        <v>49</v>
      </c>
      <c r="D1101" s="3" t="s">
        <v>9</v>
      </c>
      <c r="E1101" s="3" t="n">
        <v>7150</v>
      </c>
      <c r="F1101" s="3" t="n">
        <v>1628</v>
      </c>
      <c r="G1101" s="3" t="n">
        <v>48</v>
      </c>
      <c r="H1101" s="8" t="n">
        <f aca="false">(E1101/1000)*(F1101/1000)*(G1101/1000)*7850</f>
        <v>4386.02736</v>
      </c>
      <c r="I1101" s="3" t="n">
        <v>2</v>
      </c>
      <c r="J1101" s="9" t="n">
        <f aca="false">H1101*I1101</f>
        <v>8772.05472</v>
      </c>
      <c r="K1101" s="3"/>
    </row>
    <row r="1102" customFormat="false" ht="19.5" hidden="false" customHeight="false" outlineLevel="0" collapsed="false">
      <c r="A1102" s="3" t="s">
        <v>165</v>
      </c>
      <c r="B1102" s="3" t="s">
        <v>166</v>
      </c>
      <c r="C1102" s="3" t="s">
        <v>67</v>
      </c>
      <c r="D1102" s="3" t="s">
        <v>9</v>
      </c>
      <c r="E1102" s="3" t="n">
        <v>22550</v>
      </c>
      <c r="F1102" s="3" t="n">
        <v>1000</v>
      </c>
      <c r="G1102" s="3" t="n">
        <v>44</v>
      </c>
      <c r="H1102" s="8" t="n">
        <f aca="false">(E1102/1000)*(F1102/1000)*(G1102/1000)*7850</f>
        <v>7788.77</v>
      </c>
      <c r="I1102" s="3" t="n">
        <v>2</v>
      </c>
      <c r="J1102" s="9" t="n">
        <f aca="false">H1102*I1102</f>
        <v>15577.54</v>
      </c>
      <c r="K1102" s="3"/>
    </row>
    <row r="1103" customFormat="false" ht="19.5" hidden="false" customHeight="false" outlineLevel="0" collapsed="false">
      <c r="A1103" s="3" t="s">
        <v>165</v>
      </c>
      <c r="B1103" s="3" t="s">
        <v>166</v>
      </c>
      <c r="C1103" s="3" t="s">
        <v>67</v>
      </c>
      <c r="D1103" s="3" t="s">
        <v>9</v>
      </c>
      <c r="E1103" s="3" t="n">
        <v>7150</v>
      </c>
      <c r="F1103" s="3" t="n">
        <v>1482</v>
      </c>
      <c r="G1103" s="3" t="n">
        <v>44</v>
      </c>
      <c r="H1103" s="8" t="n">
        <f aca="false">(E1103/1000)*(F1103/1000)*(G1103/1000)*7850</f>
        <v>3659.96202</v>
      </c>
      <c r="I1103" s="3" t="n">
        <v>2</v>
      </c>
      <c r="J1103" s="9" t="n">
        <f aca="false">H1103*I1103</f>
        <v>7319.92404</v>
      </c>
      <c r="K1103" s="3"/>
    </row>
    <row r="1104" customFormat="false" ht="19.5" hidden="false" customHeight="false" outlineLevel="0" collapsed="false">
      <c r="A1104" s="3" t="s">
        <v>165</v>
      </c>
      <c r="B1104" s="3" t="s">
        <v>166</v>
      </c>
      <c r="C1104" s="3" t="s">
        <v>56</v>
      </c>
      <c r="D1104" s="3" t="s">
        <v>9</v>
      </c>
      <c r="E1104" s="3" t="n">
        <v>6950</v>
      </c>
      <c r="F1104" s="3" t="n">
        <v>320</v>
      </c>
      <c r="G1104" s="3" t="n">
        <v>32</v>
      </c>
      <c r="H1104" s="8" t="n">
        <f aca="false">(E1104/1000)*(F1104/1000)*(G1104/1000)*7850</f>
        <v>558.6688</v>
      </c>
      <c r="I1104" s="3" t="n">
        <v>4</v>
      </c>
      <c r="J1104" s="9" t="n">
        <f aca="false">H1104*I1104</f>
        <v>2234.6752</v>
      </c>
      <c r="K1104" s="3"/>
    </row>
    <row r="1105" customFormat="false" ht="19.5" hidden="false" customHeight="false" outlineLevel="0" collapsed="false">
      <c r="A1105" s="3" t="s">
        <v>165</v>
      </c>
      <c r="B1105" s="3" t="s">
        <v>166</v>
      </c>
      <c r="C1105" s="3" t="s">
        <v>57</v>
      </c>
      <c r="D1105" s="3" t="s">
        <v>9</v>
      </c>
      <c r="E1105" s="3" t="n">
        <v>15000</v>
      </c>
      <c r="F1105" s="3" t="n">
        <v>170</v>
      </c>
      <c r="G1105" s="3" t="n">
        <v>14</v>
      </c>
      <c r="H1105" s="8" t="n">
        <f aca="false">(E1105/1000)*(F1105/1000)*(G1105/1000)*7850</f>
        <v>280.245</v>
      </c>
      <c r="I1105" s="3" t="n">
        <v>1</v>
      </c>
      <c r="J1105" s="9" t="n">
        <f aca="false">H1105*I1105</f>
        <v>280.245</v>
      </c>
      <c r="K1105" s="3"/>
    </row>
    <row r="1106" customFormat="false" ht="19.5" hidden="false" customHeight="false" outlineLevel="0" collapsed="false">
      <c r="A1106" s="3" t="s">
        <v>165</v>
      </c>
      <c r="B1106" s="3" t="s">
        <v>166</v>
      </c>
      <c r="C1106" s="3" t="s">
        <v>58</v>
      </c>
      <c r="D1106" s="3" t="s">
        <v>9</v>
      </c>
      <c r="E1106" s="3" t="n">
        <v>10875</v>
      </c>
      <c r="F1106" s="3" t="n">
        <v>1200</v>
      </c>
      <c r="G1106" s="3" t="n">
        <v>40</v>
      </c>
      <c r="H1106" s="8" t="n">
        <f aca="false">(E1106/1000)*(F1106/1000)*(G1106/1000)*7850</f>
        <v>4097.7</v>
      </c>
      <c r="I1106" s="3" t="n">
        <v>1</v>
      </c>
      <c r="J1106" s="9" t="n">
        <f aca="false">H1106*I1106</f>
        <v>4097.7</v>
      </c>
      <c r="K1106" s="3"/>
    </row>
    <row r="1107" customFormat="false" ht="19.5" hidden="false" customHeight="false" outlineLevel="0" collapsed="false">
      <c r="A1107" s="3" t="s">
        <v>165</v>
      </c>
      <c r="B1107" s="3" t="s">
        <v>166</v>
      </c>
      <c r="C1107" s="3" t="s">
        <v>81</v>
      </c>
      <c r="D1107" s="3" t="s">
        <v>9</v>
      </c>
      <c r="E1107" s="3" t="n">
        <v>11375</v>
      </c>
      <c r="F1107" s="3" t="n">
        <v>1200</v>
      </c>
      <c r="G1107" s="3" t="n">
        <v>40</v>
      </c>
      <c r="H1107" s="8" t="n">
        <f aca="false">(E1107/1000)*(F1107/1000)*(G1107/1000)*7850</f>
        <v>4286.1</v>
      </c>
      <c r="I1107" s="3" t="n">
        <v>1</v>
      </c>
      <c r="J1107" s="9" t="n">
        <f aca="false">H1107*I1107</f>
        <v>4286.1</v>
      </c>
      <c r="K1107" s="3"/>
    </row>
    <row r="1108" customFormat="false" ht="19.5" hidden="false" customHeight="false" outlineLevel="0" collapsed="false">
      <c r="A1108" s="3" t="s">
        <v>165</v>
      </c>
      <c r="B1108" s="3" t="s">
        <v>166</v>
      </c>
      <c r="C1108" s="3" t="s">
        <v>59</v>
      </c>
      <c r="D1108" s="3" t="s">
        <v>9</v>
      </c>
      <c r="E1108" s="3" t="n">
        <v>7275</v>
      </c>
      <c r="F1108" s="3" t="n">
        <v>1360</v>
      </c>
      <c r="G1108" s="3" t="n">
        <v>40</v>
      </c>
      <c r="H1108" s="8" t="n">
        <f aca="false">(E1108/1000)*(F1108/1000)*(G1108/1000)*7850</f>
        <v>3106.716</v>
      </c>
      <c r="I1108" s="3" t="n">
        <v>2</v>
      </c>
      <c r="J1108" s="9" t="n">
        <f aca="false">H1108*I1108</f>
        <v>6213.432</v>
      </c>
      <c r="K1108" s="3"/>
    </row>
    <row r="1109" customFormat="false" ht="19.5" hidden="false" customHeight="false" outlineLevel="0" collapsed="false">
      <c r="A1109" s="3" t="s">
        <v>165</v>
      </c>
      <c r="B1109" s="3" t="s">
        <v>166</v>
      </c>
      <c r="C1109" s="3" t="s">
        <v>59</v>
      </c>
      <c r="D1109" s="3" t="s">
        <v>9</v>
      </c>
      <c r="E1109" s="3" t="n">
        <v>7275</v>
      </c>
      <c r="F1109" s="3" t="n">
        <v>320</v>
      </c>
      <c r="G1109" s="3" t="n">
        <v>32</v>
      </c>
      <c r="H1109" s="8" t="n">
        <f aca="false">(E1109/1000)*(F1109/1000)*(G1109/1000)*7850</f>
        <v>584.7936</v>
      </c>
      <c r="I1109" s="3" t="n">
        <v>4</v>
      </c>
      <c r="J1109" s="9" t="n">
        <f aca="false">H1109*I1109</f>
        <v>2339.1744</v>
      </c>
      <c r="K1109" s="3"/>
    </row>
    <row r="1110" customFormat="false" ht="19.5" hidden="false" customHeight="false" outlineLevel="0" collapsed="false">
      <c r="A1110" s="3" t="s">
        <v>165</v>
      </c>
      <c r="B1110" s="3" t="s">
        <v>166</v>
      </c>
      <c r="C1110" s="3" t="s">
        <v>59</v>
      </c>
      <c r="D1110" s="3" t="s">
        <v>9</v>
      </c>
      <c r="E1110" s="3" t="n">
        <v>9475</v>
      </c>
      <c r="F1110" s="3" t="n">
        <v>320</v>
      </c>
      <c r="G1110" s="3" t="n">
        <v>32</v>
      </c>
      <c r="H1110" s="8" t="n">
        <f aca="false">(E1110/1000)*(F1110/1000)*(G1110/1000)*7850</f>
        <v>761.6384</v>
      </c>
      <c r="I1110" s="3" t="n">
        <v>1</v>
      </c>
      <c r="J1110" s="9" t="n">
        <f aca="false">H1110*I1110</f>
        <v>761.6384</v>
      </c>
      <c r="K1110" s="3"/>
    </row>
    <row r="1111" customFormat="false" ht="19.5" hidden="false" customHeight="false" outlineLevel="0" collapsed="false">
      <c r="A1111" s="3" t="s">
        <v>165</v>
      </c>
      <c r="B1111" s="3" t="s">
        <v>166</v>
      </c>
      <c r="C1111" s="3" t="s">
        <v>59</v>
      </c>
      <c r="D1111" s="3" t="s">
        <v>9</v>
      </c>
      <c r="E1111" s="3" t="n">
        <v>9975</v>
      </c>
      <c r="F1111" s="3" t="n">
        <v>320</v>
      </c>
      <c r="G1111" s="3" t="n">
        <v>32</v>
      </c>
      <c r="H1111" s="8" t="n">
        <f aca="false">(E1111/1000)*(F1111/1000)*(G1111/1000)*7850</f>
        <v>801.8304</v>
      </c>
      <c r="I1111" s="3" t="n">
        <v>1</v>
      </c>
      <c r="J1111" s="9" t="n">
        <f aca="false">H1111*I1111</f>
        <v>801.8304</v>
      </c>
      <c r="K1111" s="3"/>
    </row>
    <row r="1112" customFormat="false" ht="19.5" hidden="false" customHeight="false" outlineLevel="0" collapsed="false">
      <c r="A1112" s="3" t="s">
        <v>165</v>
      </c>
      <c r="B1112" s="3" t="s">
        <v>166</v>
      </c>
      <c r="C1112" s="3" t="s">
        <v>59</v>
      </c>
      <c r="D1112" s="3" t="s">
        <v>9</v>
      </c>
      <c r="E1112" s="3" t="n">
        <v>1200</v>
      </c>
      <c r="F1112" s="3" t="n">
        <v>1200</v>
      </c>
      <c r="G1112" s="3" t="n">
        <v>16</v>
      </c>
      <c r="H1112" s="8" t="n">
        <f aca="false">(E1112/1000)*(F1112/1000)*(G1112/1000)*7850</f>
        <v>180.864</v>
      </c>
      <c r="I1112" s="3" t="n">
        <v>3</v>
      </c>
      <c r="J1112" s="9" t="n">
        <f aca="false">H1112*I1112</f>
        <v>542.592</v>
      </c>
      <c r="K1112" s="3"/>
    </row>
    <row r="1113" customFormat="false" ht="19.5" hidden="false" customHeight="false" outlineLevel="0" collapsed="false">
      <c r="A1113" s="3" t="s">
        <v>165</v>
      </c>
      <c r="B1113" s="3" t="s">
        <v>166</v>
      </c>
      <c r="C1113" s="3" t="s">
        <v>59</v>
      </c>
      <c r="D1113" s="3" t="s">
        <v>9</v>
      </c>
      <c r="E1113" s="3" t="n">
        <v>5629</v>
      </c>
      <c r="F1113" s="3" t="n">
        <v>1200</v>
      </c>
      <c r="G1113" s="3" t="n">
        <v>40</v>
      </c>
      <c r="H1113" s="8" t="n">
        <f aca="false">(E1113/1000)*(F1113/1000)*(G1113/1000)*7850</f>
        <v>2121.0072</v>
      </c>
      <c r="I1113" s="3" t="n">
        <v>1</v>
      </c>
      <c r="J1113" s="9" t="n">
        <f aca="false">H1113*I1113</f>
        <v>2121.0072</v>
      </c>
      <c r="K1113" s="3"/>
    </row>
    <row r="1114" customFormat="false" ht="19.5" hidden="false" customHeight="false" outlineLevel="0" collapsed="false">
      <c r="A1114" s="3" t="s">
        <v>165</v>
      </c>
      <c r="B1114" s="3" t="s">
        <v>166</v>
      </c>
      <c r="C1114" s="3" t="s">
        <v>59</v>
      </c>
      <c r="D1114" s="3" t="s">
        <v>9</v>
      </c>
      <c r="E1114" s="3" t="n">
        <v>3629</v>
      </c>
      <c r="F1114" s="3" t="n">
        <v>1760</v>
      </c>
      <c r="G1114" s="3" t="n">
        <v>40</v>
      </c>
      <c r="H1114" s="8" t="n">
        <f aca="false">(E1114/1000)*(F1114/1000)*(G1114/1000)*7850</f>
        <v>2005.53056</v>
      </c>
      <c r="I1114" s="3" t="n">
        <v>2</v>
      </c>
      <c r="J1114" s="9" t="n">
        <f aca="false">H1114*I1114</f>
        <v>4011.06112</v>
      </c>
      <c r="K1114" s="3"/>
    </row>
    <row r="1115" customFormat="false" ht="19.5" hidden="false" customHeight="false" outlineLevel="0" collapsed="false">
      <c r="A1115" s="3" t="s">
        <v>165</v>
      </c>
      <c r="B1115" s="3" t="s">
        <v>166</v>
      </c>
      <c r="C1115" s="3" t="s">
        <v>59</v>
      </c>
      <c r="D1115" s="3" t="s">
        <v>9</v>
      </c>
      <c r="E1115" s="3" t="n">
        <v>3629</v>
      </c>
      <c r="F1115" s="3" t="n">
        <v>320</v>
      </c>
      <c r="G1115" s="3" t="n">
        <v>32</v>
      </c>
      <c r="H1115" s="8" t="n">
        <f aca="false">(E1115/1000)*(F1115/1000)*(G1115/1000)*7850</f>
        <v>291.713536</v>
      </c>
      <c r="I1115" s="3" t="n">
        <v>4</v>
      </c>
      <c r="J1115" s="9" t="n">
        <f aca="false">H1115*I1115</f>
        <v>1166.854144</v>
      </c>
      <c r="K1115" s="3"/>
    </row>
    <row r="1116" customFormat="false" ht="19.5" hidden="false" customHeight="false" outlineLevel="0" collapsed="false">
      <c r="A1116" s="3" t="s">
        <v>165</v>
      </c>
      <c r="B1116" s="3" t="s">
        <v>166</v>
      </c>
      <c r="C1116" s="3" t="s">
        <v>59</v>
      </c>
      <c r="D1116" s="3" t="s">
        <v>9</v>
      </c>
      <c r="E1116" s="3" t="n">
        <v>4729</v>
      </c>
      <c r="F1116" s="3" t="n">
        <v>320</v>
      </c>
      <c r="G1116" s="3" t="n">
        <v>32</v>
      </c>
      <c r="H1116" s="8" t="n">
        <f aca="false">(E1116/1000)*(F1116/1000)*(G1116/1000)*7850</f>
        <v>380.135936</v>
      </c>
      <c r="I1116" s="3" t="n">
        <v>1</v>
      </c>
      <c r="J1116" s="9" t="n">
        <f aca="false">H1116*I1116</f>
        <v>380.135936</v>
      </c>
      <c r="K1116" s="3"/>
    </row>
    <row r="1117" customFormat="false" ht="19.5" hidden="false" customHeight="false" outlineLevel="0" collapsed="false">
      <c r="A1117" s="3" t="s">
        <v>165</v>
      </c>
      <c r="B1117" s="3" t="s">
        <v>166</v>
      </c>
      <c r="C1117" s="3" t="s">
        <v>59</v>
      </c>
      <c r="D1117" s="3" t="s">
        <v>9</v>
      </c>
      <c r="E1117" s="3" t="n">
        <v>4929</v>
      </c>
      <c r="F1117" s="3" t="n">
        <v>320</v>
      </c>
      <c r="G1117" s="3" t="n">
        <v>32</v>
      </c>
      <c r="H1117" s="8" t="n">
        <f aca="false">(E1117/1000)*(F1117/1000)*(G1117/1000)*7850</f>
        <v>396.212736</v>
      </c>
      <c r="I1117" s="3" t="n">
        <v>1</v>
      </c>
      <c r="J1117" s="9" t="n">
        <f aca="false">H1117*I1117</f>
        <v>396.212736</v>
      </c>
      <c r="K1117" s="3"/>
    </row>
    <row r="1118" customFormat="false" ht="19.5" hidden="false" customHeight="false" outlineLevel="0" collapsed="false">
      <c r="A1118" s="3" t="s">
        <v>165</v>
      </c>
      <c r="B1118" s="3" t="s">
        <v>166</v>
      </c>
      <c r="C1118" s="3" t="s">
        <v>59</v>
      </c>
      <c r="D1118" s="3" t="s">
        <v>9</v>
      </c>
      <c r="E1118" s="3" t="n">
        <v>1600</v>
      </c>
      <c r="F1118" s="3" t="n">
        <v>1200</v>
      </c>
      <c r="G1118" s="3" t="n">
        <v>16</v>
      </c>
      <c r="H1118" s="8" t="n">
        <f aca="false">(E1118/1000)*(F1118/1000)*(G1118/1000)*7850</f>
        <v>241.152</v>
      </c>
      <c r="I1118" s="3" t="n">
        <v>3</v>
      </c>
      <c r="J1118" s="9" t="n">
        <f aca="false">H1118*I1118</f>
        <v>723.456</v>
      </c>
      <c r="K1118" s="3"/>
    </row>
    <row r="1119" customFormat="false" ht="19.5" hidden="false" customHeight="false" outlineLevel="0" collapsed="false">
      <c r="A1119" s="3" t="s">
        <v>165</v>
      </c>
      <c r="B1119" s="3" t="s">
        <v>166</v>
      </c>
      <c r="C1119" s="3" t="s">
        <v>59</v>
      </c>
      <c r="D1119" s="3" t="s">
        <v>9</v>
      </c>
      <c r="E1119" s="3" t="n">
        <v>5640</v>
      </c>
      <c r="F1119" s="3" t="n">
        <v>1200</v>
      </c>
      <c r="G1119" s="3" t="n">
        <v>48</v>
      </c>
      <c r="H1119" s="8" t="n">
        <f aca="false">(E1119/1000)*(F1119/1000)*(G1119/1000)*7850</f>
        <v>2550.1824</v>
      </c>
      <c r="I1119" s="3" t="n">
        <v>1</v>
      </c>
      <c r="J1119" s="9" t="n">
        <f aca="false">H1119*I1119</f>
        <v>2550.1824</v>
      </c>
      <c r="K1119" s="3"/>
    </row>
    <row r="1120" customFormat="false" ht="19.5" hidden="false" customHeight="false" outlineLevel="0" collapsed="false">
      <c r="A1120" s="3" t="s">
        <v>165</v>
      </c>
      <c r="B1120" s="3" t="s">
        <v>166</v>
      </c>
      <c r="C1120" s="3" t="s">
        <v>59</v>
      </c>
      <c r="D1120" s="3" t="s">
        <v>9</v>
      </c>
      <c r="E1120" s="3" t="n">
        <v>5740</v>
      </c>
      <c r="F1120" s="3" t="n">
        <v>1200</v>
      </c>
      <c r="G1120" s="3" t="n">
        <v>48</v>
      </c>
      <c r="H1120" s="8" t="n">
        <f aca="false">(E1120/1000)*(F1120/1000)*(G1120/1000)*7850</f>
        <v>2595.3984</v>
      </c>
      <c r="I1120" s="3" t="n">
        <v>1</v>
      </c>
      <c r="J1120" s="9" t="n">
        <f aca="false">H1120*I1120</f>
        <v>2595.3984</v>
      </c>
      <c r="K1120" s="3"/>
    </row>
    <row r="1121" customFormat="false" ht="19.5" hidden="false" customHeight="false" outlineLevel="0" collapsed="false">
      <c r="A1121" s="3" t="s">
        <v>165</v>
      </c>
      <c r="B1121" s="3" t="s">
        <v>166</v>
      </c>
      <c r="C1121" s="3" t="s">
        <v>59</v>
      </c>
      <c r="D1121" s="3" t="s">
        <v>9</v>
      </c>
      <c r="E1121" s="3" t="n">
        <v>3640</v>
      </c>
      <c r="F1121" s="3" t="n">
        <v>1760</v>
      </c>
      <c r="G1121" s="3" t="n">
        <v>48</v>
      </c>
      <c r="H1121" s="8" t="n">
        <f aca="false">(E1121/1000)*(F1121/1000)*(G1121/1000)*7850</f>
        <v>2413.93152</v>
      </c>
      <c r="I1121" s="3" t="n">
        <v>2</v>
      </c>
      <c r="J1121" s="9" t="n">
        <f aca="false">H1121*I1121</f>
        <v>4827.86304</v>
      </c>
      <c r="K1121" s="3"/>
    </row>
    <row r="1122" customFormat="false" ht="19.5" hidden="false" customHeight="false" outlineLevel="0" collapsed="false">
      <c r="A1122" s="3" t="s">
        <v>165</v>
      </c>
      <c r="B1122" s="3" t="s">
        <v>166</v>
      </c>
      <c r="C1122" s="3" t="s">
        <v>59</v>
      </c>
      <c r="D1122" s="3" t="s">
        <v>9</v>
      </c>
      <c r="E1122" s="3" t="n">
        <v>3640</v>
      </c>
      <c r="F1122" s="3" t="n">
        <v>320</v>
      </c>
      <c r="G1122" s="3" t="n">
        <v>32</v>
      </c>
      <c r="H1122" s="8" t="n">
        <f aca="false">(E1122/1000)*(F1122/1000)*(G1122/1000)*7850</f>
        <v>292.59776</v>
      </c>
      <c r="I1122" s="3" t="n">
        <v>4</v>
      </c>
      <c r="J1122" s="9" t="n">
        <f aca="false">H1122*I1122</f>
        <v>1170.39104</v>
      </c>
      <c r="K1122" s="3"/>
    </row>
    <row r="1123" customFormat="false" ht="19.5" hidden="false" customHeight="false" outlineLevel="0" collapsed="false">
      <c r="A1123" s="3" t="s">
        <v>165</v>
      </c>
      <c r="B1123" s="3" t="s">
        <v>166</v>
      </c>
      <c r="C1123" s="3" t="s">
        <v>59</v>
      </c>
      <c r="D1123" s="3" t="s">
        <v>9</v>
      </c>
      <c r="E1123" s="3" t="n">
        <v>4940</v>
      </c>
      <c r="F1123" s="3" t="n">
        <v>320</v>
      </c>
      <c r="G1123" s="3" t="n">
        <v>32</v>
      </c>
      <c r="H1123" s="8" t="n">
        <f aca="false">(E1123/1000)*(F1123/1000)*(G1123/1000)*7850</f>
        <v>397.09696</v>
      </c>
      <c r="I1123" s="3" t="n">
        <v>1</v>
      </c>
      <c r="J1123" s="9" t="n">
        <f aca="false">H1123*I1123</f>
        <v>397.09696</v>
      </c>
      <c r="K1123" s="3"/>
    </row>
    <row r="1124" customFormat="false" ht="19.5" hidden="false" customHeight="false" outlineLevel="0" collapsed="false">
      <c r="A1124" s="3" t="s">
        <v>165</v>
      </c>
      <c r="B1124" s="3" t="s">
        <v>166</v>
      </c>
      <c r="C1124" s="3" t="s">
        <v>59</v>
      </c>
      <c r="D1124" s="3" t="s">
        <v>9</v>
      </c>
      <c r="E1124" s="3" t="n">
        <v>2100</v>
      </c>
      <c r="F1124" s="3" t="n">
        <v>320</v>
      </c>
      <c r="G1124" s="3" t="n">
        <v>32</v>
      </c>
      <c r="H1124" s="8" t="n">
        <f aca="false">(E1124/1000)*(F1124/1000)*(G1124/1000)*7850</f>
        <v>168.8064</v>
      </c>
      <c r="I1124" s="3" t="n">
        <v>8</v>
      </c>
      <c r="J1124" s="9" t="n">
        <f aca="false">H1124*I1124</f>
        <v>1350.4512</v>
      </c>
      <c r="K1124" s="3"/>
    </row>
    <row r="1125" customFormat="false" ht="19.5" hidden="false" customHeight="false" outlineLevel="0" collapsed="false">
      <c r="A1125" s="3" t="s">
        <v>165</v>
      </c>
      <c r="B1125" s="3" t="s">
        <v>166</v>
      </c>
      <c r="C1125" s="3" t="s">
        <v>59</v>
      </c>
      <c r="D1125" s="3" t="s">
        <v>9</v>
      </c>
      <c r="E1125" s="3" t="n">
        <v>2400</v>
      </c>
      <c r="F1125" s="3" t="n">
        <v>320</v>
      </c>
      <c r="G1125" s="3" t="n">
        <v>32</v>
      </c>
      <c r="H1125" s="8" t="n">
        <f aca="false">(E1125/1000)*(F1125/1000)*(G1125/1000)*7850</f>
        <v>192.9216</v>
      </c>
      <c r="I1125" s="3" t="n">
        <v>8</v>
      </c>
      <c r="J1125" s="9" t="n">
        <f aca="false">H1125*I1125</f>
        <v>1543.3728</v>
      </c>
      <c r="K1125" s="3"/>
    </row>
    <row r="1126" customFormat="false" ht="19.5" hidden="false" customHeight="false" outlineLevel="0" collapsed="false">
      <c r="A1126" s="3" t="s">
        <v>165</v>
      </c>
      <c r="B1126" s="3" t="s">
        <v>166</v>
      </c>
      <c r="C1126" s="3" t="s">
        <v>59</v>
      </c>
      <c r="D1126" s="3" t="s">
        <v>8</v>
      </c>
      <c r="E1126" s="3" t="n">
        <v>1560</v>
      </c>
      <c r="F1126" s="3" t="n">
        <v>606</v>
      </c>
      <c r="G1126" s="3" t="n">
        <v>14</v>
      </c>
      <c r="H1126" s="8" t="n">
        <f aca="false">(E1126/1000)*(F1126/1000)*(G1126/1000)*7850</f>
        <v>103.895064</v>
      </c>
      <c r="I1126" s="3" t="n">
        <v>3</v>
      </c>
      <c r="J1126" s="9" t="n">
        <f aca="false">H1126*I1126</f>
        <v>311.685192</v>
      </c>
      <c r="K1126" s="3"/>
    </row>
    <row r="1127" customFormat="false" ht="19.5" hidden="false" customHeight="false" outlineLevel="0" collapsed="false">
      <c r="A1127" s="3" t="s">
        <v>167</v>
      </c>
      <c r="B1127" s="3" t="s">
        <v>168</v>
      </c>
      <c r="C1127" s="3"/>
      <c r="D1127" s="3" t="s">
        <v>9</v>
      </c>
      <c r="E1127" s="3" t="n">
        <v>11850</v>
      </c>
      <c r="F1127" s="3" t="n">
        <v>1000</v>
      </c>
      <c r="G1127" s="3" t="n">
        <v>40</v>
      </c>
      <c r="H1127" s="8" t="n">
        <f aca="false">(E1127/1000)*(F1127/1000)*(G1127/1000)*7850</f>
        <v>3720.9</v>
      </c>
      <c r="I1127" s="3" t="n">
        <v>1</v>
      </c>
      <c r="J1127" s="9" t="n">
        <f aca="false">H1127*I1127</f>
        <v>3720.9</v>
      </c>
      <c r="K1127" s="3"/>
    </row>
    <row r="1128" customFormat="false" ht="19.5" hidden="false" customHeight="false" outlineLevel="0" collapsed="false">
      <c r="A1128" s="3" t="s">
        <v>167</v>
      </c>
      <c r="B1128" s="3" t="s">
        <v>168</v>
      </c>
      <c r="C1128" s="3"/>
      <c r="D1128" s="3" t="s">
        <v>9</v>
      </c>
      <c r="E1128" s="3" t="n">
        <v>7150</v>
      </c>
      <c r="F1128" s="3" t="n">
        <v>1628</v>
      </c>
      <c r="G1128" s="3" t="n">
        <v>48</v>
      </c>
      <c r="H1128" s="8" t="n">
        <f aca="false">(E1128/1000)*(F1128/1000)*(G1128/1000)*7850</f>
        <v>4386.02736</v>
      </c>
      <c r="I1128" s="3" t="n">
        <v>2</v>
      </c>
      <c r="J1128" s="9" t="n">
        <f aca="false">H1128*I1128</f>
        <v>8772.05472</v>
      </c>
      <c r="K1128" s="3"/>
    </row>
    <row r="1129" customFormat="false" ht="19.5" hidden="false" customHeight="false" outlineLevel="0" collapsed="false">
      <c r="A1129" s="3" t="s">
        <v>167</v>
      </c>
      <c r="B1129" s="3" t="s">
        <v>168</v>
      </c>
      <c r="C1129" s="3"/>
      <c r="D1129" s="3" t="s">
        <v>9</v>
      </c>
      <c r="E1129" s="3" t="n">
        <v>1560</v>
      </c>
      <c r="F1129" s="3" t="n">
        <v>1200</v>
      </c>
      <c r="G1129" s="3" t="n">
        <v>16</v>
      </c>
      <c r="H1129" s="8" t="n">
        <f aca="false">(E1129/1000)*(F1129/1000)*(G1129/1000)*7850</f>
        <v>235.1232</v>
      </c>
      <c r="I1129" s="3" t="n">
        <v>3</v>
      </c>
      <c r="J1129" s="9" t="n">
        <f aca="false">H1129*I1129</f>
        <v>705.3696</v>
      </c>
      <c r="K1129" s="3"/>
    </row>
    <row r="1130" customFormat="false" ht="19.5" hidden="false" customHeight="false" outlineLevel="0" collapsed="false">
      <c r="A1130" s="3" t="s">
        <v>167</v>
      </c>
      <c r="B1130" s="3" t="s">
        <v>168</v>
      </c>
      <c r="C1130" s="3" t="s">
        <v>50</v>
      </c>
      <c r="D1130" s="3" t="s">
        <v>9</v>
      </c>
      <c r="E1130" s="3" t="n">
        <v>8050</v>
      </c>
      <c r="F1130" s="3" t="n">
        <v>320</v>
      </c>
      <c r="G1130" s="3" t="n">
        <v>32</v>
      </c>
      <c r="H1130" s="8" t="n">
        <f aca="false">(E1130/1000)*(F1130/1000)*(G1130/1000)*7850</f>
        <v>647.0912</v>
      </c>
      <c r="I1130" s="3" t="n">
        <v>6</v>
      </c>
      <c r="J1130" s="9" t="n">
        <f aca="false">H1130*I1130</f>
        <v>3882.5472</v>
      </c>
      <c r="K1130" s="3"/>
    </row>
    <row r="1131" customFormat="false" ht="19.5" hidden="false" customHeight="false" outlineLevel="0" collapsed="false">
      <c r="A1131" s="3" t="s">
        <v>167</v>
      </c>
      <c r="B1131" s="3" t="s">
        <v>168</v>
      </c>
      <c r="C1131" s="3" t="s">
        <v>66</v>
      </c>
      <c r="D1131" s="3" t="s">
        <v>9</v>
      </c>
      <c r="E1131" s="3" t="n">
        <v>6950</v>
      </c>
      <c r="F1131" s="3" t="n">
        <v>320</v>
      </c>
      <c r="G1131" s="3" t="n">
        <v>32</v>
      </c>
      <c r="H1131" s="8" t="n">
        <f aca="false">(E1131/1000)*(F1131/1000)*(G1131/1000)*7850</f>
        <v>558.6688</v>
      </c>
      <c r="I1131" s="3" t="n">
        <v>6</v>
      </c>
      <c r="J1131" s="9" t="n">
        <f aca="false">H1131*I1131</f>
        <v>3352.0128</v>
      </c>
      <c r="K1131" s="3"/>
    </row>
    <row r="1132" customFormat="false" ht="19.5" hidden="false" customHeight="false" outlineLevel="0" collapsed="false">
      <c r="A1132" s="3" t="s">
        <v>167</v>
      </c>
      <c r="B1132" s="3" t="s">
        <v>168</v>
      </c>
      <c r="C1132" s="3" t="s">
        <v>66</v>
      </c>
      <c r="D1132" s="3" t="s">
        <v>9</v>
      </c>
      <c r="E1132" s="3" t="n">
        <v>8050</v>
      </c>
      <c r="F1132" s="3" t="n">
        <v>1850</v>
      </c>
      <c r="G1132" s="3" t="n">
        <v>32</v>
      </c>
      <c r="H1132" s="8" t="n">
        <f aca="false">(E1132/1000)*(F1132/1000)*(G1132/1000)*7850</f>
        <v>3740.996</v>
      </c>
      <c r="I1132" s="3" t="n">
        <v>1</v>
      </c>
      <c r="J1132" s="9" t="n">
        <f aca="false">H1132*I1132</f>
        <v>3740.996</v>
      </c>
      <c r="K1132" s="3"/>
    </row>
    <row r="1133" customFormat="false" ht="19.5" hidden="false" customHeight="false" outlineLevel="0" collapsed="false">
      <c r="A1133" s="3" t="s">
        <v>167</v>
      </c>
      <c r="B1133" s="3" t="s">
        <v>168</v>
      </c>
      <c r="C1133" s="3" t="s">
        <v>66</v>
      </c>
      <c r="D1133" s="3" t="s">
        <v>9</v>
      </c>
      <c r="E1133" s="3" t="n">
        <v>6950</v>
      </c>
      <c r="F1133" s="3" t="n">
        <v>1850</v>
      </c>
      <c r="G1133" s="3" t="n">
        <v>32</v>
      </c>
      <c r="H1133" s="8" t="n">
        <f aca="false">(E1133/1000)*(F1133/1000)*(G1133/1000)*7850</f>
        <v>3229.804</v>
      </c>
      <c r="I1133" s="3" t="n">
        <v>1</v>
      </c>
      <c r="J1133" s="9" t="n">
        <f aca="false">H1133*I1133</f>
        <v>3229.804</v>
      </c>
      <c r="K1133" s="3"/>
    </row>
    <row r="1134" customFormat="false" ht="19.5" hidden="false" customHeight="false" outlineLevel="0" collapsed="false">
      <c r="A1134" s="3" t="s">
        <v>167</v>
      </c>
      <c r="B1134" s="3" t="s">
        <v>168</v>
      </c>
      <c r="C1134" s="3" t="s">
        <v>66</v>
      </c>
      <c r="D1134" s="3" t="s">
        <v>9</v>
      </c>
      <c r="E1134" s="3" t="n">
        <v>15800</v>
      </c>
      <c r="F1134" s="3" t="n">
        <v>1000</v>
      </c>
      <c r="G1134" s="3" t="n">
        <v>40</v>
      </c>
      <c r="H1134" s="8" t="n">
        <f aca="false">(E1134/1000)*(F1134/1000)*(G1134/1000)*7850</f>
        <v>4961.2</v>
      </c>
      <c r="I1134" s="3" t="n">
        <v>1</v>
      </c>
      <c r="J1134" s="9" t="n">
        <f aca="false">H1134*I1134</f>
        <v>4961.2</v>
      </c>
      <c r="K1134" s="3"/>
    </row>
    <row r="1135" customFormat="false" ht="19.5" hidden="false" customHeight="false" outlineLevel="0" collapsed="false">
      <c r="A1135" s="3" t="s">
        <v>167</v>
      </c>
      <c r="B1135" s="3" t="s">
        <v>168</v>
      </c>
      <c r="C1135" s="3" t="s">
        <v>66</v>
      </c>
      <c r="D1135" s="3" t="s">
        <v>9</v>
      </c>
      <c r="E1135" s="3" t="n">
        <v>10400</v>
      </c>
      <c r="F1135" s="3" t="n">
        <v>1000</v>
      </c>
      <c r="G1135" s="3" t="n">
        <v>32</v>
      </c>
      <c r="H1135" s="8" t="n">
        <f aca="false">(E1135/1000)*(F1135/1000)*(G1135/1000)*7850</f>
        <v>2612.48</v>
      </c>
      <c r="I1135" s="3" t="n">
        <v>1</v>
      </c>
      <c r="J1135" s="9" t="n">
        <f aca="false">H1135*I1135</f>
        <v>2612.48</v>
      </c>
      <c r="K1135" s="3"/>
    </row>
    <row r="1136" customFormat="false" ht="19.5" hidden="false" customHeight="false" outlineLevel="0" collapsed="false">
      <c r="A1136" s="3" t="s">
        <v>167</v>
      </c>
      <c r="B1136" s="3" t="s">
        <v>168</v>
      </c>
      <c r="C1136" s="3" t="s">
        <v>66</v>
      </c>
      <c r="D1136" s="3" t="s">
        <v>9</v>
      </c>
      <c r="E1136" s="3" t="n">
        <v>22560</v>
      </c>
      <c r="F1136" s="3" t="n">
        <v>1000</v>
      </c>
      <c r="G1136" s="3" t="n">
        <v>44</v>
      </c>
      <c r="H1136" s="8" t="n">
        <f aca="false">(E1136/1000)*(F1136/1000)*(G1136/1000)*7850</f>
        <v>7792.224</v>
      </c>
      <c r="I1136" s="3" t="n">
        <v>2</v>
      </c>
      <c r="J1136" s="9" t="n">
        <f aca="false">H1136*I1136</f>
        <v>15584.448</v>
      </c>
      <c r="K1136" s="3"/>
    </row>
    <row r="1137" customFormat="false" ht="19.5" hidden="false" customHeight="false" outlineLevel="0" collapsed="false">
      <c r="A1137" s="3" t="s">
        <v>167</v>
      </c>
      <c r="B1137" s="3" t="s">
        <v>168</v>
      </c>
      <c r="C1137" s="3" t="s">
        <v>66</v>
      </c>
      <c r="D1137" s="3" t="s">
        <v>9</v>
      </c>
      <c r="E1137" s="3" t="n">
        <v>7150</v>
      </c>
      <c r="F1137" s="3" t="n">
        <v>1482</v>
      </c>
      <c r="G1137" s="3" t="n">
        <v>44</v>
      </c>
      <c r="H1137" s="8" t="n">
        <f aca="false">(E1137/1000)*(F1137/1000)*(G1137/1000)*7850</f>
        <v>3659.96202</v>
      </c>
      <c r="I1137" s="3" t="n">
        <v>2</v>
      </c>
      <c r="J1137" s="9" t="n">
        <f aca="false">H1137*I1137</f>
        <v>7319.92404</v>
      </c>
      <c r="K1137" s="3"/>
    </row>
    <row r="1138" customFormat="false" ht="19.5" hidden="false" customHeight="false" outlineLevel="0" collapsed="false">
      <c r="A1138" s="3" t="s">
        <v>167</v>
      </c>
      <c r="B1138" s="3" t="s">
        <v>168</v>
      </c>
      <c r="C1138" s="3" t="s">
        <v>66</v>
      </c>
      <c r="D1138" s="3" t="s">
        <v>9</v>
      </c>
      <c r="E1138" s="3" t="n">
        <v>1450</v>
      </c>
      <c r="F1138" s="3" t="n">
        <v>1200</v>
      </c>
      <c r="G1138" s="3" t="n">
        <v>16</v>
      </c>
      <c r="H1138" s="8" t="n">
        <f aca="false">(E1138/1000)*(F1138/1000)*(G1138/1000)*7850</f>
        <v>218.544</v>
      </c>
      <c r="I1138" s="3" t="n">
        <v>3</v>
      </c>
      <c r="J1138" s="9" t="n">
        <f aca="false">H1138*I1138</f>
        <v>655.632</v>
      </c>
      <c r="K1138" s="3"/>
    </row>
    <row r="1139" customFormat="false" ht="19.5" hidden="false" customHeight="false" outlineLevel="0" collapsed="false">
      <c r="A1139" s="3" t="s">
        <v>167</v>
      </c>
      <c r="B1139" s="3" t="s">
        <v>168</v>
      </c>
      <c r="C1139" s="3" t="s">
        <v>66</v>
      </c>
      <c r="D1139" s="3" t="s">
        <v>9</v>
      </c>
      <c r="E1139" s="3" t="n">
        <v>1450</v>
      </c>
      <c r="F1139" s="3" t="n">
        <v>1200</v>
      </c>
      <c r="G1139" s="3" t="n">
        <v>16</v>
      </c>
      <c r="H1139" s="8" t="n">
        <f aca="false">(E1139/1000)*(F1139/1000)*(G1139/1000)*7850</f>
        <v>218.544</v>
      </c>
      <c r="I1139" s="3" t="n">
        <v>2</v>
      </c>
      <c r="J1139" s="9" t="n">
        <f aca="false">H1139*I1139</f>
        <v>437.088</v>
      </c>
      <c r="K1139" s="3"/>
    </row>
    <row r="1140" customFormat="false" ht="19.5" hidden="false" customHeight="false" outlineLevel="0" collapsed="false">
      <c r="A1140" s="3" t="s">
        <v>167</v>
      </c>
      <c r="B1140" s="3" t="s">
        <v>168</v>
      </c>
      <c r="C1140" s="3" t="s">
        <v>55</v>
      </c>
      <c r="D1140" s="3" t="s">
        <v>9</v>
      </c>
      <c r="E1140" s="3" t="n">
        <v>8050</v>
      </c>
      <c r="F1140" s="3" t="n">
        <v>320</v>
      </c>
      <c r="G1140" s="3" t="n">
        <v>32</v>
      </c>
      <c r="H1140" s="8" t="n">
        <f aca="false">(E1140/1000)*(F1140/1000)*(G1140/1000)*7850</f>
        <v>647.0912</v>
      </c>
      <c r="I1140" s="3" t="n">
        <v>4</v>
      </c>
      <c r="J1140" s="9" t="n">
        <f aca="false">H1140*I1140</f>
        <v>2588.3648</v>
      </c>
      <c r="K1140" s="3"/>
    </row>
    <row r="1141" customFormat="false" ht="19.5" hidden="false" customHeight="false" outlineLevel="0" collapsed="false">
      <c r="A1141" s="3" t="s">
        <v>167</v>
      </c>
      <c r="B1141" s="3" t="s">
        <v>168</v>
      </c>
      <c r="C1141" s="3" t="s">
        <v>56</v>
      </c>
      <c r="D1141" s="3" t="s">
        <v>9</v>
      </c>
      <c r="E1141" s="3" t="n">
        <v>6950</v>
      </c>
      <c r="F1141" s="3" t="n">
        <v>320</v>
      </c>
      <c r="G1141" s="3" t="n">
        <v>32</v>
      </c>
      <c r="H1141" s="8" t="n">
        <f aca="false">(E1141/1000)*(F1141/1000)*(G1141/1000)*7850</f>
        <v>558.6688</v>
      </c>
      <c r="I1141" s="3" t="n">
        <v>4</v>
      </c>
      <c r="J1141" s="9" t="n">
        <f aca="false">H1141*I1141</f>
        <v>2234.6752</v>
      </c>
      <c r="K1141" s="3"/>
    </row>
    <row r="1142" customFormat="false" ht="19.5" hidden="false" customHeight="false" outlineLevel="0" collapsed="false">
      <c r="A1142" s="3" t="s">
        <v>167</v>
      </c>
      <c r="B1142" s="3" t="s">
        <v>168</v>
      </c>
      <c r="C1142" s="3" t="s">
        <v>57</v>
      </c>
      <c r="D1142" s="3" t="s">
        <v>9</v>
      </c>
      <c r="E1142" s="3" t="n">
        <v>15000</v>
      </c>
      <c r="F1142" s="3" t="n">
        <v>170</v>
      </c>
      <c r="G1142" s="3" t="n">
        <v>14</v>
      </c>
      <c r="H1142" s="8" t="n">
        <f aca="false">(E1142/1000)*(F1142/1000)*(G1142/1000)*7850</f>
        <v>280.245</v>
      </c>
      <c r="I1142" s="3" t="n">
        <v>1</v>
      </c>
      <c r="J1142" s="9" t="n">
        <f aca="false">H1142*I1142</f>
        <v>280.245</v>
      </c>
      <c r="K1142" s="3"/>
    </row>
    <row r="1143" customFormat="false" ht="19.5" hidden="false" customHeight="false" outlineLevel="0" collapsed="false">
      <c r="A1143" s="3" t="s">
        <v>167</v>
      </c>
      <c r="B1143" s="3" t="s">
        <v>168</v>
      </c>
      <c r="C1143" s="3" t="s">
        <v>81</v>
      </c>
      <c r="D1143" s="3" t="s">
        <v>9</v>
      </c>
      <c r="E1143" s="3" t="n">
        <v>11342</v>
      </c>
      <c r="F1143" s="3" t="n">
        <v>1200</v>
      </c>
      <c r="G1143" s="3" t="n">
        <v>40</v>
      </c>
      <c r="H1143" s="8" t="n">
        <f aca="false">(E1143/1000)*(F1143/1000)*(G1143/1000)*7850</f>
        <v>4273.6656</v>
      </c>
      <c r="I1143" s="3" t="n">
        <v>1</v>
      </c>
      <c r="J1143" s="9" t="n">
        <f aca="false">H1143*I1143</f>
        <v>4273.6656</v>
      </c>
      <c r="K1143" s="3"/>
    </row>
    <row r="1144" customFormat="false" ht="19.5" hidden="false" customHeight="false" outlineLevel="0" collapsed="false">
      <c r="A1144" s="3" t="s">
        <v>167</v>
      </c>
      <c r="B1144" s="3" t="s">
        <v>168</v>
      </c>
      <c r="C1144" s="3" t="s">
        <v>59</v>
      </c>
      <c r="D1144" s="3" t="s">
        <v>9</v>
      </c>
      <c r="E1144" s="3" t="n">
        <v>7242</v>
      </c>
      <c r="F1144" s="3" t="n">
        <v>1760</v>
      </c>
      <c r="G1144" s="3" t="n">
        <v>40</v>
      </c>
      <c r="H1144" s="8" t="n">
        <f aca="false">(E1144/1000)*(F1144/1000)*(G1144/1000)*7850</f>
        <v>4002.21888</v>
      </c>
      <c r="I1144" s="3" t="n">
        <v>2</v>
      </c>
      <c r="J1144" s="9" t="n">
        <f aca="false">H1144*I1144</f>
        <v>8004.43776</v>
      </c>
      <c r="K1144" s="3"/>
    </row>
    <row r="1145" customFormat="false" ht="19.5" hidden="false" customHeight="false" outlineLevel="0" collapsed="false">
      <c r="A1145" s="3" t="s">
        <v>167</v>
      </c>
      <c r="B1145" s="3" t="s">
        <v>168</v>
      </c>
      <c r="C1145" s="3" t="s">
        <v>59</v>
      </c>
      <c r="D1145" s="3" t="s">
        <v>9</v>
      </c>
      <c r="E1145" s="3" t="n">
        <v>9642</v>
      </c>
      <c r="F1145" s="3" t="n">
        <v>320</v>
      </c>
      <c r="G1145" s="3" t="n">
        <v>32</v>
      </c>
      <c r="H1145" s="8" t="n">
        <f aca="false">(E1145/1000)*(F1145/1000)*(G1145/1000)*7850</f>
        <v>775.062528</v>
      </c>
      <c r="I1145" s="3" t="n">
        <v>1</v>
      </c>
      <c r="J1145" s="9" t="n">
        <f aca="false">H1145*I1145</f>
        <v>775.062528</v>
      </c>
      <c r="K1145" s="3"/>
    </row>
    <row r="1146" customFormat="false" ht="19.5" hidden="false" customHeight="false" outlineLevel="0" collapsed="false">
      <c r="A1146" s="3" t="s">
        <v>167</v>
      </c>
      <c r="B1146" s="3" t="s">
        <v>168</v>
      </c>
      <c r="C1146" s="3" t="s">
        <v>59</v>
      </c>
      <c r="D1146" s="3" t="s">
        <v>9</v>
      </c>
      <c r="E1146" s="3" t="n">
        <v>9942</v>
      </c>
      <c r="F1146" s="3" t="n">
        <v>320</v>
      </c>
      <c r="G1146" s="3" t="n">
        <v>32</v>
      </c>
      <c r="H1146" s="8" t="n">
        <f aca="false">(E1146/1000)*(F1146/1000)*(G1146/1000)*7850</f>
        <v>799.177728</v>
      </c>
      <c r="I1146" s="3" t="n">
        <v>1</v>
      </c>
      <c r="J1146" s="9" t="n">
        <f aca="false">H1146*I1146</f>
        <v>799.177728</v>
      </c>
      <c r="K1146" s="3"/>
    </row>
    <row r="1147" customFormat="false" ht="19.5" hidden="false" customHeight="false" outlineLevel="0" collapsed="false">
      <c r="A1147" s="3" t="s">
        <v>167</v>
      </c>
      <c r="B1147" s="3" t="s">
        <v>168</v>
      </c>
      <c r="C1147" s="3"/>
      <c r="D1147" s="3" t="s">
        <v>9</v>
      </c>
      <c r="E1147" s="3" t="n">
        <v>5726</v>
      </c>
      <c r="F1147" s="3" t="n">
        <v>1200</v>
      </c>
      <c r="G1147" s="3" t="n">
        <v>36</v>
      </c>
      <c r="H1147" s="8" t="n">
        <f aca="false">(E1147/1000)*(F1147/1000)*(G1147/1000)*7850</f>
        <v>1941.80112</v>
      </c>
      <c r="I1147" s="3" t="n">
        <v>1</v>
      </c>
      <c r="J1147" s="9" t="n">
        <f aca="false">H1147*I1147</f>
        <v>1941.80112</v>
      </c>
      <c r="K1147" s="3"/>
    </row>
    <row r="1148" customFormat="false" ht="19.5" hidden="false" customHeight="false" outlineLevel="0" collapsed="false">
      <c r="A1148" s="3" t="s">
        <v>169</v>
      </c>
      <c r="B1148" s="3" t="s">
        <v>170</v>
      </c>
      <c r="C1148" s="3" t="s">
        <v>44</v>
      </c>
      <c r="D1148" s="3" t="s">
        <v>9</v>
      </c>
      <c r="E1148" s="3" t="n">
        <v>11850</v>
      </c>
      <c r="F1148" s="3" t="n">
        <v>1000</v>
      </c>
      <c r="G1148" s="3" t="n">
        <v>40</v>
      </c>
      <c r="H1148" s="8" t="n">
        <f aca="false">(E1148/1000)*(F1148/1000)*(G1148/1000)*7850</f>
        <v>3720.9</v>
      </c>
      <c r="I1148" s="3" t="n">
        <v>1</v>
      </c>
      <c r="J1148" s="9" t="n">
        <f aca="false">H1148*I1148</f>
        <v>3720.9</v>
      </c>
      <c r="K1148" s="3"/>
    </row>
    <row r="1149" customFormat="false" ht="19.5" hidden="false" customHeight="false" outlineLevel="0" collapsed="false">
      <c r="A1149" s="3" t="s">
        <v>169</v>
      </c>
      <c r="B1149" s="3" t="s">
        <v>170</v>
      </c>
      <c r="C1149" s="3" t="s">
        <v>45</v>
      </c>
      <c r="D1149" s="3" t="s">
        <v>9</v>
      </c>
      <c r="E1149" s="3" t="n">
        <v>10390</v>
      </c>
      <c r="F1149" s="3" t="n">
        <v>1000</v>
      </c>
      <c r="G1149" s="3" t="n">
        <v>40</v>
      </c>
      <c r="H1149" s="8" t="n">
        <f aca="false">(E1149/1000)*(F1149/1000)*(G1149/1000)*7850</f>
        <v>3262.46</v>
      </c>
      <c r="I1149" s="3" t="n">
        <v>1</v>
      </c>
      <c r="J1149" s="9" t="n">
        <f aca="false">H1149*I1149</f>
        <v>3262.46</v>
      </c>
      <c r="K1149" s="3"/>
    </row>
    <row r="1150" customFormat="false" ht="19.5" hidden="false" customHeight="false" outlineLevel="0" collapsed="false">
      <c r="A1150" s="3" t="s">
        <v>169</v>
      </c>
      <c r="B1150" s="3" t="s">
        <v>170</v>
      </c>
      <c r="C1150" s="3" t="s">
        <v>46</v>
      </c>
      <c r="D1150" s="3" t="s">
        <v>9</v>
      </c>
      <c r="E1150" s="3" t="n">
        <v>7900</v>
      </c>
      <c r="F1150" s="3" t="n">
        <v>1200</v>
      </c>
      <c r="G1150" s="3" t="n">
        <v>40</v>
      </c>
      <c r="H1150" s="8" t="n">
        <f aca="false">(E1150/1000)*(F1150/1000)*(G1150/1000)*7850</f>
        <v>2976.72</v>
      </c>
      <c r="I1150" s="3" t="n">
        <v>1</v>
      </c>
      <c r="J1150" s="9" t="n">
        <f aca="false">H1150*I1150</f>
        <v>2976.72</v>
      </c>
      <c r="K1150" s="3"/>
    </row>
    <row r="1151" customFormat="false" ht="19.5" hidden="false" customHeight="false" outlineLevel="0" collapsed="false">
      <c r="A1151" s="3" t="s">
        <v>169</v>
      </c>
      <c r="B1151" s="3" t="s">
        <v>170</v>
      </c>
      <c r="C1151" s="3" t="s">
        <v>46</v>
      </c>
      <c r="D1151" s="3" t="s">
        <v>9</v>
      </c>
      <c r="E1151" s="3" t="n">
        <v>6950</v>
      </c>
      <c r="F1151" s="3" t="n">
        <v>1200</v>
      </c>
      <c r="G1151" s="3" t="n">
        <v>40</v>
      </c>
      <c r="H1151" s="8" t="n">
        <f aca="false">(E1151/1000)*(F1151/1000)*(G1151/1000)*7850</f>
        <v>2618.76</v>
      </c>
      <c r="I1151" s="3" t="n">
        <v>1</v>
      </c>
      <c r="J1151" s="9" t="n">
        <f aca="false">H1151*I1151</f>
        <v>2618.76</v>
      </c>
      <c r="K1151" s="3"/>
    </row>
    <row r="1152" customFormat="false" ht="19.5" hidden="false" customHeight="false" outlineLevel="0" collapsed="false">
      <c r="A1152" s="3" t="s">
        <v>169</v>
      </c>
      <c r="B1152" s="3" t="s">
        <v>170</v>
      </c>
      <c r="C1152" s="3" t="s">
        <v>46</v>
      </c>
      <c r="D1152" s="3" t="s">
        <v>9</v>
      </c>
      <c r="E1152" s="3" t="n">
        <v>21290</v>
      </c>
      <c r="F1152" s="3" t="n">
        <v>1000</v>
      </c>
      <c r="G1152" s="3" t="n">
        <v>48</v>
      </c>
      <c r="H1152" s="8" t="n">
        <f aca="false">(E1152/1000)*(F1152/1000)*(G1152/1000)*7850</f>
        <v>8022.072</v>
      </c>
      <c r="I1152" s="3" t="n">
        <v>2</v>
      </c>
      <c r="J1152" s="9" t="n">
        <f aca="false">H1152*I1152</f>
        <v>16044.144</v>
      </c>
      <c r="K1152" s="3"/>
    </row>
    <row r="1153" customFormat="false" ht="19.5" hidden="false" customHeight="false" outlineLevel="0" collapsed="false">
      <c r="A1153" s="3" t="s">
        <v>169</v>
      </c>
      <c r="B1153" s="3" t="s">
        <v>170</v>
      </c>
      <c r="C1153" s="3" t="s">
        <v>49</v>
      </c>
      <c r="D1153" s="3" t="s">
        <v>9</v>
      </c>
      <c r="E1153" s="3" t="n">
        <v>7150</v>
      </c>
      <c r="F1153" s="3" t="n">
        <v>1628</v>
      </c>
      <c r="G1153" s="3" t="n">
        <v>48</v>
      </c>
      <c r="H1153" s="8" t="n">
        <f aca="false">(E1153/1000)*(F1153/1000)*(G1153/1000)*7850</f>
        <v>4386.02736</v>
      </c>
      <c r="I1153" s="3" t="n">
        <v>2</v>
      </c>
      <c r="J1153" s="9" t="n">
        <f aca="false">H1153*I1153</f>
        <v>8772.05472</v>
      </c>
      <c r="K1153" s="3"/>
    </row>
    <row r="1154" customFormat="false" ht="19.5" hidden="false" customHeight="false" outlineLevel="0" collapsed="false">
      <c r="A1154" s="3" t="s">
        <v>169</v>
      </c>
      <c r="B1154" s="3" t="s">
        <v>170</v>
      </c>
      <c r="C1154" s="3" t="s">
        <v>67</v>
      </c>
      <c r="D1154" s="3" t="s">
        <v>9</v>
      </c>
      <c r="E1154" s="3" t="n">
        <v>20710</v>
      </c>
      <c r="F1154" s="3" t="n">
        <v>1000</v>
      </c>
      <c r="G1154" s="3" t="n">
        <v>48</v>
      </c>
      <c r="H1154" s="8" t="n">
        <f aca="false">(E1154/1000)*(F1154/1000)*(G1154/1000)*7850</f>
        <v>7803.528</v>
      </c>
      <c r="I1154" s="3" t="n">
        <v>2</v>
      </c>
      <c r="J1154" s="9" t="n">
        <f aca="false">H1154*I1154</f>
        <v>15607.056</v>
      </c>
      <c r="K1154" s="3"/>
    </row>
    <row r="1155" customFormat="false" ht="19.5" hidden="false" customHeight="false" outlineLevel="0" collapsed="false">
      <c r="A1155" s="3" t="s">
        <v>169</v>
      </c>
      <c r="B1155" s="3" t="s">
        <v>170</v>
      </c>
      <c r="C1155" s="3" t="s">
        <v>54</v>
      </c>
      <c r="D1155" s="3" t="s">
        <v>8</v>
      </c>
      <c r="E1155" s="3" t="n">
        <v>7300</v>
      </c>
      <c r="F1155" s="3" t="n">
        <v>1474</v>
      </c>
      <c r="G1155" s="3" t="n">
        <v>32</v>
      </c>
      <c r="H1155" s="8" t="n">
        <f aca="false">(E1155/1000)*(F1155/1000)*(G1155/1000)*7850</f>
        <v>2702.96224</v>
      </c>
      <c r="I1155" s="3" t="n">
        <v>2</v>
      </c>
      <c r="J1155" s="9" t="n">
        <f aca="false">H1155*I1155</f>
        <v>5405.92448</v>
      </c>
      <c r="K1155" s="3"/>
    </row>
    <row r="1156" customFormat="false" ht="19.5" hidden="false" customHeight="false" outlineLevel="0" collapsed="false">
      <c r="A1156" s="3" t="s">
        <v>169</v>
      </c>
      <c r="B1156" s="3" t="s">
        <v>170</v>
      </c>
      <c r="C1156" s="3" t="s">
        <v>56</v>
      </c>
      <c r="D1156" s="3" t="s">
        <v>8</v>
      </c>
      <c r="E1156" s="3" t="n">
        <v>7100</v>
      </c>
      <c r="F1156" s="3" t="n">
        <v>320</v>
      </c>
      <c r="G1156" s="3" t="n">
        <v>32</v>
      </c>
      <c r="H1156" s="8" t="n">
        <f aca="false">(E1156/1000)*(F1156/1000)*(G1156/1000)*7850</f>
        <v>570.7264</v>
      </c>
      <c r="I1156" s="3" t="n">
        <v>4</v>
      </c>
      <c r="J1156" s="9" t="n">
        <f aca="false">H1156*I1156</f>
        <v>2282.9056</v>
      </c>
      <c r="K1156" s="3"/>
    </row>
    <row r="1157" customFormat="false" ht="19.5" hidden="false" customHeight="false" outlineLevel="0" collapsed="false">
      <c r="A1157" s="3" t="s">
        <v>169</v>
      </c>
      <c r="B1157" s="3" t="s">
        <v>170</v>
      </c>
      <c r="C1157" s="3" t="s">
        <v>57</v>
      </c>
      <c r="D1157" s="3" t="s">
        <v>8</v>
      </c>
      <c r="E1157" s="3" t="n">
        <v>15150</v>
      </c>
      <c r="F1157" s="3" t="n">
        <v>170</v>
      </c>
      <c r="G1157" s="3" t="n">
        <v>14</v>
      </c>
      <c r="H1157" s="8" t="n">
        <f aca="false">(E1157/1000)*(F1157/1000)*(G1157/1000)*7850</f>
        <v>283.04745</v>
      </c>
      <c r="I1157" s="3" t="n">
        <v>1</v>
      </c>
      <c r="J1157" s="9" t="n">
        <f aca="false">H1157*I1157</f>
        <v>283.04745</v>
      </c>
      <c r="K1157" s="3"/>
    </row>
    <row r="1158" customFormat="false" ht="19.5" hidden="false" customHeight="false" outlineLevel="0" collapsed="false">
      <c r="A1158" s="3" t="s">
        <v>169</v>
      </c>
      <c r="B1158" s="3" t="s">
        <v>170</v>
      </c>
      <c r="C1158" s="3" t="s">
        <v>57</v>
      </c>
      <c r="D1158" s="3" t="s">
        <v>8</v>
      </c>
      <c r="E1158" s="3" t="n">
        <v>11023</v>
      </c>
      <c r="F1158" s="3" t="n">
        <v>1200</v>
      </c>
      <c r="G1158" s="3" t="n">
        <v>36</v>
      </c>
      <c r="H1158" s="8" t="n">
        <f aca="false">(E1158/1000)*(F1158/1000)*(G1158/1000)*7850</f>
        <v>3738.11976</v>
      </c>
      <c r="I1158" s="3" t="n">
        <v>1</v>
      </c>
      <c r="J1158" s="9" t="n">
        <f aca="false">H1158*I1158</f>
        <v>3738.11976</v>
      </c>
      <c r="K1158" s="3"/>
    </row>
    <row r="1159" customFormat="false" ht="19.5" hidden="false" customHeight="false" outlineLevel="0" collapsed="false">
      <c r="A1159" s="3" t="s">
        <v>169</v>
      </c>
      <c r="B1159" s="3" t="s">
        <v>170</v>
      </c>
      <c r="C1159" s="3" t="s">
        <v>57</v>
      </c>
      <c r="D1159" s="3" t="s">
        <v>8</v>
      </c>
      <c r="E1159" s="3" t="n">
        <v>11423</v>
      </c>
      <c r="F1159" s="3" t="n">
        <v>1200</v>
      </c>
      <c r="G1159" s="3" t="n">
        <v>36</v>
      </c>
      <c r="H1159" s="8" t="n">
        <f aca="false">(E1159/1000)*(F1159/1000)*(G1159/1000)*7850</f>
        <v>3873.76776</v>
      </c>
      <c r="I1159" s="3" t="n">
        <v>1</v>
      </c>
      <c r="J1159" s="9" t="n">
        <f aca="false">H1159*I1159</f>
        <v>3873.76776</v>
      </c>
      <c r="K1159" s="3"/>
    </row>
    <row r="1160" customFormat="false" ht="19.5" hidden="false" customHeight="false" outlineLevel="0" collapsed="false">
      <c r="A1160" s="3" t="s">
        <v>169</v>
      </c>
      <c r="B1160" s="3" t="s">
        <v>170</v>
      </c>
      <c r="C1160" s="3" t="s">
        <v>57</v>
      </c>
      <c r="D1160" s="3" t="s">
        <v>8</v>
      </c>
      <c r="E1160" s="3" t="n">
        <v>7223</v>
      </c>
      <c r="F1160" s="3" t="n">
        <v>1360</v>
      </c>
      <c r="G1160" s="3" t="n">
        <v>36</v>
      </c>
      <c r="H1160" s="8" t="n">
        <f aca="false">(E1160/1000)*(F1160/1000)*(G1160/1000)*7850</f>
        <v>2776.058928</v>
      </c>
      <c r="I1160" s="3" t="n">
        <v>2</v>
      </c>
      <c r="J1160" s="9" t="n">
        <f aca="false">H1160*I1160</f>
        <v>5552.117856</v>
      </c>
      <c r="K1160" s="3"/>
    </row>
    <row r="1161" customFormat="false" ht="19.5" hidden="false" customHeight="false" outlineLevel="0" collapsed="false">
      <c r="A1161" s="3" t="s">
        <v>169</v>
      </c>
      <c r="B1161" s="3" t="s">
        <v>170</v>
      </c>
      <c r="C1161" s="3" t="s">
        <v>57</v>
      </c>
      <c r="D1161" s="3" t="s">
        <v>8</v>
      </c>
      <c r="E1161" s="3" t="n">
        <v>7223</v>
      </c>
      <c r="F1161" s="3" t="n">
        <v>320</v>
      </c>
      <c r="G1161" s="3" t="n">
        <v>32</v>
      </c>
      <c r="H1161" s="8" t="n">
        <f aca="false">(E1161/1000)*(F1161/1000)*(G1161/1000)*7850</f>
        <v>580.613632</v>
      </c>
      <c r="I1161" s="3" t="n">
        <v>2</v>
      </c>
      <c r="J1161" s="9" t="n">
        <f aca="false">H1161*I1161</f>
        <v>1161.227264</v>
      </c>
      <c r="K1161" s="3"/>
    </row>
    <row r="1162" customFormat="false" ht="19.5" hidden="false" customHeight="false" outlineLevel="0" collapsed="false">
      <c r="A1162" s="3" t="s">
        <v>169</v>
      </c>
      <c r="B1162" s="3" t="s">
        <v>170</v>
      </c>
      <c r="C1162" s="3" t="s">
        <v>74</v>
      </c>
      <c r="D1162" s="3" t="s">
        <v>8</v>
      </c>
      <c r="E1162" s="3" t="n">
        <v>9623</v>
      </c>
      <c r="F1162" s="3" t="n">
        <v>320</v>
      </c>
      <c r="G1162" s="3" t="n">
        <v>32</v>
      </c>
      <c r="H1162" s="8" t="n">
        <f aca="false">(E1162/1000)*(F1162/1000)*(G1162/1000)*7850</f>
        <v>773.535232</v>
      </c>
      <c r="I1162" s="3" t="n">
        <v>1</v>
      </c>
      <c r="J1162" s="9" t="n">
        <f aca="false">H1162*I1162</f>
        <v>773.535232</v>
      </c>
      <c r="K1162" s="3"/>
    </row>
    <row r="1163" customFormat="false" ht="19.5" hidden="false" customHeight="false" outlineLevel="0" collapsed="false">
      <c r="A1163" s="3" t="s">
        <v>169</v>
      </c>
      <c r="B1163" s="3" t="s">
        <v>170</v>
      </c>
      <c r="C1163" s="3" t="s">
        <v>74</v>
      </c>
      <c r="D1163" s="3" t="s">
        <v>8</v>
      </c>
      <c r="E1163" s="3" t="n">
        <v>10023</v>
      </c>
      <c r="F1163" s="3" t="n">
        <v>320</v>
      </c>
      <c r="G1163" s="3" t="n">
        <v>32</v>
      </c>
      <c r="H1163" s="8" t="n">
        <f aca="false">(E1163/1000)*(F1163/1000)*(G1163/1000)*7850</f>
        <v>805.688832</v>
      </c>
      <c r="I1163" s="3" t="n">
        <v>1</v>
      </c>
      <c r="J1163" s="9" t="n">
        <f aca="false">H1163*I1163</f>
        <v>805.688832</v>
      </c>
      <c r="K1163" s="3"/>
    </row>
    <row r="1164" customFormat="false" ht="19.5" hidden="false" customHeight="false" outlineLevel="0" collapsed="false">
      <c r="A1164" s="3" t="s">
        <v>169</v>
      </c>
      <c r="B1164" s="3" t="s">
        <v>170</v>
      </c>
      <c r="C1164" s="3" t="s">
        <v>74</v>
      </c>
      <c r="D1164" s="3" t="s">
        <v>8</v>
      </c>
      <c r="E1164" s="3" t="n">
        <v>1200</v>
      </c>
      <c r="F1164" s="3" t="n">
        <v>1200</v>
      </c>
      <c r="G1164" s="3" t="n">
        <v>16</v>
      </c>
      <c r="H1164" s="8" t="n">
        <f aca="false">(E1164/1000)*(F1164/1000)*(G1164/1000)*7850</f>
        <v>180.864</v>
      </c>
      <c r="I1164" s="3" t="n">
        <v>3</v>
      </c>
      <c r="J1164" s="9" t="n">
        <f aca="false">H1164*I1164</f>
        <v>542.592</v>
      </c>
      <c r="K1164" s="3"/>
    </row>
    <row r="1165" customFormat="false" ht="19.5" hidden="false" customHeight="false" outlineLevel="0" collapsed="false">
      <c r="A1165" s="3" t="s">
        <v>169</v>
      </c>
      <c r="B1165" s="3" t="s">
        <v>170</v>
      </c>
      <c r="C1165" s="3" t="s">
        <v>74</v>
      </c>
      <c r="D1165" s="3" t="s">
        <v>8</v>
      </c>
      <c r="E1165" s="3" t="n">
        <v>5629</v>
      </c>
      <c r="F1165" s="3" t="n">
        <v>1200</v>
      </c>
      <c r="G1165" s="3" t="n">
        <v>36</v>
      </c>
      <c r="H1165" s="8" t="n">
        <f aca="false">(E1165/1000)*(F1165/1000)*(G1165/1000)*7850</f>
        <v>1908.90648</v>
      </c>
      <c r="I1165" s="3" t="n">
        <v>1</v>
      </c>
      <c r="J1165" s="9" t="n">
        <f aca="false">H1165*I1165</f>
        <v>1908.90648</v>
      </c>
      <c r="K1165" s="3"/>
    </row>
    <row r="1166" customFormat="false" ht="19.5" hidden="false" customHeight="false" outlineLevel="0" collapsed="false">
      <c r="A1166" s="3" t="s">
        <v>169</v>
      </c>
      <c r="B1166" s="3" t="s">
        <v>170</v>
      </c>
      <c r="C1166" s="3" t="s">
        <v>74</v>
      </c>
      <c r="D1166" s="3" t="s">
        <v>8</v>
      </c>
      <c r="E1166" s="3" t="n">
        <v>3629</v>
      </c>
      <c r="F1166" s="3" t="n">
        <v>1360</v>
      </c>
      <c r="G1166" s="3" t="n">
        <v>36</v>
      </c>
      <c r="H1166" s="8" t="n">
        <f aca="false">(E1166/1000)*(F1166/1000)*(G1166/1000)*7850</f>
        <v>1394.755344</v>
      </c>
      <c r="I1166" s="3" t="n">
        <v>2</v>
      </c>
      <c r="J1166" s="9" t="n">
        <f aca="false">H1166*I1166</f>
        <v>2789.510688</v>
      </c>
      <c r="K1166" s="3"/>
    </row>
    <row r="1167" customFormat="false" ht="19.5" hidden="false" customHeight="false" outlineLevel="0" collapsed="false">
      <c r="A1167" s="3" t="s">
        <v>169</v>
      </c>
      <c r="B1167" s="3" t="s">
        <v>170</v>
      </c>
      <c r="C1167" s="3" t="s">
        <v>74</v>
      </c>
      <c r="D1167" s="3" t="s">
        <v>8</v>
      </c>
      <c r="E1167" s="3" t="n">
        <v>3629</v>
      </c>
      <c r="F1167" s="3" t="n">
        <v>320</v>
      </c>
      <c r="G1167" s="3" t="n">
        <v>32</v>
      </c>
      <c r="H1167" s="8" t="n">
        <f aca="false">(E1167/1000)*(F1167/1000)*(G1167/1000)*7850</f>
        <v>291.713536</v>
      </c>
      <c r="I1167" s="3" t="n">
        <v>4</v>
      </c>
      <c r="J1167" s="9" t="n">
        <f aca="false">H1167*I1167</f>
        <v>1166.854144</v>
      </c>
      <c r="K1167" s="3"/>
    </row>
    <row r="1168" customFormat="false" ht="19.5" hidden="false" customHeight="false" outlineLevel="0" collapsed="false">
      <c r="A1168" s="3" t="s">
        <v>169</v>
      </c>
      <c r="B1168" s="3" t="s">
        <v>170</v>
      </c>
      <c r="C1168" s="3" t="s">
        <v>74</v>
      </c>
      <c r="D1168" s="3" t="s">
        <v>8</v>
      </c>
      <c r="E1168" s="3" t="n">
        <v>4929</v>
      </c>
      <c r="F1168" s="3" t="n">
        <v>320</v>
      </c>
      <c r="G1168" s="3" t="n">
        <v>32</v>
      </c>
      <c r="H1168" s="8" t="n">
        <f aca="false">(E1168/1000)*(F1168/1000)*(G1168/1000)*7850</f>
        <v>396.212736</v>
      </c>
      <c r="I1168" s="3" t="n">
        <v>1</v>
      </c>
      <c r="J1168" s="9" t="n">
        <f aca="false">H1168*I1168</f>
        <v>396.212736</v>
      </c>
      <c r="K1168" s="3"/>
    </row>
    <row r="1169" customFormat="false" ht="19.5" hidden="false" customHeight="false" outlineLevel="0" collapsed="false">
      <c r="A1169" s="3" t="s">
        <v>169</v>
      </c>
      <c r="B1169" s="3" t="s">
        <v>170</v>
      </c>
      <c r="C1169" s="3" t="s">
        <v>74</v>
      </c>
      <c r="D1169" s="3" t="s">
        <v>8</v>
      </c>
      <c r="E1169" s="3" t="n">
        <v>5626</v>
      </c>
      <c r="F1169" s="3" t="n">
        <v>1200</v>
      </c>
      <c r="G1169" s="3" t="n">
        <v>36</v>
      </c>
      <c r="H1169" s="8" t="n">
        <f aca="false">(E1169/1000)*(F1169/1000)*(G1169/1000)*7850</f>
        <v>1907.88912</v>
      </c>
      <c r="I1169" s="3" t="n">
        <v>1</v>
      </c>
      <c r="J1169" s="9" t="n">
        <f aca="false">H1169*I1169</f>
        <v>1907.88912</v>
      </c>
      <c r="K1169" s="3"/>
    </row>
    <row r="1170" customFormat="false" ht="19.5" hidden="false" customHeight="false" outlineLevel="0" collapsed="false">
      <c r="A1170" s="3" t="s">
        <v>169</v>
      </c>
      <c r="B1170" s="3" t="s">
        <v>170</v>
      </c>
      <c r="C1170" s="3" t="s">
        <v>74</v>
      </c>
      <c r="D1170" s="3" t="s">
        <v>8</v>
      </c>
      <c r="E1170" s="3" t="n">
        <v>3626</v>
      </c>
      <c r="F1170" s="3" t="n">
        <v>1360</v>
      </c>
      <c r="G1170" s="3" t="n">
        <v>36</v>
      </c>
      <c r="H1170" s="8" t="n">
        <f aca="false">(E1170/1000)*(F1170/1000)*(G1170/1000)*7850</f>
        <v>1393.602336</v>
      </c>
      <c r="I1170" s="3" t="n">
        <v>2</v>
      </c>
      <c r="J1170" s="9" t="n">
        <f aca="false">H1170*I1170</f>
        <v>2787.204672</v>
      </c>
      <c r="K1170" s="3"/>
    </row>
    <row r="1171" customFormat="false" ht="19.5" hidden="false" customHeight="false" outlineLevel="0" collapsed="false">
      <c r="A1171" s="3" t="s">
        <v>169</v>
      </c>
      <c r="B1171" s="3" t="s">
        <v>170</v>
      </c>
      <c r="C1171" s="3" t="s">
        <v>74</v>
      </c>
      <c r="D1171" s="3" t="s">
        <v>8</v>
      </c>
      <c r="E1171" s="3" t="n">
        <v>3626</v>
      </c>
      <c r="F1171" s="3" t="n">
        <v>320</v>
      </c>
      <c r="G1171" s="3" t="n">
        <v>32</v>
      </c>
      <c r="H1171" s="8" t="n">
        <f aca="false">(E1171/1000)*(F1171/1000)*(G1171/1000)*7850</f>
        <v>291.472384</v>
      </c>
      <c r="I1171" s="3" t="n">
        <v>4</v>
      </c>
      <c r="J1171" s="9" t="n">
        <f aca="false">H1171*I1171</f>
        <v>1165.889536</v>
      </c>
      <c r="K1171" s="3"/>
    </row>
    <row r="1172" customFormat="false" ht="19.5" hidden="false" customHeight="false" outlineLevel="0" collapsed="false">
      <c r="A1172" s="3" t="s">
        <v>169</v>
      </c>
      <c r="B1172" s="3" t="s">
        <v>170</v>
      </c>
      <c r="C1172" s="3" t="s">
        <v>74</v>
      </c>
      <c r="D1172" s="3" t="s">
        <v>8</v>
      </c>
      <c r="E1172" s="3" t="n">
        <v>5126</v>
      </c>
      <c r="F1172" s="3" t="n">
        <v>320</v>
      </c>
      <c r="G1172" s="3" t="n">
        <v>32</v>
      </c>
      <c r="H1172" s="8" t="n">
        <f aca="false">(E1172/1000)*(F1172/1000)*(G1172/1000)*7850</f>
        <v>412.048384</v>
      </c>
      <c r="I1172" s="3" t="n">
        <v>1</v>
      </c>
      <c r="J1172" s="9" t="n">
        <f aca="false">H1172*I1172</f>
        <v>412.048384</v>
      </c>
      <c r="K1172" s="3"/>
    </row>
    <row r="1173" customFormat="false" ht="19.5" hidden="false" customHeight="false" outlineLevel="0" collapsed="false">
      <c r="A1173" s="3" t="s">
        <v>169</v>
      </c>
      <c r="B1173" s="3" t="s">
        <v>170</v>
      </c>
      <c r="C1173" s="3" t="s">
        <v>74</v>
      </c>
      <c r="D1173" s="3" t="s">
        <v>8</v>
      </c>
      <c r="E1173" s="3" t="n">
        <v>4926</v>
      </c>
      <c r="F1173" s="3" t="n">
        <v>320</v>
      </c>
      <c r="G1173" s="3" t="n">
        <v>32</v>
      </c>
      <c r="H1173" s="8" t="n">
        <f aca="false">(E1173/1000)*(F1173/1000)*(G1173/1000)*7850</f>
        <v>395.971584</v>
      </c>
      <c r="I1173" s="3" t="n">
        <v>1</v>
      </c>
      <c r="J1173" s="9" t="n">
        <f aca="false">H1173*I1173</f>
        <v>395.971584</v>
      </c>
      <c r="K1173" s="3"/>
    </row>
    <row r="1174" customFormat="false" ht="19.5" hidden="false" customHeight="false" outlineLevel="0" collapsed="false">
      <c r="A1174" s="3" t="s">
        <v>169</v>
      </c>
      <c r="B1174" s="3" t="s">
        <v>170</v>
      </c>
      <c r="C1174" s="3" t="s">
        <v>74</v>
      </c>
      <c r="D1174" s="3" t="s">
        <v>8</v>
      </c>
      <c r="E1174" s="3" t="n">
        <v>1560</v>
      </c>
      <c r="F1174" s="3" t="n">
        <v>602</v>
      </c>
      <c r="G1174" s="3" t="n">
        <v>14</v>
      </c>
      <c r="H1174" s="8" t="n">
        <f aca="false">(E1174/1000)*(F1174/1000)*(G1174/1000)*7850</f>
        <v>103.209288</v>
      </c>
      <c r="I1174" s="3" t="n">
        <v>2</v>
      </c>
      <c r="J1174" s="9" t="n">
        <f aca="false">H1174*I1174</f>
        <v>206.418576</v>
      </c>
      <c r="K1174" s="3"/>
    </row>
    <row r="1175" customFormat="false" ht="19.5" hidden="false" customHeight="false" outlineLevel="0" collapsed="false">
      <c r="A1175" s="3" t="s">
        <v>169</v>
      </c>
      <c r="B1175" s="3" t="s">
        <v>170</v>
      </c>
      <c r="C1175" s="3" t="s">
        <v>74</v>
      </c>
      <c r="D1175" s="3" t="s">
        <v>8</v>
      </c>
      <c r="E1175" s="3" t="n">
        <v>460</v>
      </c>
      <c r="F1175" s="3" t="n">
        <v>1000</v>
      </c>
      <c r="G1175" s="3" t="n">
        <v>24</v>
      </c>
      <c r="H1175" s="8" t="n">
        <f aca="false">(E1175/1000)*(F1175/1000)*(G1175/1000)*7850</f>
        <v>86.664</v>
      </c>
      <c r="I1175" s="3" t="n">
        <v>3</v>
      </c>
      <c r="J1175" s="9" t="n">
        <f aca="false">H1175*I1175</f>
        <v>259.992</v>
      </c>
      <c r="K1175" s="3"/>
    </row>
    <row r="1176" customFormat="false" ht="19.5" hidden="false" customHeight="false" outlineLevel="0" collapsed="false">
      <c r="A1176" s="3" t="s">
        <v>169</v>
      </c>
      <c r="B1176" s="3" t="s">
        <v>170</v>
      </c>
      <c r="C1176" s="3" t="s">
        <v>74</v>
      </c>
      <c r="D1176" s="3" t="s">
        <v>8</v>
      </c>
      <c r="E1176" s="3" t="n">
        <v>470</v>
      </c>
      <c r="F1176" s="3" t="n">
        <v>1000</v>
      </c>
      <c r="G1176" s="3" t="n">
        <v>24</v>
      </c>
      <c r="H1176" s="8" t="n">
        <f aca="false">(E1176/1000)*(F1176/1000)*(G1176/1000)*7850</f>
        <v>88.548</v>
      </c>
      <c r="I1176" s="3" t="n">
        <v>2</v>
      </c>
      <c r="J1176" s="9" t="n">
        <f aca="false">H1176*I1176</f>
        <v>177.096</v>
      </c>
      <c r="K1176" s="3"/>
    </row>
    <row r="1177" customFormat="false" ht="19.5" hidden="false" customHeight="false" outlineLevel="0" collapsed="false">
      <c r="A1177" s="3" t="s">
        <v>171</v>
      </c>
      <c r="B1177" s="3" t="s">
        <v>172</v>
      </c>
      <c r="C1177" s="3" t="s">
        <v>44</v>
      </c>
      <c r="D1177" s="3" t="s">
        <v>8</v>
      </c>
      <c r="E1177" s="3" t="n">
        <v>11850</v>
      </c>
      <c r="F1177" s="3" t="n">
        <v>1000</v>
      </c>
      <c r="G1177" s="3" t="n">
        <v>20</v>
      </c>
      <c r="H1177" s="8" t="n">
        <f aca="false">(E1177/1000)*(F1177/1000)*(G1177/1000)*7850</f>
        <v>1860.45</v>
      </c>
      <c r="I1177" s="3" t="n">
        <v>1</v>
      </c>
      <c r="J1177" s="9" t="n">
        <f aca="false">H1177*I1177</f>
        <v>1860.45</v>
      </c>
      <c r="K1177" s="3"/>
    </row>
    <row r="1178" customFormat="false" ht="19.5" hidden="false" customHeight="false" outlineLevel="0" collapsed="false">
      <c r="A1178" s="3" t="s">
        <v>171</v>
      </c>
      <c r="B1178" s="3" t="s">
        <v>172</v>
      </c>
      <c r="C1178" s="3" t="s">
        <v>45</v>
      </c>
      <c r="D1178" s="3" t="s">
        <v>8</v>
      </c>
      <c r="E1178" s="3" t="n">
        <v>10390</v>
      </c>
      <c r="F1178" s="3" t="n">
        <v>1000</v>
      </c>
      <c r="G1178" s="3" t="n">
        <v>24</v>
      </c>
      <c r="H1178" s="8" t="n">
        <f aca="false">(E1178/1000)*(F1178/1000)*(G1178/1000)*7850</f>
        <v>1957.476</v>
      </c>
      <c r="I1178" s="3" t="n">
        <v>1</v>
      </c>
      <c r="J1178" s="9" t="n">
        <f aca="false">H1178*I1178</f>
        <v>1957.476</v>
      </c>
      <c r="K1178" s="3"/>
    </row>
    <row r="1179" customFormat="false" ht="19.5" hidden="false" customHeight="false" outlineLevel="0" collapsed="false">
      <c r="A1179" s="3" t="s">
        <v>171</v>
      </c>
      <c r="B1179" s="3" t="s">
        <v>172</v>
      </c>
      <c r="C1179" s="3" t="s">
        <v>46</v>
      </c>
      <c r="D1179" s="3" t="s">
        <v>8</v>
      </c>
      <c r="E1179" s="3" t="n">
        <v>7900</v>
      </c>
      <c r="F1179" s="3" t="n">
        <v>1200</v>
      </c>
      <c r="G1179" s="3" t="n">
        <v>20</v>
      </c>
      <c r="H1179" s="8" t="n">
        <f aca="false">(E1179/1000)*(F1179/1000)*(G1179/1000)*7850</f>
        <v>1488.36</v>
      </c>
      <c r="I1179" s="3" t="n">
        <v>1</v>
      </c>
      <c r="J1179" s="9" t="n">
        <f aca="false">H1179*I1179</f>
        <v>1488.36</v>
      </c>
      <c r="K1179" s="3"/>
    </row>
    <row r="1180" customFormat="false" ht="19.5" hidden="false" customHeight="false" outlineLevel="0" collapsed="false">
      <c r="A1180" s="3" t="s">
        <v>171</v>
      </c>
      <c r="B1180" s="3" t="s">
        <v>172</v>
      </c>
      <c r="C1180" s="3" t="s">
        <v>49</v>
      </c>
      <c r="D1180" s="3" t="s">
        <v>8</v>
      </c>
      <c r="E1180" s="3" t="n">
        <v>7300</v>
      </c>
      <c r="F1180" s="3" t="n">
        <v>1644</v>
      </c>
      <c r="G1180" s="3" t="n">
        <v>32</v>
      </c>
      <c r="H1180" s="8" t="n">
        <f aca="false">(E1180/1000)*(F1180/1000)*(G1180/1000)*7850</f>
        <v>3014.70144</v>
      </c>
      <c r="I1180" s="3" t="n">
        <v>2</v>
      </c>
      <c r="J1180" s="9" t="n">
        <f aca="false">H1180*I1180</f>
        <v>6029.40288</v>
      </c>
      <c r="K1180" s="3"/>
    </row>
    <row r="1181" customFormat="false" ht="19.5" hidden="false" customHeight="false" outlineLevel="0" collapsed="false">
      <c r="A1181" s="3" t="s">
        <v>171</v>
      </c>
      <c r="B1181" s="3" t="s">
        <v>172</v>
      </c>
      <c r="C1181" s="3" t="s">
        <v>54</v>
      </c>
      <c r="D1181" s="3" t="s">
        <v>8</v>
      </c>
      <c r="E1181" s="3" t="n">
        <v>7300</v>
      </c>
      <c r="F1181" s="3" t="n">
        <v>1470</v>
      </c>
      <c r="G1181" s="3" t="n">
        <v>24</v>
      </c>
      <c r="H1181" s="8" t="n">
        <f aca="false">(E1181/1000)*(F1181/1000)*(G1181/1000)*7850</f>
        <v>2021.7204</v>
      </c>
      <c r="I1181" s="3" t="n">
        <v>2</v>
      </c>
      <c r="J1181" s="9" t="n">
        <f aca="false">H1181*I1181</f>
        <v>4043.4408</v>
      </c>
      <c r="K1181" s="3"/>
    </row>
    <row r="1182" customFormat="false" ht="19.5" hidden="false" customHeight="false" outlineLevel="0" collapsed="false">
      <c r="A1182" s="3" t="s">
        <v>171</v>
      </c>
      <c r="B1182" s="3" t="s">
        <v>172</v>
      </c>
      <c r="C1182" s="3" t="s">
        <v>55</v>
      </c>
      <c r="D1182" s="3" t="s">
        <v>8</v>
      </c>
      <c r="E1182" s="3" t="n">
        <v>7900</v>
      </c>
      <c r="F1182" s="3" t="n">
        <v>320</v>
      </c>
      <c r="G1182" s="3" t="n">
        <v>32</v>
      </c>
      <c r="H1182" s="8" t="n">
        <f aca="false">(E1182/1000)*(F1182/1000)*(G1182/1000)*7850</f>
        <v>635.0336</v>
      </c>
      <c r="I1182" s="3" t="n">
        <v>4</v>
      </c>
      <c r="J1182" s="9" t="n">
        <f aca="false">H1182*I1182</f>
        <v>2540.1344</v>
      </c>
      <c r="K1182" s="3"/>
    </row>
    <row r="1183" customFormat="false" ht="19.5" hidden="false" customHeight="false" outlineLevel="0" collapsed="false">
      <c r="A1183" s="3" t="s">
        <v>171</v>
      </c>
      <c r="B1183" s="3" t="s">
        <v>172</v>
      </c>
      <c r="C1183" s="3" t="s">
        <v>56</v>
      </c>
      <c r="D1183" s="3" t="s">
        <v>8</v>
      </c>
      <c r="E1183" s="3" t="n">
        <v>7100</v>
      </c>
      <c r="F1183" s="3" t="n">
        <v>240</v>
      </c>
      <c r="G1183" s="3" t="n">
        <v>20</v>
      </c>
      <c r="H1183" s="8" t="n">
        <f aca="false">(E1183/1000)*(F1183/1000)*(G1183/1000)*7850</f>
        <v>267.528</v>
      </c>
      <c r="I1183" s="3" t="n">
        <v>4</v>
      </c>
      <c r="J1183" s="9" t="n">
        <f aca="false">H1183*I1183</f>
        <v>1070.112</v>
      </c>
      <c r="K1183" s="3"/>
    </row>
    <row r="1184" customFormat="false" ht="19.5" hidden="false" customHeight="false" outlineLevel="0" collapsed="false">
      <c r="A1184" s="3" t="s">
        <v>171</v>
      </c>
      <c r="B1184" s="3" t="s">
        <v>172</v>
      </c>
      <c r="C1184" s="3" t="s">
        <v>56</v>
      </c>
      <c r="D1184" s="3" t="s">
        <v>8</v>
      </c>
      <c r="E1184" s="3" t="n">
        <v>15000</v>
      </c>
      <c r="F1184" s="3" t="n">
        <v>170</v>
      </c>
      <c r="G1184" s="3" t="n">
        <v>14</v>
      </c>
      <c r="H1184" s="8" t="n">
        <f aca="false">(E1184/1000)*(F1184/1000)*(G1184/1000)*7850</f>
        <v>280.245</v>
      </c>
      <c r="I1184" s="3" t="n">
        <v>1</v>
      </c>
      <c r="J1184" s="9" t="n">
        <f aca="false">H1184*I1184</f>
        <v>280.245</v>
      </c>
      <c r="K1184" s="3"/>
    </row>
    <row r="1185" customFormat="false" ht="19.5" hidden="false" customHeight="false" outlineLevel="0" collapsed="false">
      <c r="A1185" s="3" t="s">
        <v>171</v>
      </c>
      <c r="B1185" s="3" t="s">
        <v>172</v>
      </c>
      <c r="C1185" s="3" t="s">
        <v>56</v>
      </c>
      <c r="D1185" s="3" t="s">
        <v>8</v>
      </c>
      <c r="E1185" s="3" t="n">
        <v>11418</v>
      </c>
      <c r="F1185" s="3" t="n">
        <v>1200</v>
      </c>
      <c r="G1185" s="3" t="n">
        <v>36</v>
      </c>
      <c r="H1185" s="8" t="n">
        <f aca="false">(E1185/1000)*(F1185/1000)*(G1185/1000)*7850</f>
        <v>3872.07216</v>
      </c>
      <c r="I1185" s="3" t="n">
        <v>1</v>
      </c>
      <c r="J1185" s="9" t="n">
        <f aca="false">H1185*I1185</f>
        <v>3872.07216</v>
      </c>
      <c r="K1185" s="3"/>
    </row>
    <row r="1186" customFormat="false" ht="19.5" hidden="false" customHeight="false" outlineLevel="0" collapsed="false">
      <c r="A1186" s="3" t="s">
        <v>171</v>
      </c>
      <c r="B1186" s="3" t="s">
        <v>172</v>
      </c>
      <c r="C1186" s="3" t="s">
        <v>81</v>
      </c>
      <c r="D1186" s="3" t="s">
        <v>8</v>
      </c>
      <c r="E1186" s="3" t="n">
        <v>11618</v>
      </c>
      <c r="F1186" s="3" t="n">
        <v>1200</v>
      </c>
      <c r="G1186" s="3" t="n">
        <v>36</v>
      </c>
      <c r="H1186" s="8" t="n">
        <f aca="false">(E1186/1000)*(F1186/1000)*(G1186/1000)*7850</f>
        <v>3939.89616</v>
      </c>
      <c r="I1186" s="3" t="n">
        <v>1</v>
      </c>
      <c r="J1186" s="9" t="n">
        <f aca="false">H1186*I1186</f>
        <v>3939.89616</v>
      </c>
      <c r="K1186" s="3"/>
    </row>
    <row r="1187" customFormat="false" ht="19.5" hidden="false" customHeight="false" outlineLevel="0" collapsed="false">
      <c r="A1187" s="3" t="s">
        <v>171</v>
      </c>
      <c r="B1187" s="3" t="s">
        <v>172</v>
      </c>
      <c r="C1187" s="3" t="s">
        <v>59</v>
      </c>
      <c r="D1187" s="3" t="s">
        <v>8</v>
      </c>
      <c r="E1187" s="3" t="n">
        <v>7218</v>
      </c>
      <c r="F1187" s="3" t="n">
        <v>1360</v>
      </c>
      <c r="G1187" s="3" t="n">
        <v>36</v>
      </c>
      <c r="H1187" s="8" t="n">
        <f aca="false">(E1187/1000)*(F1187/1000)*(G1187/1000)*7850</f>
        <v>2774.137248</v>
      </c>
      <c r="I1187" s="3" t="n">
        <v>2</v>
      </c>
      <c r="J1187" s="9" t="n">
        <f aca="false">H1187*I1187</f>
        <v>5548.274496</v>
      </c>
      <c r="K1187" s="3"/>
    </row>
    <row r="1188" customFormat="false" ht="19.5" hidden="false" customHeight="false" outlineLevel="0" collapsed="false">
      <c r="A1188" s="3" t="s">
        <v>171</v>
      </c>
      <c r="B1188" s="3" t="s">
        <v>172</v>
      </c>
      <c r="C1188" s="3" t="s">
        <v>60</v>
      </c>
      <c r="D1188" s="3" t="s">
        <v>8</v>
      </c>
      <c r="E1188" s="3" t="n">
        <v>7218</v>
      </c>
      <c r="F1188" s="3" t="n">
        <v>320</v>
      </c>
      <c r="G1188" s="3" t="n">
        <v>32</v>
      </c>
      <c r="H1188" s="8" t="n">
        <f aca="false">(E1188/1000)*(F1188/1000)*(G1188/1000)*7850</f>
        <v>580.211712</v>
      </c>
      <c r="I1188" s="3" t="n">
        <v>2</v>
      </c>
      <c r="J1188" s="9" t="n">
        <f aca="false">H1188*I1188</f>
        <v>1160.423424</v>
      </c>
      <c r="K1188" s="3"/>
    </row>
    <row r="1189" customFormat="false" ht="19.5" hidden="false" customHeight="false" outlineLevel="0" collapsed="false">
      <c r="A1189" s="3" t="s">
        <v>171</v>
      </c>
      <c r="B1189" s="3" t="s">
        <v>172</v>
      </c>
      <c r="C1189" s="3" t="s">
        <v>60</v>
      </c>
      <c r="D1189" s="3" t="s">
        <v>8</v>
      </c>
      <c r="E1189" s="3" t="n">
        <v>10218</v>
      </c>
      <c r="F1189" s="3" t="n">
        <v>320</v>
      </c>
      <c r="G1189" s="3" t="n">
        <v>32</v>
      </c>
      <c r="H1189" s="8" t="n">
        <f aca="false">(E1189/1000)*(F1189/1000)*(G1189/1000)*7850</f>
        <v>821.363712</v>
      </c>
      <c r="I1189" s="3" t="n">
        <v>1</v>
      </c>
      <c r="J1189" s="9" t="n">
        <f aca="false">H1189*I1189</f>
        <v>821.363712</v>
      </c>
      <c r="K1189" s="3"/>
    </row>
    <row r="1190" customFormat="false" ht="19.5" hidden="false" customHeight="false" outlineLevel="0" collapsed="false">
      <c r="A1190" s="3" t="s">
        <v>171</v>
      </c>
      <c r="B1190" s="3" t="s">
        <v>172</v>
      </c>
      <c r="C1190" s="3" t="s">
        <v>60</v>
      </c>
      <c r="D1190" s="3" t="s">
        <v>8</v>
      </c>
      <c r="E1190" s="3" t="n">
        <v>1200</v>
      </c>
      <c r="F1190" s="3" t="n">
        <v>1200</v>
      </c>
      <c r="G1190" s="3" t="n">
        <v>16</v>
      </c>
      <c r="H1190" s="8" t="n">
        <f aca="false">(E1190/1000)*(F1190/1000)*(G1190/1000)*7850</f>
        <v>180.864</v>
      </c>
      <c r="I1190" s="3" t="n">
        <v>3</v>
      </c>
      <c r="J1190" s="9" t="n">
        <f aca="false">H1190*I1190</f>
        <v>542.592</v>
      </c>
      <c r="K1190" s="3"/>
    </row>
    <row r="1191" customFormat="false" ht="19.5" hidden="false" customHeight="false" outlineLevel="0" collapsed="false">
      <c r="A1191" s="3" t="s">
        <v>171</v>
      </c>
      <c r="B1191" s="3" t="s">
        <v>172</v>
      </c>
      <c r="C1191" s="3" t="s">
        <v>60</v>
      </c>
      <c r="D1191" s="3" t="s">
        <v>8</v>
      </c>
      <c r="E1191" s="3" t="n">
        <v>3640</v>
      </c>
      <c r="F1191" s="3" t="n">
        <v>900</v>
      </c>
      <c r="G1191" s="3" t="n">
        <v>36</v>
      </c>
      <c r="H1191" s="8" t="n">
        <f aca="false">(E1191/1000)*(F1191/1000)*(G1191/1000)*7850</f>
        <v>925.7976</v>
      </c>
      <c r="I1191" s="3" t="n">
        <v>2</v>
      </c>
      <c r="J1191" s="9" t="n">
        <f aca="false">H1191*I1191</f>
        <v>1851.5952</v>
      </c>
      <c r="K1191" s="3"/>
    </row>
    <row r="1192" customFormat="false" ht="19.5" hidden="false" customHeight="false" outlineLevel="0" collapsed="false">
      <c r="A1192" s="3" t="s">
        <v>171</v>
      </c>
      <c r="B1192" s="3" t="s">
        <v>172</v>
      </c>
      <c r="C1192" s="3" t="s">
        <v>60</v>
      </c>
      <c r="D1192" s="3" t="s">
        <v>8</v>
      </c>
      <c r="E1192" s="3" t="n">
        <v>5940</v>
      </c>
      <c r="F1192" s="3" t="n">
        <v>1200</v>
      </c>
      <c r="G1192" s="3" t="n">
        <v>32</v>
      </c>
      <c r="H1192" s="8" t="n">
        <f aca="false">(E1192/1000)*(F1192/1000)*(G1192/1000)*7850</f>
        <v>1790.5536</v>
      </c>
      <c r="I1192" s="3" t="n">
        <v>1</v>
      </c>
      <c r="J1192" s="9" t="n">
        <f aca="false">H1192*I1192</f>
        <v>1790.5536</v>
      </c>
      <c r="K1192" s="3"/>
    </row>
    <row r="1193" customFormat="false" ht="19.5" hidden="false" customHeight="false" outlineLevel="0" collapsed="false">
      <c r="A1193" s="3" t="s">
        <v>171</v>
      </c>
      <c r="B1193" s="3" t="s">
        <v>172</v>
      </c>
      <c r="C1193" s="3" t="s">
        <v>60</v>
      </c>
      <c r="D1193" s="3" t="s">
        <v>8</v>
      </c>
      <c r="E1193" s="3" t="n">
        <v>5240</v>
      </c>
      <c r="F1193" s="3" t="n">
        <v>240</v>
      </c>
      <c r="G1193" s="3" t="n">
        <v>24</v>
      </c>
      <c r="H1193" s="8" t="n">
        <f aca="false">(E1193/1000)*(F1193/1000)*(G1193/1000)*7850</f>
        <v>236.93184</v>
      </c>
      <c r="I1193" s="3" t="n">
        <v>2</v>
      </c>
      <c r="J1193" s="9" t="n">
        <f aca="false">H1193*I1193</f>
        <v>473.86368</v>
      </c>
      <c r="K1193" s="3"/>
    </row>
    <row r="1194" customFormat="false" ht="19.5" hidden="false" customHeight="false" outlineLevel="0" collapsed="false">
      <c r="A1194" s="3" t="s">
        <v>171</v>
      </c>
      <c r="B1194" s="3" t="s">
        <v>172</v>
      </c>
      <c r="C1194" s="3" t="s">
        <v>60</v>
      </c>
      <c r="D1194" s="3" t="s">
        <v>8</v>
      </c>
      <c r="E1194" s="3" t="n">
        <v>5829</v>
      </c>
      <c r="F1194" s="3" t="n">
        <v>1200</v>
      </c>
      <c r="G1194" s="3" t="n">
        <v>36</v>
      </c>
      <c r="H1194" s="8" t="n">
        <f aca="false">(E1194/1000)*(F1194/1000)*(G1194/1000)*7850</f>
        <v>1976.73048</v>
      </c>
      <c r="I1194" s="3" t="n">
        <v>1</v>
      </c>
      <c r="J1194" s="9" t="n">
        <f aca="false">H1194*I1194</f>
        <v>1976.73048</v>
      </c>
      <c r="K1194" s="3"/>
    </row>
    <row r="1195" customFormat="false" ht="19.5" hidden="false" customHeight="false" outlineLevel="0" collapsed="false">
      <c r="A1195" s="3" t="s">
        <v>171</v>
      </c>
      <c r="B1195" s="3" t="s">
        <v>172</v>
      </c>
      <c r="C1195" s="3" t="s">
        <v>60</v>
      </c>
      <c r="D1195" s="3" t="s">
        <v>8</v>
      </c>
      <c r="E1195" s="3" t="n">
        <v>5429</v>
      </c>
      <c r="F1195" s="3" t="n">
        <v>1200</v>
      </c>
      <c r="G1195" s="3" t="n">
        <v>36</v>
      </c>
      <c r="H1195" s="8" t="n">
        <f aca="false">(E1195/1000)*(F1195/1000)*(G1195/1000)*7850</f>
        <v>1841.08248</v>
      </c>
      <c r="I1195" s="3" t="n">
        <v>1</v>
      </c>
      <c r="J1195" s="9" t="n">
        <f aca="false">H1195*I1195</f>
        <v>1841.08248</v>
      </c>
      <c r="K1195" s="3"/>
    </row>
    <row r="1196" customFormat="false" ht="19.5" hidden="false" customHeight="false" outlineLevel="0" collapsed="false">
      <c r="A1196" s="3" t="s">
        <v>171</v>
      </c>
      <c r="B1196" s="3" t="s">
        <v>172</v>
      </c>
      <c r="C1196" s="3" t="s">
        <v>60</v>
      </c>
      <c r="D1196" s="3" t="s">
        <v>8</v>
      </c>
      <c r="E1196" s="3" t="n">
        <v>3629</v>
      </c>
      <c r="F1196" s="3" t="n">
        <v>1360</v>
      </c>
      <c r="G1196" s="3" t="n">
        <v>36</v>
      </c>
      <c r="H1196" s="8" t="n">
        <f aca="false">(E1196/1000)*(F1196/1000)*(G1196/1000)*7850</f>
        <v>1394.755344</v>
      </c>
      <c r="I1196" s="3" t="n">
        <v>2</v>
      </c>
      <c r="J1196" s="9" t="n">
        <f aca="false">H1196*I1196</f>
        <v>2789.510688</v>
      </c>
      <c r="K1196" s="3"/>
    </row>
    <row r="1197" customFormat="false" ht="19.5" hidden="false" customHeight="false" outlineLevel="0" collapsed="false">
      <c r="A1197" s="3" t="s">
        <v>171</v>
      </c>
      <c r="B1197" s="3" t="s">
        <v>172</v>
      </c>
      <c r="C1197" s="3" t="s">
        <v>60</v>
      </c>
      <c r="D1197" s="3" t="s">
        <v>8</v>
      </c>
      <c r="E1197" s="3" t="n">
        <v>5129</v>
      </c>
      <c r="F1197" s="3" t="n">
        <v>320</v>
      </c>
      <c r="G1197" s="3" t="n">
        <v>32</v>
      </c>
      <c r="H1197" s="8" t="n">
        <f aca="false">(E1197/1000)*(F1197/1000)*(G1197/1000)*7850</f>
        <v>412.289536</v>
      </c>
      <c r="I1197" s="3" t="n">
        <v>1</v>
      </c>
      <c r="J1197" s="9" t="n">
        <f aca="false">H1197*I1197</f>
        <v>412.289536</v>
      </c>
      <c r="K1197" s="3"/>
    </row>
    <row r="1198" customFormat="false" ht="19.5" hidden="false" customHeight="false" outlineLevel="0" collapsed="false">
      <c r="A1198" s="3" t="s">
        <v>171</v>
      </c>
      <c r="B1198" s="3" t="s">
        <v>172</v>
      </c>
      <c r="C1198" s="3" t="s">
        <v>60</v>
      </c>
      <c r="D1198" s="3" t="s">
        <v>8</v>
      </c>
      <c r="E1198" s="3" t="n">
        <v>4729</v>
      </c>
      <c r="F1198" s="3" t="n">
        <v>320</v>
      </c>
      <c r="G1198" s="3" t="n">
        <v>32</v>
      </c>
      <c r="H1198" s="8" t="n">
        <f aca="false">(E1198/1000)*(F1198/1000)*(G1198/1000)*7850</f>
        <v>380.135936</v>
      </c>
      <c r="I1198" s="3" t="n">
        <v>1</v>
      </c>
      <c r="J1198" s="9" t="n">
        <f aca="false">H1198*I1198</f>
        <v>380.135936</v>
      </c>
      <c r="K1198" s="3"/>
    </row>
    <row r="1199" customFormat="false" ht="19.5" hidden="false" customHeight="false" outlineLevel="0" collapsed="false">
      <c r="A1199" s="3" t="s">
        <v>171</v>
      </c>
      <c r="B1199" s="3" t="s">
        <v>172</v>
      </c>
      <c r="C1199" s="3" t="s">
        <v>60</v>
      </c>
      <c r="D1199" s="3" t="s">
        <v>8</v>
      </c>
      <c r="E1199" s="3" t="n">
        <v>2600</v>
      </c>
      <c r="F1199" s="3" t="n">
        <v>320</v>
      </c>
      <c r="G1199" s="3" t="n">
        <v>32</v>
      </c>
      <c r="H1199" s="8" t="n">
        <f aca="false">(E1199/1000)*(F1199/1000)*(G1199/1000)*7850</f>
        <v>208.9984</v>
      </c>
      <c r="I1199" s="3" t="n">
        <v>4</v>
      </c>
      <c r="J1199" s="9" t="n">
        <f aca="false">H1199*I1199</f>
        <v>835.9936</v>
      </c>
      <c r="K1199" s="3"/>
    </row>
    <row r="1200" customFormat="false" ht="19.5" hidden="false" customHeight="false" outlineLevel="0" collapsed="false">
      <c r="A1200" s="3" t="s">
        <v>171</v>
      </c>
      <c r="B1200" s="3" t="s">
        <v>172</v>
      </c>
      <c r="C1200" s="3" t="s">
        <v>60</v>
      </c>
      <c r="D1200" s="3" t="s">
        <v>8</v>
      </c>
      <c r="E1200" s="3" t="n">
        <v>1580</v>
      </c>
      <c r="F1200" s="3" t="n">
        <v>610</v>
      </c>
      <c r="G1200" s="3" t="n">
        <v>14</v>
      </c>
      <c r="H1200" s="8" t="n">
        <f aca="false">(E1200/1000)*(F1200/1000)*(G1200/1000)*7850</f>
        <v>105.92162</v>
      </c>
      <c r="I1200" s="3" t="n">
        <v>3</v>
      </c>
      <c r="J1200" s="9" t="n">
        <f aca="false">H1200*I1200</f>
        <v>317.76486</v>
      </c>
      <c r="K1200" s="3"/>
    </row>
    <row r="1201" customFormat="false" ht="19.5" hidden="false" customHeight="false" outlineLevel="0" collapsed="false">
      <c r="A1201" s="3" t="s">
        <v>171</v>
      </c>
      <c r="B1201" s="3" t="s">
        <v>172</v>
      </c>
      <c r="C1201" s="3" t="s">
        <v>60</v>
      </c>
      <c r="D1201" s="3" t="s">
        <v>8</v>
      </c>
      <c r="E1201" s="3" t="n">
        <v>1576</v>
      </c>
      <c r="F1201" s="3" t="n">
        <v>618</v>
      </c>
      <c r="G1201" s="3" t="n">
        <v>14</v>
      </c>
      <c r="H1201" s="8" t="n">
        <f aca="false">(E1201/1000)*(F1201/1000)*(G1201/1000)*7850</f>
        <v>107.0390832</v>
      </c>
      <c r="I1201" s="3" t="n">
        <v>2</v>
      </c>
      <c r="J1201" s="9" t="n">
        <f aca="false">H1201*I1201</f>
        <v>214.0781664</v>
      </c>
      <c r="K1201" s="3"/>
    </row>
    <row r="1202" customFormat="false" ht="19.5" hidden="false" customHeight="false" outlineLevel="0" collapsed="false">
      <c r="A1202" s="3" t="s">
        <v>171</v>
      </c>
      <c r="B1202" s="3" t="s">
        <v>172</v>
      </c>
      <c r="C1202" s="3" t="s">
        <v>60</v>
      </c>
      <c r="D1202" s="3" t="s">
        <v>8</v>
      </c>
      <c r="E1202" s="3" t="n">
        <v>470</v>
      </c>
      <c r="F1202" s="3" t="n">
        <v>1000</v>
      </c>
      <c r="G1202" s="3" t="n">
        <v>24</v>
      </c>
      <c r="H1202" s="8" t="n">
        <f aca="false">(E1202/1000)*(F1202/1000)*(G1202/1000)*7850</f>
        <v>88.548</v>
      </c>
      <c r="I1202" s="3" t="n">
        <v>3</v>
      </c>
      <c r="J1202" s="9" t="n">
        <f aca="false">H1202*I1202</f>
        <v>265.644</v>
      </c>
      <c r="K1202" s="3"/>
    </row>
    <row r="1203" customFormat="false" ht="19.5" hidden="false" customHeight="false" outlineLevel="0" collapsed="false">
      <c r="A1203" s="3" t="s">
        <v>171</v>
      </c>
      <c r="B1203" s="3" t="s">
        <v>172</v>
      </c>
      <c r="C1203" s="3" t="s">
        <v>60</v>
      </c>
      <c r="D1203" s="3" t="s">
        <v>8</v>
      </c>
      <c r="E1203" s="3" t="n">
        <v>480</v>
      </c>
      <c r="F1203" s="3" t="n">
        <v>1000</v>
      </c>
      <c r="G1203" s="3" t="n">
        <v>24</v>
      </c>
      <c r="H1203" s="8" t="n">
        <f aca="false">(E1203/1000)*(F1203/1000)*(G1203/1000)*7850</f>
        <v>90.432</v>
      </c>
      <c r="I1203" s="3" t="n">
        <v>2</v>
      </c>
      <c r="J1203" s="9" t="n">
        <f aca="false">H1203*I1203</f>
        <v>180.864</v>
      </c>
      <c r="K1203" s="3"/>
    </row>
    <row r="1204" customFormat="false" ht="19.5" hidden="false" customHeight="false" outlineLevel="0" collapsed="false">
      <c r="A1204" s="3" t="s">
        <v>171</v>
      </c>
      <c r="B1204" s="3" t="s">
        <v>172</v>
      </c>
      <c r="C1204" s="3" t="s">
        <v>60</v>
      </c>
      <c r="D1204" s="3" t="s">
        <v>8</v>
      </c>
      <c r="E1204" s="3" t="n">
        <v>1450</v>
      </c>
      <c r="F1204" s="3" t="n">
        <v>610</v>
      </c>
      <c r="G1204" s="3" t="n">
        <v>14</v>
      </c>
      <c r="H1204" s="8" t="n">
        <f aca="false">(E1204/1000)*(F1204/1000)*(G1204/1000)*7850</f>
        <v>97.20655</v>
      </c>
      <c r="I1204" s="3" t="n">
        <v>3</v>
      </c>
      <c r="J1204" s="9" t="n">
        <f aca="false">H1204*I1204</f>
        <v>291.61965</v>
      </c>
      <c r="K1204" s="3"/>
    </row>
    <row r="1205" customFormat="false" ht="19.5" hidden="false" customHeight="false" outlineLevel="0" collapsed="false">
      <c r="A1205" s="3" t="s">
        <v>173</v>
      </c>
      <c r="B1205" s="3" t="s">
        <v>174</v>
      </c>
      <c r="C1205" s="3" t="s">
        <v>44</v>
      </c>
      <c r="D1205" s="3" t="s">
        <v>8</v>
      </c>
      <c r="E1205" s="3" t="n">
        <v>11850</v>
      </c>
      <c r="F1205" s="3" t="n">
        <v>1000</v>
      </c>
      <c r="G1205" s="3" t="n">
        <v>20</v>
      </c>
      <c r="H1205" s="8" t="n">
        <f aca="false">(E1205/1000)*(F1205/1000)*(G1205/1000)*7850</f>
        <v>1860.45</v>
      </c>
      <c r="I1205" s="3" t="n">
        <v>1</v>
      </c>
      <c r="J1205" s="9" t="n">
        <f aca="false">H1205*I1205</f>
        <v>1860.45</v>
      </c>
      <c r="K1205" s="3"/>
    </row>
    <row r="1206" customFormat="false" ht="19.5" hidden="false" customHeight="false" outlineLevel="0" collapsed="false">
      <c r="A1206" s="3" t="s">
        <v>173</v>
      </c>
      <c r="B1206" s="3" t="s">
        <v>174</v>
      </c>
      <c r="C1206" s="3" t="s">
        <v>45</v>
      </c>
      <c r="D1206" s="3" t="s">
        <v>8</v>
      </c>
      <c r="E1206" s="3" t="n">
        <v>10390</v>
      </c>
      <c r="F1206" s="3" t="n">
        <v>1000</v>
      </c>
      <c r="G1206" s="3" t="n">
        <v>20</v>
      </c>
      <c r="H1206" s="8" t="n">
        <f aca="false">(E1206/1000)*(F1206/1000)*(G1206/1000)*7850</f>
        <v>1631.23</v>
      </c>
      <c r="I1206" s="3" t="n">
        <v>1</v>
      </c>
      <c r="J1206" s="9" t="n">
        <f aca="false">H1206*I1206</f>
        <v>1631.23</v>
      </c>
      <c r="K1206" s="3"/>
    </row>
    <row r="1207" customFormat="false" ht="19.5" hidden="false" customHeight="false" outlineLevel="0" collapsed="false">
      <c r="A1207" s="3" t="s">
        <v>173</v>
      </c>
      <c r="B1207" s="3" t="s">
        <v>174</v>
      </c>
      <c r="C1207" s="3" t="s">
        <v>46</v>
      </c>
      <c r="D1207" s="3" t="s">
        <v>8</v>
      </c>
      <c r="E1207" s="3" t="n">
        <v>7900</v>
      </c>
      <c r="F1207" s="3" t="n">
        <v>1200</v>
      </c>
      <c r="G1207" s="3" t="n">
        <v>20</v>
      </c>
      <c r="H1207" s="8" t="n">
        <f aca="false">(E1207/1000)*(F1207/1000)*(G1207/1000)*7850</f>
        <v>1488.36</v>
      </c>
      <c r="I1207" s="3" t="n">
        <v>1</v>
      </c>
      <c r="J1207" s="9" t="n">
        <f aca="false">H1207*I1207</f>
        <v>1488.36</v>
      </c>
      <c r="K1207" s="3"/>
    </row>
    <row r="1208" customFormat="false" ht="19.5" hidden="false" customHeight="false" outlineLevel="0" collapsed="false">
      <c r="A1208" s="3" t="s">
        <v>173</v>
      </c>
      <c r="B1208" s="3" t="s">
        <v>174</v>
      </c>
      <c r="C1208" s="3" t="s">
        <v>47</v>
      </c>
      <c r="D1208" s="3" t="s">
        <v>8</v>
      </c>
      <c r="E1208" s="3" t="n">
        <v>7300</v>
      </c>
      <c r="F1208" s="3" t="n">
        <v>1200</v>
      </c>
      <c r="G1208" s="3" t="n">
        <v>20</v>
      </c>
      <c r="H1208" s="8" t="n">
        <f aca="false">(E1208/1000)*(F1208/1000)*(G1208/1000)*7850</f>
        <v>1375.32</v>
      </c>
      <c r="I1208" s="3" t="n">
        <v>1</v>
      </c>
      <c r="J1208" s="9" t="n">
        <f aca="false">H1208*I1208</f>
        <v>1375.32</v>
      </c>
      <c r="K1208" s="3"/>
    </row>
    <row r="1209" customFormat="false" ht="19.5" hidden="false" customHeight="false" outlineLevel="0" collapsed="false">
      <c r="A1209" s="3" t="s">
        <v>173</v>
      </c>
      <c r="B1209" s="3" t="s">
        <v>174</v>
      </c>
      <c r="C1209" s="3" t="s">
        <v>48</v>
      </c>
      <c r="D1209" s="3" t="s">
        <v>8</v>
      </c>
      <c r="E1209" s="3" t="n">
        <v>19250</v>
      </c>
      <c r="F1209" s="3" t="n">
        <v>1000</v>
      </c>
      <c r="G1209" s="3" t="n">
        <v>40</v>
      </c>
      <c r="H1209" s="8" t="n">
        <f aca="false">(E1209/1000)*(F1209/1000)*(G1209/1000)*7850</f>
        <v>6044.5</v>
      </c>
      <c r="I1209" s="3" t="n">
        <v>2</v>
      </c>
      <c r="J1209" s="9" t="n">
        <f aca="false">H1209*I1209</f>
        <v>12089</v>
      </c>
      <c r="K1209" s="3"/>
    </row>
    <row r="1210" customFormat="false" ht="19.5" hidden="false" customHeight="false" outlineLevel="0" collapsed="false">
      <c r="A1210" s="3" t="s">
        <v>173</v>
      </c>
      <c r="B1210" s="3" t="s">
        <v>174</v>
      </c>
      <c r="C1210" s="3" t="s">
        <v>49</v>
      </c>
      <c r="D1210" s="3" t="s">
        <v>8</v>
      </c>
      <c r="E1210" s="3" t="n">
        <v>7300</v>
      </c>
      <c r="F1210" s="3" t="n">
        <v>1648</v>
      </c>
      <c r="G1210" s="3" t="n">
        <v>20</v>
      </c>
      <c r="H1210" s="8" t="n">
        <f aca="false">(E1210/1000)*(F1210/1000)*(G1210/1000)*7850</f>
        <v>1888.7728</v>
      </c>
      <c r="I1210" s="3" t="n">
        <v>2</v>
      </c>
      <c r="J1210" s="9" t="n">
        <f aca="false">H1210*I1210</f>
        <v>3777.5456</v>
      </c>
      <c r="K1210" s="3"/>
    </row>
    <row r="1211" customFormat="false" ht="19.5" hidden="false" customHeight="false" outlineLevel="0" collapsed="false">
      <c r="A1211" s="3" t="s">
        <v>173</v>
      </c>
      <c r="B1211" s="3" t="s">
        <v>174</v>
      </c>
      <c r="C1211" s="3" t="s">
        <v>51</v>
      </c>
      <c r="D1211" s="3" t="s">
        <v>8</v>
      </c>
      <c r="E1211" s="3" t="n">
        <v>7900</v>
      </c>
      <c r="F1211" s="3" t="n">
        <v>1850</v>
      </c>
      <c r="G1211" s="3" t="n">
        <v>20</v>
      </c>
      <c r="H1211" s="8" t="n">
        <f aca="false">(E1211/1000)*(F1211/1000)*(G1211/1000)*7850</f>
        <v>2294.555</v>
      </c>
      <c r="I1211" s="3" t="n">
        <v>1</v>
      </c>
      <c r="J1211" s="9" t="n">
        <f aca="false">H1211*I1211</f>
        <v>2294.555</v>
      </c>
      <c r="K1211" s="3"/>
    </row>
    <row r="1212" customFormat="false" ht="19.5" hidden="false" customHeight="false" outlineLevel="0" collapsed="false">
      <c r="A1212" s="3" t="s">
        <v>173</v>
      </c>
      <c r="B1212" s="3" t="s">
        <v>174</v>
      </c>
      <c r="C1212" s="3" t="s">
        <v>52</v>
      </c>
      <c r="D1212" s="3" t="s">
        <v>8</v>
      </c>
      <c r="E1212" s="3" t="n">
        <v>7100</v>
      </c>
      <c r="F1212" s="3" t="n">
        <v>1850</v>
      </c>
      <c r="G1212" s="3" t="n">
        <v>20</v>
      </c>
      <c r="H1212" s="8" t="n">
        <f aca="false">(E1212/1000)*(F1212/1000)*(G1212/1000)*7850</f>
        <v>2062.195</v>
      </c>
      <c r="I1212" s="3" t="n">
        <v>1</v>
      </c>
      <c r="J1212" s="9" t="n">
        <f aca="false">H1212*I1212</f>
        <v>2062.195</v>
      </c>
      <c r="K1212" s="3"/>
    </row>
    <row r="1213" customFormat="false" ht="19.5" hidden="false" customHeight="false" outlineLevel="0" collapsed="false">
      <c r="A1213" s="3" t="s">
        <v>173</v>
      </c>
      <c r="B1213" s="3" t="s">
        <v>174</v>
      </c>
      <c r="C1213" s="3" t="s">
        <v>54</v>
      </c>
      <c r="D1213" s="3" t="s">
        <v>8</v>
      </c>
      <c r="E1213" s="3" t="n">
        <v>7300</v>
      </c>
      <c r="F1213" s="3" t="n">
        <v>1470</v>
      </c>
      <c r="G1213" s="3" t="n">
        <v>24</v>
      </c>
      <c r="H1213" s="8" t="n">
        <f aca="false">(E1213/1000)*(F1213/1000)*(G1213/1000)*7850</f>
        <v>2021.7204</v>
      </c>
      <c r="I1213" s="3" t="n">
        <v>2</v>
      </c>
      <c r="J1213" s="9" t="n">
        <f aca="false">H1213*I1213</f>
        <v>4043.4408</v>
      </c>
      <c r="K1213" s="3"/>
    </row>
    <row r="1214" customFormat="false" ht="19.5" hidden="false" customHeight="false" outlineLevel="0" collapsed="false">
      <c r="A1214" s="3" t="s">
        <v>173</v>
      </c>
      <c r="B1214" s="3" t="s">
        <v>174</v>
      </c>
      <c r="C1214" s="3" t="s">
        <v>58</v>
      </c>
      <c r="D1214" s="3" t="s">
        <v>8</v>
      </c>
      <c r="E1214" s="3" t="n">
        <v>7227</v>
      </c>
      <c r="F1214" s="3" t="n">
        <v>900</v>
      </c>
      <c r="G1214" s="3" t="n">
        <v>36</v>
      </c>
      <c r="H1214" s="8" t="n">
        <f aca="false">(E1214/1000)*(F1214/1000)*(G1214/1000)*7850</f>
        <v>1838.11518</v>
      </c>
      <c r="I1214" s="3" t="n">
        <v>2</v>
      </c>
      <c r="J1214" s="9" t="n">
        <f aca="false">H1214*I1214</f>
        <v>3676.23036</v>
      </c>
      <c r="K1214" s="3"/>
    </row>
    <row r="1215" customFormat="false" ht="19.5" hidden="false" customHeight="false" outlineLevel="0" collapsed="false">
      <c r="A1215" s="3" t="s">
        <v>173</v>
      </c>
      <c r="B1215" s="3" t="s">
        <v>174</v>
      </c>
      <c r="C1215" s="3" t="s">
        <v>60</v>
      </c>
      <c r="D1215" s="3" t="s">
        <v>8</v>
      </c>
      <c r="E1215" s="3" t="n">
        <v>10627</v>
      </c>
      <c r="F1215" s="3" t="n">
        <v>240</v>
      </c>
      <c r="G1215" s="3" t="n">
        <v>24</v>
      </c>
      <c r="H1215" s="8" t="n">
        <f aca="false">(E1215/1000)*(F1215/1000)*(G1215/1000)*7850</f>
        <v>480.510432</v>
      </c>
      <c r="I1215" s="3" t="n">
        <v>2</v>
      </c>
      <c r="J1215" s="9" t="n">
        <f aca="false">H1215*I1215</f>
        <v>961.020864</v>
      </c>
      <c r="K1215" s="3"/>
    </row>
    <row r="1216" customFormat="false" ht="19.5" hidden="false" customHeight="false" outlineLevel="0" collapsed="false">
      <c r="A1216" s="3" t="s">
        <v>173</v>
      </c>
      <c r="B1216" s="3" t="s">
        <v>174</v>
      </c>
      <c r="C1216" s="3" t="s">
        <v>60</v>
      </c>
      <c r="D1216" s="3" t="s">
        <v>8</v>
      </c>
      <c r="E1216" s="3" t="n">
        <v>3657</v>
      </c>
      <c r="F1216" s="3" t="n">
        <v>900</v>
      </c>
      <c r="G1216" s="3" t="n">
        <v>36</v>
      </c>
      <c r="H1216" s="8" t="n">
        <f aca="false">(E1216/1000)*(F1216/1000)*(G1216/1000)*7850</f>
        <v>930.12138</v>
      </c>
      <c r="I1216" s="3" t="n">
        <v>2</v>
      </c>
      <c r="J1216" s="9" t="n">
        <f aca="false">H1216*I1216</f>
        <v>1860.24276</v>
      </c>
      <c r="K1216" s="3"/>
    </row>
    <row r="1217" customFormat="false" ht="19.5" hidden="false" customHeight="false" outlineLevel="0" collapsed="false">
      <c r="A1217" s="3" t="s">
        <v>173</v>
      </c>
      <c r="B1217" s="3" t="s">
        <v>174</v>
      </c>
      <c r="C1217" s="3" t="s">
        <v>60</v>
      </c>
      <c r="D1217" s="3" t="s">
        <v>8</v>
      </c>
      <c r="E1217" s="3" t="n">
        <v>5957</v>
      </c>
      <c r="F1217" s="3" t="n">
        <v>1200</v>
      </c>
      <c r="G1217" s="3" t="n">
        <v>32</v>
      </c>
      <c r="H1217" s="8" t="n">
        <f aca="false">(E1217/1000)*(F1217/1000)*(G1217/1000)*7850</f>
        <v>1795.67808</v>
      </c>
      <c r="I1217" s="3" t="n">
        <v>1</v>
      </c>
      <c r="J1217" s="9" t="n">
        <f aca="false">H1217*I1217</f>
        <v>1795.67808</v>
      </c>
      <c r="K1217" s="3"/>
    </row>
    <row r="1218" customFormat="false" ht="19.5" hidden="false" customHeight="false" outlineLevel="0" collapsed="false">
      <c r="A1218" s="3" t="s">
        <v>173</v>
      </c>
      <c r="B1218" s="3" t="s">
        <v>174</v>
      </c>
      <c r="C1218" s="3" t="s">
        <v>60</v>
      </c>
      <c r="D1218" s="3" t="s">
        <v>8</v>
      </c>
      <c r="E1218" s="3" t="n">
        <v>5257</v>
      </c>
      <c r="F1218" s="3" t="n">
        <v>240</v>
      </c>
      <c r="G1218" s="3" t="n">
        <v>24</v>
      </c>
      <c r="H1218" s="8" t="n">
        <f aca="false">(E1218/1000)*(F1218/1000)*(G1218/1000)*7850</f>
        <v>237.700512</v>
      </c>
      <c r="I1218" s="3" t="n">
        <v>2</v>
      </c>
      <c r="J1218" s="9" t="n">
        <f aca="false">H1218*I1218</f>
        <v>475.401024</v>
      </c>
      <c r="K1218" s="3"/>
    </row>
    <row r="1219" customFormat="false" ht="19.5" hidden="false" customHeight="false" outlineLevel="0" collapsed="false">
      <c r="A1219" s="3" t="s">
        <v>173</v>
      </c>
      <c r="B1219" s="3" t="s">
        <v>174</v>
      </c>
      <c r="C1219" s="3" t="s">
        <v>60</v>
      </c>
      <c r="D1219" s="3" t="s">
        <v>8</v>
      </c>
      <c r="E1219" s="3" t="n">
        <v>3640</v>
      </c>
      <c r="F1219" s="3" t="n">
        <v>900</v>
      </c>
      <c r="G1219" s="3" t="n">
        <v>36</v>
      </c>
      <c r="H1219" s="8" t="n">
        <f aca="false">(E1219/1000)*(F1219/1000)*(G1219/1000)*7850</f>
        <v>925.7976</v>
      </c>
      <c r="I1219" s="3" t="n">
        <v>2</v>
      </c>
      <c r="J1219" s="9" t="n">
        <f aca="false">H1219*I1219</f>
        <v>1851.5952</v>
      </c>
      <c r="K1219" s="3"/>
    </row>
    <row r="1220" customFormat="false" ht="19.5" hidden="false" customHeight="false" outlineLevel="0" collapsed="false">
      <c r="A1220" s="3" t="s">
        <v>173</v>
      </c>
      <c r="B1220" s="3" t="s">
        <v>174</v>
      </c>
      <c r="C1220" s="3" t="s">
        <v>60</v>
      </c>
      <c r="D1220" s="3" t="s">
        <v>8</v>
      </c>
      <c r="E1220" s="3" t="n">
        <v>6240</v>
      </c>
      <c r="F1220" s="3" t="n">
        <v>1200</v>
      </c>
      <c r="G1220" s="3" t="n">
        <v>32</v>
      </c>
      <c r="H1220" s="8" t="n">
        <f aca="false">(E1220/1000)*(F1220/1000)*(G1220/1000)*7850</f>
        <v>1880.9856</v>
      </c>
      <c r="I1220" s="3" t="n">
        <v>1</v>
      </c>
      <c r="J1220" s="9" t="n">
        <f aca="false">H1220*I1220</f>
        <v>1880.9856</v>
      </c>
      <c r="K1220" s="3"/>
    </row>
    <row r="1221" customFormat="false" ht="19.5" hidden="false" customHeight="false" outlineLevel="0" collapsed="false">
      <c r="A1221" s="3" t="s">
        <v>173</v>
      </c>
      <c r="B1221" s="3" t="s">
        <v>174</v>
      </c>
      <c r="C1221" s="3" t="s">
        <v>60</v>
      </c>
      <c r="D1221" s="3" t="s">
        <v>8</v>
      </c>
      <c r="E1221" s="3" t="n">
        <v>5540</v>
      </c>
      <c r="F1221" s="3" t="n">
        <v>240</v>
      </c>
      <c r="G1221" s="3" t="n">
        <v>24</v>
      </c>
      <c r="H1221" s="8" t="n">
        <f aca="false">(E1221/1000)*(F1221/1000)*(G1221/1000)*7850</f>
        <v>250.49664</v>
      </c>
      <c r="I1221" s="3" t="n">
        <v>2</v>
      </c>
      <c r="J1221" s="9" t="n">
        <f aca="false">H1221*I1221</f>
        <v>500.99328</v>
      </c>
      <c r="K1221" s="3"/>
    </row>
    <row r="1222" customFormat="false" ht="19.5" hidden="false" customHeight="false" outlineLevel="0" collapsed="false">
      <c r="A1222" s="3" t="s">
        <v>173</v>
      </c>
      <c r="B1222" s="3" t="s">
        <v>174</v>
      </c>
      <c r="C1222" s="3" t="s">
        <v>60</v>
      </c>
      <c r="D1222" s="3" t="s">
        <v>8</v>
      </c>
      <c r="E1222" s="3" t="n">
        <v>1200</v>
      </c>
      <c r="F1222" s="3" t="n">
        <v>878</v>
      </c>
      <c r="G1222" s="3" t="n">
        <v>20</v>
      </c>
      <c r="H1222" s="8" t="n">
        <f aca="false">(E1222/1000)*(F1222/1000)*(G1222/1000)*7850</f>
        <v>165.4152</v>
      </c>
      <c r="I1222" s="3" t="n">
        <v>1</v>
      </c>
      <c r="J1222" s="9" t="n">
        <f aca="false">H1222*I1222</f>
        <v>165.4152</v>
      </c>
      <c r="K1222" s="3"/>
    </row>
    <row r="1223" customFormat="false" ht="19.5" hidden="false" customHeight="false" outlineLevel="0" collapsed="false">
      <c r="A1223" s="3" t="s">
        <v>173</v>
      </c>
      <c r="B1223" s="3" t="s">
        <v>174</v>
      </c>
      <c r="C1223" s="3" t="s">
        <v>60</v>
      </c>
      <c r="D1223" s="3" t="s">
        <v>8</v>
      </c>
      <c r="E1223" s="3" t="n">
        <v>1200</v>
      </c>
      <c r="F1223" s="3" t="n">
        <v>1030</v>
      </c>
      <c r="G1223" s="3" t="n">
        <v>20</v>
      </c>
      <c r="H1223" s="8" t="n">
        <f aca="false">(E1223/1000)*(F1223/1000)*(G1223/1000)*7850</f>
        <v>194.052</v>
      </c>
      <c r="I1223" s="3" t="n">
        <v>1</v>
      </c>
      <c r="J1223" s="9" t="n">
        <f aca="false">H1223*I1223</f>
        <v>194.052</v>
      </c>
      <c r="K1223" s="3"/>
    </row>
    <row r="1224" customFormat="false" ht="19.5" hidden="false" customHeight="false" outlineLevel="0" collapsed="false">
      <c r="A1224" s="3" t="s">
        <v>173</v>
      </c>
      <c r="B1224" s="3" t="s">
        <v>174</v>
      </c>
      <c r="C1224" s="3" t="s">
        <v>60</v>
      </c>
      <c r="D1224" s="3" t="s">
        <v>8</v>
      </c>
      <c r="E1224" s="3" t="n">
        <v>1580</v>
      </c>
      <c r="F1224" s="3" t="n">
        <v>610</v>
      </c>
      <c r="G1224" s="3" t="n">
        <v>14</v>
      </c>
      <c r="H1224" s="8" t="n">
        <f aca="false">(E1224/1000)*(F1224/1000)*(G1224/1000)*7850</f>
        <v>105.92162</v>
      </c>
      <c r="I1224" s="3" t="n">
        <v>3</v>
      </c>
      <c r="J1224" s="9" t="n">
        <f aca="false">H1224*I1224</f>
        <v>317.76486</v>
      </c>
      <c r="K1224" s="3"/>
    </row>
    <row r="1225" customFormat="false" ht="19.5" hidden="false" customHeight="false" outlineLevel="0" collapsed="false">
      <c r="A1225" s="3" t="s">
        <v>173</v>
      </c>
      <c r="B1225" s="3" t="s">
        <v>174</v>
      </c>
      <c r="C1225" s="3" t="s">
        <v>60</v>
      </c>
      <c r="D1225" s="3" t="s">
        <v>8</v>
      </c>
      <c r="E1225" s="3" t="n">
        <v>1580</v>
      </c>
      <c r="F1225" s="3" t="n">
        <v>630</v>
      </c>
      <c r="G1225" s="3" t="n">
        <v>14</v>
      </c>
      <c r="H1225" s="8" t="n">
        <f aca="false">(E1225/1000)*(F1225/1000)*(G1225/1000)*7850</f>
        <v>109.39446</v>
      </c>
      <c r="I1225" s="3" t="n">
        <v>2</v>
      </c>
      <c r="J1225" s="9" t="n">
        <f aca="false">H1225*I1225</f>
        <v>218.78892</v>
      </c>
      <c r="K1225" s="3"/>
    </row>
    <row r="1226" customFormat="false" ht="19.5" hidden="false" customHeight="false" outlineLevel="0" collapsed="false">
      <c r="A1226" s="3" t="s">
        <v>173</v>
      </c>
      <c r="B1226" s="3" t="s">
        <v>174</v>
      </c>
      <c r="C1226" s="3" t="s">
        <v>60</v>
      </c>
      <c r="D1226" s="3" t="s">
        <v>8</v>
      </c>
      <c r="E1226" s="3" t="n">
        <v>470</v>
      </c>
      <c r="F1226" s="3" t="n">
        <v>1000</v>
      </c>
      <c r="G1226" s="3" t="n">
        <v>24</v>
      </c>
      <c r="H1226" s="8" t="n">
        <f aca="false">(E1226/1000)*(F1226/1000)*(G1226/1000)*7850</f>
        <v>88.548</v>
      </c>
      <c r="I1226" s="3" t="n">
        <v>3</v>
      </c>
      <c r="J1226" s="9" t="n">
        <f aca="false">H1226*I1226</f>
        <v>265.644</v>
      </c>
      <c r="K1226" s="3"/>
    </row>
    <row r="1227" customFormat="false" ht="19.5" hidden="false" customHeight="false" outlineLevel="0" collapsed="false">
      <c r="A1227" s="3" t="s">
        <v>173</v>
      </c>
      <c r="B1227" s="3" t="s">
        <v>174</v>
      </c>
      <c r="C1227" s="3" t="s">
        <v>60</v>
      </c>
      <c r="D1227" s="3" t="s">
        <v>8</v>
      </c>
      <c r="E1227" s="3" t="n">
        <v>480</v>
      </c>
      <c r="F1227" s="3" t="n">
        <v>1000</v>
      </c>
      <c r="G1227" s="3" t="n">
        <v>24</v>
      </c>
      <c r="H1227" s="8" t="n">
        <f aca="false">(E1227/1000)*(F1227/1000)*(G1227/1000)*7850</f>
        <v>90.432</v>
      </c>
      <c r="I1227" s="3" t="n">
        <v>2</v>
      </c>
      <c r="J1227" s="9" t="n">
        <f aca="false">H1227*I1227</f>
        <v>180.864</v>
      </c>
      <c r="K1227" s="3"/>
    </row>
    <row r="1228" customFormat="false" ht="19.5" hidden="false" customHeight="false" outlineLevel="0" collapsed="false">
      <c r="A1228" s="3" t="s">
        <v>173</v>
      </c>
      <c r="B1228" s="3" t="s">
        <v>174</v>
      </c>
      <c r="C1228" s="3" t="s">
        <v>60</v>
      </c>
      <c r="D1228" s="3" t="s">
        <v>8</v>
      </c>
      <c r="E1228" s="3" t="n">
        <v>1450</v>
      </c>
      <c r="F1228" s="3" t="n">
        <v>610</v>
      </c>
      <c r="G1228" s="3" t="n">
        <v>14</v>
      </c>
      <c r="H1228" s="8" t="n">
        <f aca="false">(E1228/1000)*(F1228/1000)*(G1228/1000)*7850</f>
        <v>97.20655</v>
      </c>
      <c r="I1228" s="3" t="n">
        <v>3</v>
      </c>
      <c r="J1228" s="9" t="n">
        <f aca="false">H1228*I1228</f>
        <v>291.61965</v>
      </c>
      <c r="K1228" s="3"/>
    </row>
    <row r="1229" customFormat="false" ht="19.5" hidden="false" customHeight="false" outlineLevel="0" collapsed="false">
      <c r="A1229" s="3" t="s">
        <v>173</v>
      </c>
      <c r="B1229" s="3" t="s">
        <v>174</v>
      </c>
      <c r="C1229" s="3" t="s">
        <v>60</v>
      </c>
      <c r="D1229" s="3" t="s">
        <v>8</v>
      </c>
      <c r="E1229" s="3" t="n">
        <v>1450</v>
      </c>
      <c r="F1229" s="3" t="n">
        <v>626</v>
      </c>
      <c r="G1229" s="3" t="n">
        <v>14</v>
      </c>
      <c r="H1229" s="8" t="n">
        <f aca="false">(E1229/1000)*(F1229/1000)*(G1229/1000)*7850</f>
        <v>99.75623</v>
      </c>
      <c r="I1229" s="3" t="n">
        <v>2</v>
      </c>
      <c r="J1229" s="9" t="n">
        <f aca="false">H1229*I1229</f>
        <v>199.51246</v>
      </c>
      <c r="K1229" s="3"/>
    </row>
    <row r="1230" customFormat="false" ht="19.5" hidden="false" customHeight="false" outlineLevel="0" collapsed="false">
      <c r="A1230" s="3" t="s">
        <v>175</v>
      </c>
      <c r="B1230" s="3" t="s">
        <v>176</v>
      </c>
      <c r="C1230" s="3" t="s">
        <v>44</v>
      </c>
      <c r="D1230" s="3" t="s">
        <v>8</v>
      </c>
      <c r="E1230" s="3" t="n">
        <v>11850</v>
      </c>
      <c r="F1230" s="3" t="n">
        <v>1000</v>
      </c>
      <c r="G1230" s="3" t="n">
        <v>20</v>
      </c>
      <c r="H1230" s="8" t="n">
        <f aca="false">(E1230/1000)*(F1230/1000)*(G1230/1000)*7850</f>
        <v>1860.45</v>
      </c>
      <c r="I1230" s="3" t="n">
        <v>1</v>
      </c>
      <c r="J1230" s="9" t="n">
        <f aca="false">H1230*I1230</f>
        <v>1860.45</v>
      </c>
      <c r="K1230" s="3"/>
    </row>
    <row r="1231" customFormat="false" ht="19.5" hidden="false" customHeight="false" outlineLevel="0" collapsed="false">
      <c r="A1231" s="3" t="s">
        <v>175</v>
      </c>
      <c r="B1231" s="3" t="s">
        <v>176</v>
      </c>
      <c r="C1231" s="3" t="s">
        <v>45</v>
      </c>
      <c r="D1231" s="3" t="s">
        <v>8</v>
      </c>
      <c r="E1231" s="3" t="n">
        <v>12800</v>
      </c>
      <c r="F1231" s="3" t="n">
        <v>1000</v>
      </c>
      <c r="G1231" s="3" t="n">
        <v>20</v>
      </c>
      <c r="H1231" s="8" t="n">
        <f aca="false">(E1231/1000)*(F1231/1000)*(G1231/1000)*7850</f>
        <v>2009.6</v>
      </c>
      <c r="I1231" s="3" t="n">
        <v>1</v>
      </c>
      <c r="J1231" s="9" t="n">
        <f aca="false">H1231*I1231</f>
        <v>2009.6</v>
      </c>
      <c r="K1231" s="3"/>
    </row>
    <row r="1232" customFormat="false" ht="19.5" hidden="false" customHeight="false" outlineLevel="0" collapsed="false">
      <c r="A1232" s="3" t="s">
        <v>175</v>
      </c>
      <c r="B1232" s="3" t="s">
        <v>176</v>
      </c>
      <c r="C1232" s="3" t="s">
        <v>45</v>
      </c>
      <c r="D1232" s="3" t="s">
        <v>8</v>
      </c>
      <c r="E1232" s="3" t="n">
        <v>7900</v>
      </c>
      <c r="F1232" s="3" t="n">
        <v>1200</v>
      </c>
      <c r="G1232" s="3" t="n">
        <v>20</v>
      </c>
      <c r="H1232" s="8" t="n">
        <f aca="false">(E1232/1000)*(F1232/1000)*(G1232/1000)*7850</f>
        <v>1488.36</v>
      </c>
      <c r="I1232" s="3" t="n">
        <v>1</v>
      </c>
      <c r="J1232" s="9" t="n">
        <f aca="false">H1232*I1232</f>
        <v>1488.36</v>
      </c>
      <c r="K1232" s="3"/>
    </row>
    <row r="1233" customFormat="false" ht="19.5" hidden="false" customHeight="false" outlineLevel="0" collapsed="false">
      <c r="A1233" s="3" t="s">
        <v>175</v>
      </c>
      <c r="B1233" s="3" t="s">
        <v>176</v>
      </c>
      <c r="C1233" s="3" t="s">
        <v>45</v>
      </c>
      <c r="D1233" s="3" t="s">
        <v>8</v>
      </c>
      <c r="E1233" s="3" t="n">
        <v>8800</v>
      </c>
      <c r="F1233" s="3" t="n">
        <v>1200</v>
      </c>
      <c r="G1233" s="3" t="n">
        <v>20</v>
      </c>
      <c r="H1233" s="8" t="n">
        <f aca="false">(E1233/1000)*(F1233/1000)*(G1233/1000)*7850</f>
        <v>1657.92</v>
      </c>
      <c r="I1233" s="3" t="n">
        <v>1</v>
      </c>
      <c r="J1233" s="9" t="n">
        <f aca="false">H1233*I1233</f>
        <v>1657.92</v>
      </c>
      <c r="K1233" s="3"/>
    </row>
    <row r="1234" customFormat="false" ht="19.5" hidden="false" customHeight="false" outlineLevel="0" collapsed="false">
      <c r="A1234" s="3" t="s">
        <v>175</v>
      </c>
      <c r="B1234" s="3" t="s">
        <v>176</v>
      </c>
      <c r="C1234" s="3" t="s">
        <v>48</v>
      </c>
      <c r="D1234" s="3" t="s">
        <v>8</v>
      </c>
      <c r="E1234" s="3" t="n">
        <v>19210</v>
      </c>
      <c r="F1234" s="3" t="n">
        <v>1000</v>
      </c>
      <c r="G1234" s="3" t="n">
        <v>40</v>
      </c>
      <c r="H1234" s="8" t="n">
        <f aca="false">(E1234/1000)*(F1234/1000)*(G1234/1000)*7850</f>
        <v>6031.94</v>
      </c>
      <c r="I1234" s="3" t="n">
        <v>2</v>
      </c>
      <c r="J1234" s="9" t="n">
        <f aca="false">H1234*I1234</f>
        <v>12063.88</v>
      </c>
      <c r="K1234" s="3"/>
    </row>
    <row r="1235" customFormat="false" ht="19.5" hidden="false" customHeight="false" outlineLevel="0" collapsed="false">
      <c r="A1235" s="3" t="s">
        <v>175</v>
      </c>
      <c r="B1235" s="3" t="s">
        <v>176</v>
      </c>
      <c r="C1235" s="3" t="s">
        <v>49</v>
      </c>
      <c r="D1235" s="3" t="s">
        <v>8</v>
      </c>
      <c r="E1235" s="3" t="n">
        <v>8800</v>
      </c>
      <c r="F1235" s="3" t="n">
        <v>1648</v>
      </c>
      <c r="G1235" s="3" t="n">
        <v>20</v>
      </c>
      <c r="H1235" s="8" t="n">
        <f aca="false">(E1235/1000)*(F1235/1000)*(G1235/1000)*7850</f>
        <v>2276.8768</v>
      </c>
      <c r="I1235" s="3" t="n">
        <v>2</v>
      </c>
      <c r="J1235" s="9" t="n">
        <f aca="false">H1235*I1235</f>
        <v>4553.7536</v>
      </c>
      <c r="K1235" s="3"/>
    </row>
    <row r="1236" customFormat="false" ht="19.5" hidden="false" customHeight="false" outlineLevel="0" collapsed="false">
      <c r="A1236" s="3" t="s">
        <v>175</v>
      </c>
      <c r="B1236" s="3" t="s">
        <v>176</v>
      </c>
      <c r="C1236" s="3" t="s">
        <v>51</v>
      </c>
      <c r="D1236" s="3" t="s">
        <v>8</v>
      </c>
      <c r="E1236" s="3" t="n">
        <v>7900</v>
      </c>
      <c r="F1236" s="3" t="n">
        <v>1850</v>
      </c>
      <c r="G1236" s="3" t="n">
        <v>20</v>
      </c>
      <c r="H1236" s="8" t="n">
        <f aca="false">(E1236/1000)*(F1236/1000)*(G1236/1000)*7850</f>
        <v>2294.555</v>
      </c>
      <c r="I1236" s="3" t="n">
        <v>1</v>
      </c>
      <c r="J1236" s="9" t="n">
        <f aca="false">H1236*I1236</f>
        <v>2294.555</v>
      </c>
      <c r="K1236" s="3"/>
    </row>
    <row r="1237" customFormat="false" ht="19.5" hidden="false" customHeight="false" outlineLevel="0" collapsed="false">
      <c r="A1237" s="3" t="s">
        <v>175</v>
      </c>
      <c r="B1237" s="3" t="s">
        <v>176</v>
      </c>
      <c r="C1237" s="3" t="s">
        <v>70</v>
      </c>
      <c r="D1237" s="3" t="s">
        <v>8</v>
      </c>
      <c r="E1237" s="3" t="n">
        <v>10100</v>
      </c>
      <c r="F1237" s="3" t="n">
        <v>1850</v>
      </c>
      <c r="G1237" s="3" t="n">
        <v>20</v>
      </c>
      <c r="H1237" s="8" t="n">
        <f aca="false">(E1237/1000)*(F1237/1000)*(G1237/1000)*7850</f>
        <v>2933.545</v>
      </c>
      <c r="I1237" s="3" t="n">
        <v>1</v>
      </c>
      <c r="J1237" s="9" t="n">
        <f aca="false">H1237*I1237</f>
        <v>2933.545</v>
      </c>
      <c r="K1237" s="3"/>
    </row>
    <row r="1238" customFormat="false" ht="19.5" hidden="false" customHeight="false" outlineLevel="0" collapsed="false">
      <c r="A1238" s="3" t="s">
        <v>175</v>
      </c>
      <c r="B1238" s="3" t="s">
        <v>176</v>
      </c>
      <c r="C1238" s="3" t="s">
        <v>52</v>
      </c>
      <c r="D1238" s="3" t="s">
        <v>8</v>
      </c>
      <c r="E1238" s="3" t="n">
        <v>12530</v>
      </c>
      <c r="F1238" s="3" t="n">
        <v>1000</v>
      </c>
      <c r="G1238" s="3" t="n">
        <v>20</v>
      </c>
      <c r="H1238" s="8" t="n">
        <f aca="false">(E1238/1000)*(F1238/1000)*(G1238/1000)*7850</f>
        <v>1967.21</v>
      </c>
      <c r="I1238" s="3" t="n">
        <v>1</v>
      </c>
      <c r="J1238" s="9" t="n">
        <f aca="false">H1238*I1238</f>
        <v>1967.21</v>
      </c>
      <c r="K1238" s="3"/>
    </row>
    <row r="1239" customFormat="false" ht="19.5" hidden="false" customHeight="false" outlineLevel="0" collapsed="false">
      <c r="A1239" s="3" t="s">
        <v>175</v>
      </c>
      <c r="B1239" s="3" t="s">
        <v>176</v>
      </c>
      <c r="C1239" s="3" t="s">
        <v>53</v>
      </c>
      <c r="D1239" s="3" t="s">
        <v>8</v>
      </c>
      <c r="E1239" s="3" t="n">
        <v>14160</v>
      </c>
      <c r="F1239" s="3" t="n">
        <v>1000</v>
      </c>
      <c r="G1239" s="3" t="n">
        <v>20</v>
      </c>
      <c r="H1239" s="8" t="n">
        <f aca="false">(E1239/1000)*(F1239/1000)*(G1239/1000)*7850</f>
        <v>2223.12</v>
      </c>
      <c r="I1239" s="3" t="n">
        <v>1</v>
      </c>
      <c r="J1239" s="9" t="n">
        <f aca="false">H1239*I1239</f>
        <v>2223.12</v>
      </c>
      <c r="K1239" s="3"/>
    </row>
    <row r="1240" customFormat="false" ht="19.5" hidden="false" customHeight="false" outlineLevel="0" collapsed="false">
      <c r="A1240" s="3" t="s">
        <v>175</v>
      </c>
      <c r="B1240" s="3" t="s">
        <v>176</v>
      </c>
      <c r="C1240" s="3" t="s">
        <v>67</v>
      </c>
      <c r="D1240" s="3" t="s">
        <v>8</v>
      </c>
      <c r="E1240" s="3" t="n">
        <v>18380</v>
      </c>
      <c r="F1240" s="3" t="n">
        <v>1000</v>
      </c>
      <c r="G1240" s="3" t="n">
        <v>40</v>
      </c>
      <c r="H1240" s="8" t="n">
        <f aca="false">(E1240/1000)*(F1240/1000)*(G1240/1000)*7850</f>
        <v>5771.32</v>
      </c>
      <c r="I1240" s="3" t="n">
        <v>2</v>
      </c>
      <c r="J1240" s="9" t="n">
        <f aca="false">H1240*I1240</f>
        <v>11542.64</v>
      </c>
      <c r="K1240" s="3"/>
    </row>
    <row r="1241" customFormat="false" ht="19.5" hidden="false" customHeight="false" outlineLevel="0" collapsed="false">
      <c r="A1241" s="3" t="s">
        <v>175</v>
      </c>
      <c r="B1241" s="3" t="s">
        <v>176</v>
      </c>
      <c r="C1241" s="3" t="s">
        <v>54</v>
      </c>
      <c r="D1241" s="3" t="s">
        <v>8</v>
      </c>
      <c r="E1241" s="3" t="n">
        <v>10300</v>
      </c>
      <c r="F1241" s="3" t="n">
        <v>1470</v>
      </c>
      <c r="G1241" s="3" t="n">
        <v>24</v>
      </c>
      <c r="H1241" s="8" t="n">
        <f aca="false">(E1241/1000)*(F1241/1000)*(G1241/1000)*7850</f>
        <v>2852.5644</v>
      </c>
      <c r="I1241" s="3" t="n">
        <v>2</v>
      </c>
      <c r="J1241" s="9" t="n">
        <f aca="false">H1241*I1241</f>
        <v>5705.1288</v>
      </c>
      <c r="K1241" s="3"/>
    </row>
    <row r="1242" customFormat="false" ht="19.5" hidden="false" customHeight="false" outlineLevel="0" collapsed="false">
      <c r="A1242" s="3" t="s">
        <v>175</v>
      </c>
      <c r="B1242" s="3" t="s">
        <v>176</v>
      </c>
      <c r="C1242" s="3" t="s">
        <v>55</v>
      </c>
      <c r="D1242" s="3" t="s">
        <v>8</v>
      </c>
      <c r="E1242" s="3" t="n">
        <v>7900</v>
      </c>
      <c r="F1242" s="3" t="n">
        <v>240</v>
      </c>
      <c r="G1242" s="3" t="n">
        <v>20</v>
      </c>
      <c r="H1242" s="8" t="n">
        <f aca="false">(E1242/1000)*(F1242/1000)*(G1242/1000)*7850</f>
        <v>297.672</v>
      </c>
      <c r="I1242" s="3" t="n">
        <v>4</v>
      </c>
      <c r="J1242" s="9" t="n">
        <f aca="false">H1242*I1242</f>
        <v>1190.688</v>
      </c>
      <c r="K1242" s="3"/>
    </row>
    <row r="1243" customFormat="false" ht="19.5" hidden="false" customHeight="false" outlineLevel="0" collapsed="false">
      <c r="A1243" s="3" t="s">
        <v>175</v>
      </c>
      <c r="B1243" s="3" t="s">
        <v>176</v>
      </c>
      <c r="C1243" s="3" t="s">
        <v>56</v>
      </c>
      <c r="D1243" s="3" t="s">
        <v>8</v>
      </c>
      <c r="E1243" s="3" t="n">
        <v>10100</v>
      </c>
      <c r="F1243" s="3" t="n">
        <v>240</v>
      </c>
      <c r="G1243" s="3" t="n">
        <v>20</v>
      </c>
      <c r="H1243" s="8" t="n">
        <f aca="false">(E1243/1000)*(F1243/1000)*(G1243/1000)*7850</f>
        <v>380.568</v>
      </c>
      <c r="I1243" s="3" t="n">
        <v>4</v>
      </c>
      <c r="J1243" s="9" t="n">
        <f aca="false">H1243*I1243</f>
        <v>1522.272</v>
      </c>
      <c r="K1243" s="3"/>
    </row>
    <row r="1244" customFormat="false" ht="19.5" hidden="false" customHeight="false" outlineLevel="0" collapsed="false">
      <c r="A1244" s="3" t="s">
        <v>175</v>
      </c>
      <c r="B1244" s="3" t="s">
        <v>176</v>
      </c>
      <c r="C1244" s="3" t="s">
        <v>57</v>
      </c>
      <c r="D1244" s="3" t="s">
        <v>8</v>
      </c>
      <c r="E1244" s="3" t="n">
        <v>18000</v>
      </c>
      <c r="F1244" s="3" t="n">
        <v>170</v>
      </c>
      <c r="G1244" s="3" t="n">
        <v>14</v>
      </c>
      <c r="H1244" s="8" t="n">
        <f aca="false">(E1244/1000)*(F1244/1000)*(G1244/1000)*7850</f>
        <v>336.294</v>
      </c>
      <c r="I1244" s="3" t="n">
        <v>1</v>
      </c>
      <c r="J1244" s="9" t="n">
        <f aca="false">H1244*I1244</f>
        <v>336.294</v>
      </c>
      <c r="K1244" s="3"/>
    </row>
    <row r="1245" customFormat="false" ht="19.5" hidden="false" customHeight="false" outlineLevel="0" collapsed="false">
      <c r="A1245" s="3" t="s">
        <v>175</v>
      </c>
      <c r="B1245" s="3" t="s">
        <v>176</v>
      </c>
      <c r="C1245" s="3" t="s">
        <v>58</v>
      </c>
      <c r="D1245" s="3" t="s">
        <v>8</v>
      </c>
      <c r="E1245" s="3" t="n">
        <v>8075</v>
      </c>
      <c r="F1245" s="3" t="n">
        <v>900</v>
      </c>
      <c r="G1245" s="3" t="n">
        <v>36</v>
      </c>
      <c r="H1245" s="8" t="n">
        <f aca="false">(E1245/1000)*(F1245/1000)*(G1245/1000)*7850</f>
        <v>2053.7955</v>
      </c>
      <c r="I1245" s="3" t="n">
        <v>2</v>
      </c>
      <c r="J1245" s="9" t="n">
        <f aca="false">H1245*I1245</f>
        <v>4107.591</v>
      </c>
      <c r="K1245" s="3"/>
    </row>
    <row r="1246" customFormat="false" ht="19.5" hidden="false" customHeight="false" outlineLevel="0" collapsed="false">
      <c r="A1246" s="3" t="s">
        <v>175</v>
      </c>
      <c r="B1246" s="3" t="s">
        <v>176</v>
      </c>
      <c r="C1246" s="3" t="s">
        <v>59</v>
      </c>
      <c r="D1246" s="3" t="s">
        <v>8</v>
      </c>
      <c r="E1246" s="3" t="n">
        <v>12975</v>
      </c>
      <c r="F1246" s="3" t="n">
        <v>1200</v>
      </c>
      <c r="G1246" s="3" t="n">
        <v>32</v>
      </c>
      <c r="H1246" s="8" t="n">
        <f aca="false">(E1246/1000)*(F1246/1000)*(G1246/1000)*7850</f>
        <v>3911.184</v>
      </c>
      <c r="I1246" s="3" t="n">
        <v>1</v>
      </c>
      <c r="J1246" s="9" t="n">
        <f aca="false">H1246*I1246</f>
        <v>3911.184</v>
      </c>
      <c r="K1246" s="3"/>
    </row>
    <row r="1247" customFormat="false" ht="19.5" hidden="false" customHeight="false" outlineLevel="0" collapsed="false">
      <c r="A1247" s="3" t="s">
        <v>175</v>
      </c>
      <c r="B1247" s="3" t="s">
        <v>176</v>
      </c>
      <c r="C1247" s="3" t="s">
        <v>60</v>
      </c>
      <c r="D1247" s="3" t="s">
        <v>8</v>
      </c>
      <c r="E1247" s="3" t="n">
        <v>11575</v>
      </c>
      <c r="F1247" s="3" t="n">
        <v>240</v>
      </c>
      <c r="G1247" s="3" t="n">
        <v>24</v>
      </c>
      <c r="H1247" s="8" t="n">
        <f aca="false">(E1247/1000)*(F1247/1000)*(G1247/1000)*7850</f>
        <v>523.3752</v>
      </c>
      <c r="I1247" s="3" t="n">
        <v>2</v>
      </c>
      <c r="J1247" s="9" t="n">
        <f aca="false">H1247*I1247</f>
        <v>1046.7504</v>
      </c>
      <c r="K1247" s="3"/>
    </row>
    <row r="1248" customFormat="false" ht="19.5" hidden="false" customHeight="false" outlineLevel="0" collapsed="false">
      <c r="A1248" s="3" t="s">
        <v>175</v>
      </c>
      <c r="B1248" s="3" t="s">
        <v>176</v>
      </c>
      <c r="C1248" s="3" t="s">
        <v>61</v>
      </c>
      <c r="D1248" s="3" t="s">
        <v>8</v>
      </c>
      <c r="E1248" s="3" t="n">
        <v>4054</v>
      </c>
      <c r="F1248" s="3" t="n">
        <v>900</v>
      </c>
      <c r="G1248" s="3" t="n">
        <v>36</v>
      </c>
      <c r="H1248" s="8" t="n">
        <f aca="false">(E1248/1000)*(F1248/1000)*(G1248/1000)*7850</f>
        <v>1031.09436</v>
      </c>
      <c r="I1248" s="3" t="n">
        <v>2</v>
      </c>
      <c r="J1248" s="9" t="n">
        <f aca="false">H1248*I1248</f>
        <v>2062.18872</v>
      </c>
      <c r="K1248" s="3"/>
    </row>
    <row r="1249" customFormat="false" ht="19.5" hidden="false" customHeight="false" outlineLevel="0" collapsed="false">
      <c r="A1249" s="3" t="s">
        <v>175</v>
      </c>
      <c r="B1249" s="3" t="s">
        <v>176</v>
      </c>
      <c r="C1249" s="3" t="s">
        <v>61</v>
      </c>
      <c r="D1249" s="3" t="s">
        <v>8</v>
      </c>
      <c r="E1249" s="3" t="n">
        <v>6404</v>
      </c>
      <c r="F1249" s="3" t="n">
        <v>1200</v>
      </c>
      <c r="G1249" s="3" t="n">
        <v>32</v>
      </c>
      <c r="H1249" s="8" t="n">
        <f aca="false">(E1249/1000)*(F1249/1000)*(G1249/1000)*7850</f>
        <v>1930.42176</v>
      </c>
      <c r="I1249" s="3" t="n">
        <v>1</v>
      </c>
      <c r="J1249" s="9" t="n">
        <f aca="false">H1249*I1249</f>
        <v>1930.42176</v>
      </c>
      <c r="K1249" s="3"/>
    </row>
    <row r="1250" customFormat="false" ht="19.5" hidden="false" customHeight="false" outlineLevel="0" collapsed="false">
      <c r="A1250" s="3" t="s">
        <v>175</v>
      </c>
      <c r="B1250" s="3" t="s">
        <v>176</v>
      </c>
      <c r="C1250" s="3" t="s">
        <v>61</v>
      </c>
      <c r="D1250" s="3" t="s">
        <v>8</v>
      </c>
      <c r="E1250" s="3" t="n">
        <v>5704</v>
      </c>
      <c r="F1250" s="3" t="n">
        <v>240</v>
      </c>
      <c r="G1250" s="3" t="n">
        <v>24</v>
      </c>
      <c r="H1250" s="8" t="n">
        <f aca="false">(E1250/1000)*(F1250/1000)*(G1250/1000)*7850</f>
        <v>257.912064</v>
      </c>
      <c r="I1250" s="3" t="n">
        <v>2</v>
      </c>
      <c r="J1250" s="9" t="n">
        <f aca="false">H1250*I1250</f>
        <v>515.824128</v>
      </c>
      <c r="K1250" s="3"/>
    </row>
    <row r="1251" customFormat="false" ht="19.5" hidden="false" customHeight="false" outlineLevel="0" collapsed="false">
      <c r="A1251" s="3" t="s">
        <v>175</v>
      </c>
      <c r="B1251" s="3" t="s">
        <v>176</v>
      </c>
      <c r="C1251" s="3" t="s">
        <v>61</v>
      </c>
      <c r="D1251" s="3" t="s">
        <v>8</v>
      </c>
      <c r="E1251" s="3" t="n">
        <v>3657</v>
      </c>
      <c r="F1251" s="3" t="n">
        <v>900</v>
      </c>
      <c r="G1251" s="3" t="n">
        <v>36</v>
      </c>
      <c r="H1251" s="8" t="n">
        <f aca="false">(E1251/1000)*(F1251/1000)*(G1251/1000)*7850</f>
        <v>930.12138</v>
      </c>
      <c r="I1251" s="3" t="n">
        <v>2</v>
      </c>
      <c r="J1251" s="9" t="n">
        <f aca="false">H1251*I1251</f>
        <v>1860.24276</v>
      </c>
      <c r="K1251" s="3"/>
    </row>
    <row r="1252" customFormat="false" ht="19.5" hidden="false" customHeight="false" outlineLevel="0" collapsed="false">
      <c r="A1252" s="3" t="s">
        <v>175</v>
      </c>
      <c r="B1252" s="3" t="s">
        <v>176</v>
      </c>
      <c r="C1252" s="3" t="s">
        <v>61</v>
      </c>
      <c r="D1252" s="3" t="s">
        <v>8</v>
      </c>
      <c r="E1252" s="3" t="n">
        <v>6257</v>
      </c>
      <c r="F1252" s="3" t="n">
        <v>1200</v>
      </c>
      <c r="G1252" s="3" t="n">
        <v>32</v>
      </c>
      <c r="H1252" s="8" t="n">
        <f aca="false">(E1252/1000)*(F1252/1000)*(G1252/1000)*7850</f>
        <v>1886.11008</v>
      </c>
      <c r="I1252" s="3" t="n">
        <v>1</v>
      </c>
      <c r="J1252" s="9" t="n">
        <f aca="false">H1252*I1252</f>
        <v>1886.11008</v>
      </c>
      <c r="K1252" s="3"/>
    </row>
    <row r="1253" customFormat="false" ht="19.5" hidden="false" customHeight="false" outlineLevel="0" collapsed="false">
      <c r="A1253" s="3" t="s">
        <v>175</v>
      </c>
      <c r="B1253" s="3" t="s">
        <v>176</v>
      </c>
      <c r="C1253" s="3" t="s">
        <v>61</v>
      </c>
      <c r="D1253" s="3" t="s">
        <v>8</v>
      </c>
      <c r="E1253" s="3" t="n">
        <v>5557</v>
      </c>
      <c r="F1253" s="3" t="n">
        <v>240</v>
      </c>
      <c r="G1253" s="3" t="n">
        <v>24</v>
      </c>
      <c r="H1253" s="8" t="n">
        <f aca="false">(E1253/1000)*(F1253/1000)*(G1253/1000)*7850</f>
        <v>251.265312</v>
      </c>
      <c r="I1253" s="3" t="n">
        <v>2</v>
      </c>
      <c r="J1253" s="9" t="n">
        <f aca="false">H1253*I1253</f>
        <v>502.530624</v>
      </c>
      <c r="K1253" s="3"/>
    </row>
    <row r="1254" customFormat="false" ht="19.5" hidden="false" customHeight="false" outlineLevel="0" collapsed="false">
      <c r="A1254" s="3" t="s">
        <v>175</v>
      </c>
      <c r="B1254" s="3" t="s">
        <v>176</v>
      </c>
      <c r="C1254" s="3" t="s">
        <v>61</v>
      </c>
      <c r="D1254" s="3" t="s">
        <v>8</v>
      </c>
      <c r="E1254" s="3" t="n">
        <v>1200</v>
      </c>
      <c r="F1254" s="3" t="n">
        <v>904</v>
      </c>
      <c r="G1254" s="3" t="n">
        <v>20</v>
      </c>
      <c r="H1254" s="8" t="n">
        <f aca="false">(E1254/1000)*(F1254/1000)*(G1254/1000)*7850</f>
        <v>170.3136</v>
      </c>
      <c r="I1254" s="3" t="n">
        <v>1</v>
      </c>
      <c r="J1254" s="9" t="n">
        <f aca="false">H1254*I1254</f>
        <v>170.3136</v>
      </c>
      <c r="K1254" s="3"/>
    </row>
    <row r="1255" customFormat="false" ht="19.5" hidden="false" customHeight="false" outlineLevel="0" collapsed="false">
      <c r="A1255" s="3" t="s">
        <v>175</v>
      </c>
      <c r="B1255" s="3" t="s">
        <v>176</v>
      </c>
      <c r="C1255" s="3" t="s">
        <v>61</v>
      </c>
      <c r="D1255" s="3" t="s">
        <v>8</v>
      </c>
      <c r="E1255" s="3" t="n">
        <v>1200</v>
      </c>
      <c r="F1255" s="3" t="n">
        <v>1114</v>
      </c>
      <c r="G1255" s="3" t="n">
        <v>20</v>
      </c>
      <c r="H1255" s="8" t="n">
        <f aca="false">(E1255/1000)*(F1255/1000)*(G1255/1000)*7850</f>
        <v>209.8776</v>
      </c>
      <c r="I1255" s="3" t="n">
        <v>1</v>
      </c>
      <c r="J1255" s="9" t="n">
        <f aca="false">H1255*I1255</f>
        <v>209.8776</v>
      </c>
      <c r="K1255" s="3"/>
    </row>
    <row r="1256" customFormat="false" ht="19.5" hidden="false" customHeight="false" outlineLevel="0" collapsed="false">
      <c r="A1256" s="3" t="s">
        <v>175</v>
      </c>
      <c r="B1256" s="3" t="s">
        <v>176</v>
      </c>
      <c r="C1256" s="3" t="s">
        <v>61</v>
      </c>
      <c r="D1256" s="3" t="s">
        <v>8</v>
      </c>
      <c r="E1256" s="3" t="n">
        <v>1580</v>
      </c>
      <c r="F1256" s="3" t="n">
        <v>610</v>
      </c>
      <c r="G1256" s="3" t="n">
        <v>14</v>
      </c>
      <c r="H1256" s="8" t="n">
        <f aca="false">(E1256/1000)*(F1256/1000)*(G1256/1000)*7850</f>
        <v>105.92162</v>
      </c>
      <c r="I1256" s="3" t="n">
        <v>3</v>
      </c>
      <c r="J1256" s="9" t="n">
        <f aca="false">H1256*I1256</f>
        <v>317.76486</v>
      </c>
      <c r="K1256" s="3"/>
    </row>
    <row r="1257" customFormat="false" ht="19.5" hidden="false" customHeight="false" outlineLevel="0" collapsed="false">
      <c r="A1257" s="3" t="s">
        <v>175</v>
      </c>
      <c r="B1257" s="3" t="s">
        <v>176</v>
      </c>
      <c r="C1257" s="3" t="s">
        <v>61</v>
      </c>
      <c r="D1257" s="3" t="s">
        <v>8</v>
      </c>
      <c r="E1257" s="3" t="n">
        <v>1580</v>
      </c>
      <c r="F1257" s="3" t="n">
        <v>630</v>
      </c>
      <c r="G1257" s="3" t="n">
        <v>14</v>
      </c>
      <c r="H1257" s="8" t="n">
        <f aca="false">(E1257/1000)*(F1257/1000)*(G1257/1000)*7850</f>
        <v>109.39446</v>
      </c>
      <c r="I1257" s="3" t="n">
        <v>3</v>
      </c>
      <c r="J1257" s="9" t="n">
        <f aca="false">H1257*I1257</f>
        <v>328.18338</v>
      </c>
      <c r="K1257" s="3"/>
    </row>
    <row r="1258" customFormat="false" ht="19.5" hidden="false" customHeight="false" outlineLevel="0" collapsed="false">
      <c r="A1258" s="3" t="s">
        <v>175</v>
      </c>
      <c r="B1258" s="3" t="s">
        <v>176</v>
      </c>
      <c r="C1258" s="3" t="s">
        <v>61</v>
      </c>
      <c r="D1258" s="3" t="s">
        <v>8</v>
      </c>
      <c r="E1258" s="3" t="n">
        <v>470</v>
      </c>
      <c r="F1258" s="3" t="n">
        <v>1000</v>
      </c>
      <c r="G1258" s="3" t="n">
        <v>24</v>
      </c>
      <c r="H1258" s="8" t="n">
        <f aca="false">(E1258/1000)*(F1258/1000)*(G1258/1000)*7850</f>
        <v>88.548</v>
      </c>
      <c r="I1258" s="3" t="n">
        <v>3</v>
      </c>
      <c r="J1258" s="9" t="n">
        <f aca="false">H1258*I1258</f>
        <v>265.644</v>
      </c>
      <c r="K1258" s="3"/>
    </row>
    <row r="1259" customFormat="false" ht="19.5" hidden="false" customHeight="false" outlineLevel="0" collapsed="false">
      <c r="A1259" s="3" t="s">
        <v>175</v>
      </c>
      <c r="B1259" s="3" t="s">
        <v>176</v>
      </c>
      <c r="C1259" s="3" t="s">
        <v>61</v>
      </c>
      <c r="D1259" s="3" t="s">
        <v>8</v>
      </c>
      <c r="E1259" s="3" t="n">
        <v>480</v>
      </c>
      <c r="F1259" s="3" t="n">
        <v>1000</v>
      </c>
      <c r="G1259" s="3" t="n">
        <v>24</v>
      </c>
      <c r="H1259" s="8" t="n">
        <f aca="false">(E1259/1000)*(F1259/1000)*(G1259/1000)*7850</f>
        <v>90.432</v>
      </c>
      <c r="I1259" s="3" t="n">
        <v>3</v>
      </c>
      <c r="J1259" s="9" t="n">
        <f aca="false">H1259*I1259</f>
        <v>271.296</v>
      </c>
      <c r="K1259" s="3"/>
    </row>
    <row r="1260" customFormat="false" ht="19.5" hidden="false" customHeight="false" outlineLevel="0" collapsed="false">
      <c r="A1260" s="3" t="s">
        <v>175</v>
      </c>
      <c r="B1260" s="3" t="s">
        <v>176</v>
      </c>
      <c r="C1260" s="3" t="s">
        <v>61</v>
      </c>
      <c r="D1260" s="3" t="s">
        <v>8</v>
      </c>
      <c r="E1260" s="3" t="n">
        <v>1450</v>
      </c>
      <c r="F1260" s="3" t="n">
        <v>610</v>
      </c>
      <c r="G1260" s="3" t="n">
        <v>14</v>
      </c>
      <c r="H1260" s="8" t="n">
        <f aca="false">(E1260/1000)*(F1260/1000)*(G1260/1000)*7850</f>
        <v>97.20655</v>
      </c>
      <c r="I1260" s="3" t="n">
        <v>3</v>
      </c>
      <c r="J1260" s="9" t="n">
        <f aca="false">H1260*I1260</f>
        <v>291.61965</v>
      </c>
      <c r="K1260" s="3"/>
    </row>
    <row r="1261" customFormat="false" ht="19.5" hidden="false" customHeight="false" outlineLevel="0" collapsed="false">
      <c r="A1261" s="3" t="s">
        <v>175</v>
      </c>
      <c r="B1261" s="3" t="s">
        <v>176</v>
      </c>
      <c r="C1261" s="3" t="s">
        <v>61</v>
      </c>
      <c r="D1261" s="3" t="s">
        <v>8</v>
      </c>
      <c r="E1261" s="3" t="n">
        <v>1450</v>
      </c>
      <c r="F1261" s="3" t="n">
        <v>626</v>
      </c>
      <c r="G1261" s="3" t="n">
        <v>14</v>
      </c>
      <c r="H1261" s="8" t="n">
        <f aca="false">(E1261/1000)*(F1261/1000)*(G1261/1000)*7850</f>
        <v>99.75623</v>
      </c>
      <c r="I1261" s="3" t="n">
        <v>3</v>
      </c>
      <c r="J1261" s="9" t="n">
        <f aca="false">H1261*I1261</f>
        <v>299.26869</v>
      </c>
      <c r="K1261" s="3"/>
    </row>
    <row r="1262" customFormat="false" ht="19.5" hidden="false" customHeight="false" outlineLevel="0" collapsed="false">
      <c r="A1262" s="3" t="s">
        <v>177</v>
      </c>
      <c r="B1262" s="3" t="s">
        <v>178</v>
      </c>
      <c r="C1262" s="3" t="s">
        <v>124</v>
      </c>
      <c r="D1262" s="3" t="s">
        <v>8</v>
      </c>
      <c r="E1262" s="3" t="n">
        <v>35410</v>
      </c>
      <c r="F1262" s="3" t="n">
        <v>1000</v>
      </c>
      <c r="G1262" s="3" t="n">
        <v>20</v>
      </c>
      <c r="H1262" s="8" t="n">
        <f aca="false">(E1262/1000)*(F1262/1000)*(G1262/1000)*7850</f>
        <v>5559.37</v>
      </c>
      <c r="I1262" s="3" t="n">
        <v>1</v>
      </c>
      <c r="J1262" s="9" t="n">
        <f aca="false">H1262*I1262</f>
        <v>5559.37</v>
      </c>
      <c r="K1262" s="3"/>
    </row>
    <row r="1263" customFormat="false" ht="19.5" hidden="false" customHeight="false" outlineLevel="0" collapsed="false">
      <c r="A1263" s="3" t="s">
        <v>177</v>
      </c>
      <c r="B1263" s="3" t="s">
        <v>178</v>
      </c>
      <c r="C1263" s="3" t="s">
        <v>48</v>
      </c>
      <c r="D1263" s="3" t="s">
        <v>8</v>
      </c>
      <c r="E1263" s="3" t="n">
        <v>23700</v>
      </c>
      <c r="F1263" s="3" t="n">
        <v>1200</v>
      </c>
      <c r="G1263" s="3" t="n">
        <v>20</v>
      </c>
      <c r="H1263" s="8" t="n">
        <f aca="false">(E1263/1000)*(F1263/1000)*(G1263/1000)*7850</f>
        <v>4465.08</v>
      </c>
      <c r="I1263" s="3" t="n">
        <v>1</v>
      </c>
      <c r="J1263" s="9" t="n">
        <f aca="false">H1263*I1263</f>
        <v>4465.08</v>
      </c>
      <c r="K1263" s="3"/>
    </row>
    <row r="1264" customFormat="false" ht="19.5" hidden="false" customHeight="false" outlineLevel="0" collapsed="false">
      <c r="A1264" s="3" t="s">
        <v>177</v>
      </c>
      <c r="B1264" s="3" t="s">
        <v>178</v>
      </c>
      <c r="C1264" s="3" t="s">
        <v>49</v>
      </c>
      <c r="D1264" s="3" t="s">
        <v>8</v>
      </c>
      <c r="E1264" s="3" t="n">
        <v>10710</v>
      </c>
      <c r="F1264" s="3" t="n">
        <v>1000</v>
      </c>
      <c r="G1264" s="3" t="n">
        <v>28</v>
      </c>
      <c r="H1264" s="8" t="n">
        <f aca="false">(E1264/1000)*(F1264/1000)*(G1264/1000)*7850</f>
        <v>2354.058</v>
      </c>
      <c r="I1264" s="3" t="n">
        <v>2</v>
      </c>
      <c r="J1264" s="9" t="n">
        <f aca="false">H1264*I1264</f>
        <v>4708.116</v>
      </c>
      <c r="K1264" s="3"/>
    </row>
    <row r="1265" customFormat="false" ht="19.5" hidden="false" customHeight="false" outlineLevel="0" collapsed="false">
      <c r="A1265" s="3" t="s">
        <v>177</v>
      </c>
      <c r="B1265" s="3" t="s">
        <v>178</v>
      </c>
      <c r="C1265" s="3" t="s">
        <v>126</v>
      </c>
      <c r="D1265" s="3" t="s">
        <v>8</v>
      </c>
      <c r="E1265" s="3" t="n">
        <v>20800</v>
      </c>
      <c r="F1265" s="3" t="n">
        <v>1000</v>
      </c>
      <c r="G1265" s="3" t="n">
        <v>40</v>
      </c>
      <c r="H1265" s="8" t="n">
        <f aca="false">(E1265/1000)*(F1265/1000)*(G1265/1000)*7850</f>
        <v>6531.2</v>
      </c>
      <c r="I1265" s="3" t="n">
        <v>2</v>
      </c>
      <c r="J1265" s="9" t="n">
        <f aca="false">H1265*I1265</f>
        <v>13062.4</v>
      </c>
      <c r="K1265" s="3"/>
    </row>
    <row r="1266" customFormat="false" ht="19.5" hidden="false" customHeight="false" outlineLevel="0" collapsed="false">
      <c r="A1266" s="3" t="s">
        <v>177</v>
      </c>
      <c r="B1266" s="3" t="s">
        <v>178</v>
      </c>
      <c r="C1266" s="3" t="s">
        <v>126</v>
      </c>
      <c r="D1266" s="3" t="s">
        <v>8</v>
      </c>
      <c r="E1266" s="3" t="n">
        <v>1580</v>
      </c>
      <c r="F1266" s="3" t="n">
        <v>1200</v>
      </c>
      <c r="G1266" s="3" t="n">
        <v>16</v>
      </c>
      <c r="H1266" s="8" t="n">
        <f aca="false">(E1266/1000)*(F1266/1000)*(G1266/1000)*7850</f>
        <v>238.1376</v>
      </c>
      <c r="I1266" s="3" t="n">
        <v>1</v>
      </c>
      <c r="J1266" s="9" t="n">
        <f aca="false">H1266*I1266</f>
        <v>238.1376</v>
      </c>
      <c r="K1266" s="3"/>
    </row>
    <row r="1267" customFormat="false" ht="19.5" hidden="false" customHeight="false" outlineLevel="0" collapsed="false">
      <c r="A1267" s="3" t="s">
        <v>177</v>
      </c>
      <c r="B1267" s="3" t="s">
        <v>178</v>
      </c>
      <c r="C1267" s="3" t="s">
        <v>126</v>
      </c>
      <c r="D1267" s="3" t="s">
        <v>8</v>
      </c>
      <c r="E1267" s="3" t="n">
        <v>1580</v>
      </c>
      <c r="F1267" s="3" t="n">
        <v>1200</v>
      </c>
      <c r="G1267" s="3" t="n">
        <v>16</v>
      </c>
      <c r="H1267" s="8" t="n">
        <f aca="false">(E1267/1000)*(F1267/1000)*(G1267/1000)*7850</f>
        <v>238.1376</v>
      </c>
      <c r="I1267" s="3" t="n">
        <v>3</v>
      </c>
      <c r="J1267" s="9" t="n">
        <f aca="false">H1267*I1267</f>
        <v>714.4128</v>
      </c>
      <c r="K1267" s="3"/>
    </row>
    <row r="1268" customFormat="false" ht="19.5" hidden="false" customHeight="false" outlineLevel="0" collapsed="false">
      <c r="A1268" s="3" t="s">
        <v>177</v>
      </c>
      <c r="B1268" s="3" t="s">
        <v>178</v>
      </c>
      <c r="C1268" s="3" t="s">
        <v>126</v>
      </c>
      <c r="D1268" s="3" t="s">
        <v>8</v>
      </c>
      <c r="E1268" s="3" t="n">
        <v>1657</v>
      </c>
      <c r="F1268" s="3" t="n">
        <v>200</v>
      </c>
      <c r="G1268" s="3" t="n">
        <v>16</v>
      </c>
      <c r="H1268" s="8" t="n">
        <f aca="false">(E1268/1000)*(F1268/1000)*(G1268/1000)*7850</f>
        <v>41.62384</v>
      </c>
      <c r="I1268" s="3" t="n">
        <v>7</v>
      </c>
      <c r="J1268" s="9" t="n">
        <f aca="false">H1268*I1268</f>
        <v>291.36688</v>
      </c>
      <c r="K1268" s="3"/>
    </row>
    <row r="1269" customFormat="false" ht="19.5" hidden="false" customHeight="false" outlineLevel="0" collapsed="false">
      <c r="A1269" s="3" t="s">
        <v>177</v>
      </c>
      <c r="B1269" s="3" t="s">
        <v>178</v>
      </c>
      <c r="C1269" s="3" t="s">
        <v>126</v>
      </c>
      <c r="D1269" s="3" t="s">
        <v>8</v>
      </c>
      <c r="E1269" s="3" t="n">
        <v>1782</v>
      </c>
      <c r="F1269" s="3" t="n">
        <v>40</v>
      </c>
      <c r="G1269" s="3" t="n">
        <v>4</v>
      </c>
      <c r="H1269" s="8" t="n">
        <f aca="false">(E1269/1000)*(F1269/1000)*(G1269/1000)*7850</f>
        <v>2.238192</v>
      </c>
      <c r="I1269" s="3" t="n">
        <v>4</v>
      </c>
      <c r="J1269" s="9" t="n">
        <f aca="false">H1269*I1269</f>
        <v>8.952768</v>
      </c>
      <c r="K1269" s="3"/>
    </row>
    <row r="1270" customFormat="false" ht="19.5" hidden="false" customHeight="false" outlineLevel="0" collapsed="false">
      <c r="A1270" s="3" t="s">
        <v>177</v>
      </c>
      <c r="B1270" s="3" t="s">
        <v>178</v>
      </c>
      <c r="C1270" s="3" t="s">
        <v>126</v>
      </c>
      <c r="D1270" s="3" t="s">
        <v>8</v>
      </c>
      <c r="E1270" s="3" t="n">
        <v>600</v>
      </c>
      <c r="F1270" s="3" t="n">
        <v>400</v>
      </c>
      <c r="G1270" s="3" t="n">
        <v>16</v>
      </c>
      <c r="H1270" s="8" t="n">
        <f aca="false">(E1270/1000)*(F1270/1000)*(G1270/1000)*7850</f>
        <v>30.144</v>
      </c>
      <c r="I1270" s="3" t="n">
        <v>4</v>
      </c>
      <c r="J1270" s="9" t="n">
        <f aca="false">H1270*I1270</f>
        <v>120.576</v>
      </c>
      <c r="K1270" s="3"/>
    </row>
    <row r="1271" customFormat="false" ht="19.5" hidden="false" customHeight="false" outlineLevel="0" collapsed="false">
      <c r="A1271" s="3" t="s">
        <v>177</v>
      </c>
      <c r="B1271" s="3" t="s">
        <v>178</v>
      </c>
      <c r="C1271" s="3" t="s">
        <v>126</v>
      </c>
      <c r="D1271" s="3" t="s">
        <v>8</v>
      </c>
      <c r="E1271" s="3" t="n">
        <v>5651</v>
      </c>
      <c r="F1271" s="3" t="n">
        <v>240</v>
      </c>
      <c r="G1271" s="3" t="n">
        <v>20</v>
      </c>
      <c r="H1271" s="8" t="n">
        <f aca="false">(E1271/1000)*(F1271/1000)*(G1271/1000)*7850</f>
        <v>212.92968</v>
      </c>
      <c r="I1271" s="3" t="n">
        <v>4</v>
      </c>
      <c r="J1271" s="9" t="n">
        <f aca="false">H1271*I1271</f>
        <v>851.71872</v>
      </c>
      <c r="K1271" s="3"/>
    </row>
    <row r="1272" customFormat="false" ht="19.5" hidden="false" customHeight="false" outlineLevel="0" collapsed="false">
      <c r="A1272" s="3" t="s">
        <v>177</v>
      </c>
      <c r="B1272" s="3" t="s">
        <v>178</v>
      </c>
      <c r="C1272" s="3" t="s">
        <v>66</v>
      </c>
      <c r="D1272" s="3" t="s">
        <v>8</v>
      </c>
      <c r="E1272" s="3" t="n">
        <v>7700</v>
      </c>
      <c r="F1272" s="3" t="n">
        <v>240</v>
      </c>
      <c r="G1272" s="3" t="n">
        <v>20</v>
      </c>
      <c r="H1272" s="8" t="n">
        <f aca="false">(E1272/1000)*(F1272/1000)*(G1272/1000)*7850</f>
        <v>290.136</v>
      </c>
      <c r="I1272" s="3" t="n">
        <v>4</v>
      </c>
      <c r="J1272" s="9" t="n">
        <f aca="false">H1272*I1272</f>
        <v>1160.544</v>
      </c>
      <c r="K1272" s="3"/>
    </row>
    <row r="1273" customFormat="false" ht="19.5" hidden="false" customHeight="false" outlineLevel="0" collapsed="false">
      <c r="A1273" s="3" t="s">
        <v>177</v>
      </c>
      <c r="B1273" s="3" t="s">
        <v>178</v>
      </c>
      <c r="C1273" s="3" t="s">
        <v>127</v>
      </c>
      <c r="D1273" s="3" t="s">
        <v>8</v>
      </c>
      <c r="E1273" s="3" t="n">
        <v>70300</v>
      </c>
      <c r="F1273" s="3" t="n">
        <v>240</v>
      </c>
      <c r="G1273" s="3" t="n">
        <v>20</v>
      </c>
      <c r="H1273" s="8" t="n">
        <f aca="false">(E1273/1000)*(F1273/1000)*(G1273/1000)*7850</f>
        <v>2648.904</v>
      </c>
      <c r="I1273" s="3" t="n">
        <v>4</v>
      </c>
      <c r="J1273" s="9" t="n">
        <f aca="false">H1273*I1273</f>
        <v>10595.616</v>
      </c>
      <c r="K1273" s="3"/>
    </row>
    <row r="1274" customFormat="false" ht="19.5" hidden="false" customHeight="false" outlineLevel="0" collapsed="false">
      <c r="A1274" s="3" t="s">
        <v>177</v>
      </c>
      <c r="B1274" s="3" t="s">
        <v>178</v>
      </c>
      <c r="C1274" s="3" t="s">
        <v>127</v>
      </c>
      <c r="D1274" s="3" t="s">
        <v>8</v>
      </c>
      <c r="E1274" s="3" t="n">
        <v>23650</v>
      </c>
      <c r="F1274" s="3" t="n">
        <v>240</v>
      </c>
      <c r="G1274" s="3" t="n">
        <v>20</v>
      </c>
      <c r="H1274" s="8" t="n">
        <f aca="false">(E1274/1000)*(F1274/1000)*(G1274/1000)*7850</f>
        <v>891.132</v>
      </c>
      <c r="I1274" s="3" t="n">
        <v>1</v>
      </c>
      <c r="J1274" s="9" t="n">
        <f aca="false">H1274*I1274</f>
        <v>891.132</v>
      </c>
      <c r="K1274" s="3"/>
    </row>
    <row r="1275" customFormat="false" ht="19.5" hidden="false" customHeight="false" outlineLevel="0" collapsed="false">
      <c r="A1275" s="3" t="s">
        <v>177</v>
      </c>
      <c r="B1275" s="3" t="s">
        <v>178</v>
      </c>
      <c r="C1275" s="3" t="s">
        <v>127</v>
      </c>
      <c r="D1275" s="3" t="s">
        <v>8</v>
      </c>
      <c r="E1275" s="3" t="n">
        <v>4809</v>
      </c>
      <c r="F1275" s="3" t="n">
        <v>1850</v>
      </c>
      <c r="G1275" s="3" t="n">
        <v>20</v>
      </c>
      <c r="H1275" s="8" t="n">
        <f aca="false">(E1275/1000)*(F1275/1000)*(G1275/1000)*7850</f>
        <v>1396.77405</v>
      </c>
      <c r="I1275" s="3" t="n">
        <v>1</v>
      </c>
      <c r="J1275" s="9" t="n">
        <f aca="false">H1275*I1275</f>
        <v>1396.77405</v>
      </c>
      <c r="K1275" s="3"/>
    </row>
    <row r="1276" customFormat="false" ht="19.5" hidden="false" customHeight="false" outlineLevel="0" collapsed="false">
      <c r="A1276" s="3" t="s">
        <v>177</v>
      </c>
      <c r="B1276" s="3" t="s">
        <v>178</v>
      </c>
      <c r="C1276" s="3" t="s">
        <v>127</v>
      </c>
      <c r="D1276" s="3" t="s">
        <v>8</v>
      </c>
      <c r="E1276" s="3" t="n">
        <v>17804</v>
      </c>
      <c r="F1276" s="3" t="n">
        <v>1850</v>
      </c>
      <c r="G1276" s="3" t="n">
        <v>20</v>
      </c>
      <c r="H1276" s="8" t="n">
        <f aca="false">(E1276/1000)*(F1276/1000)*(G1276/1000)*7850</f>
        <v>5171.1718</v>
      </c>
      <c r="I1276" s="3" t="n">
        <v>1</v>
      </c>
      <c r="J1276" s="9" t="n">
        <f aca="false">H1276*I1276</f>
        <v>5171.1718</v>
      </c>
      <c r="K1276" s="3"/>
    </row>
    <row r="1277" customFormat="false" ht="19.5" hidden="false" customHeight="false" outlineLevel="0" collapsed="false">
      <c r="A1277" s="3" t="s">
        <v>177</v>
      </c>
      <c r="B1277" s="3" t="s">
        <v>178</v>
      </c>
      <c r="C1277" s="3" t="s">
        <v>127</v>
      </c>
      <c r="D1277" s="3" t="s">
        <v>8</v>
      </c>
      <c r="E1277" s="3" t="n">
        <v>9730</v>
      </c>
      <c r="F1277" s="3" t="n">
        <v>1000</v>
      </c>
      <c r="G1277" s="3" t="n">
        <v>36</v>
      </c>
      <c r="H1277" s="8" t="n">
        <f aca="false">(E1277/1000)*(F1277/1000)*(G1277/1000)*7850</f>
        <v>2749.698</v>
      </c>
      <c r="I1277" s="3" t="n">
        <v>1</v>
      </c>
      <c r="J1277" s="9" t="n">
        <f aca="false">H1277*I1277</f>
        <v>2749.698</v>
      </c>
      <c r="K1277" s="3"/>
    </row>
    <row r="1278" customFormat="false" ht="19.5" hidden="false" customHeight="false" outlineLevel="0" collapsed="false">
      <c r="A1278" s="3" t="s">
        <v>177</v>
      </c>
      <c r="B1278" s="3" t="s">
        <v>178</v>
      </c>
      <c r="C1278" s="3" t="s">
        <v>127</v>
      </c>
      <c r="D1278" s="3" t="s">
        <v>8</v>
      </c>
      <c r="E1278" s="3" t="n">
        <v>26070</v>
      </c>
      <c r="F1278" s="3" t="n">
        <v>1000</v>
      </c>
      <c r="G1278" s="3" t="n">
        <v>20</v>
      </c>
      <c r="H1278" s="8" t="n">
        <f aca="false">(E1278/1000)*(F1278/1000)*(G1278/1000)*7850</f>
        <v>4092.99</v>
      </c>
      <c r="I1278" s="3" t="n">
        <v>1</v>
      </c>
      <c r="J1278" s="9" t="n">
        <f aca="false">H1278*I1278</f>
        <v>4092.99</v>
      </c>
      <c r="K1278" s="3"/>
    </row>
    <row r="1279" customFormat="false" ht="19.5" hidden="false" customHeight="false" outlineLevel="0" collapsed="false">
      <c r="A1279" s="3" t="s">
        <v>177</v>
      </c>
      <c r="B1279" s="3" t="s">
        <v>178</v>
      </c>
      <c r="C1279" s="3" t="s">
        <v>132</v>
      </c>
      <c r="D1279" s="3" t="s">
        <v>8</v>
      </c>
      <c r="E1279" s="3" t="n">
        <v>21300</v>
      </c>
      <c r="F1279" s="3" t="n">
        <v>1000</v>
      </c>
      <c r="G1279" s="3" t="n">
        <v>40</v>
      </c>
      <c r="H1279" s="8" t="n">
        <f aca="false">(E1279/1000)*(F1279/1000)*(G1279/1000)*7850</f>
        <v>6688.2</v>
      </c>
      <c r="I1279" s="3" t="n">
        <v>1</v>
      </c>
      <c r="J1279" s="9" t="n">
        <f aca="false">H1279*I1279</f>
        <v>6688.2</v>
      </c>
      <c r="K1279" s="3"/>
    </row>
    <row r="1280" customFormat="false" ht="19.5" hidden="false" customHeight="false" outlineLevel="0" collapsed="false">
      <c r="A1280" s="3" t="s">
        <v>177</v>
      </c>
      <c r="B1280" s="3" t="s">
        <v>178</v>
      </c>
      <c r="C1280" s="3" t="s">
        <v>55</v>
      </c>
      <c r="D1280" s="3" t="s">
        <v>8</v>
      </c>
      <c r="E1280" s="3" t="n">
        <v>2792</v>
      </c>
      <c r="F1280" s="3" t="n">
        <v>320</v>
      </c>
      <c r="G1280" s="3" t="n">
        <v>32</v>
      </c>
      <c r="H1280" s="8" t="n">
        <f aca="false">(E1280/1000)*(F1280/1000)*(G1280/1000)*7850</f>
        <v>224.432128</v>
      </c>
      <c r="I1280" s="3" t="n">
        <v>2</v>
      </c>
      <c r="J1280" s="9" t="n">
        <f aca="false">H1280*I1280</f>
        <v>448.864256</v>
      </c>
      <c r="K1280" s="3"/>
    </row>
    <row r="1281" customFormat="false" ht="19.5" hidden="false" customHeight="false" outlineLevel="0" collapsed="false">
      <c r="A1281" s="3" t="s">
        <v>177</v>
      </c>
      <c r="B1281" s="3" t="s">
        <v>178</v>
      </c>
      <c r="C1281" s="3" t="s">
        <v>56</v>
      </c>
      <c r="D1281" s="3" t="s">
        <v>8</v>
      </c>
      <c r="E1281" s="3" t="n">
        <v>10103</v>
      </c>
      <c r="F1281" s="3" t="n">
        <v>240</v>
      </c>
      <c r="G1281" s="3" t="n">
        <v>20</v>
      </c>
      <c r="H1281" s="8" t="n">
        <f aca="false">(E1281/1000)*(F1281/1000)*(G1281/1000)*7850</f>
        <v>380.68104</v>
      </c>
      <c r="I1281" s="3" t="n">
        <v>2</v>
      </c>
      <c r="J1281" s="9" t="n">
        <f aca="false">H1281*I1281</f>
        <v>761.36208</v>
      </c>
      <c r="K1281" s="3"/>
    </row>
    <row r="1282" customFormat="false" ht="19.5" hidden="false" customHeight="false" outlineLevel="0" collapsed="false">
      <c r="A1282" s="3" t="s">
        <v>177</v>
      </c>
      <c r="B1282" s="3" t="s">
        <v>178</v>
      </c>
      <c r="C1282" s="3" t="s">
        <v>56</v>
      </c>
      <c r="D1282" s="3" t="s">
        <v>8</v>
      </c>
      <c r="E1282" s="3" t="n">
        <v>7700</v>
      </c>
      <c r="F1282" s="3" t="n">
        <v>240</v>
      </c>
      <c r="G1282" s="3" t="n">
        <v>20</v>
      </c>
      <c r="H1282" s="8" t="n">
        <f aca="false">(E1282/1000)*(F1282/1000)*(G1282/1000)*7850</f>
        <v>290.136</v>
      </c>
      <c r="I1282" s="3" t="n">
        <v>2</v>
      </c>
      <c r="J1282" s="9" t="n">
        <f aca="false">H1282*I1282</f>
        <v>580.272</v>
      </c>
      <c r="K1282" s="3"/>
    </row>
    <row r="1283" customFormat="false" ht="19.5" hidden="false" customHeight="false" outlineLevel="0" collapsed="false">
      <c r="A1283" s="3" t="s">
        <v>177</v>
      </c>
      <c r="B1283" s="3" t="s">
        <v>178</v>
      </c>
      <c r="C1283" s="3" t="s">
        <v>56</v>
      </c>
      <c r="D1283" s="3" t="s">
        <v>8</v>
      </c>
      <c r="E1283" s="3" t="n">
        <v>17803</v>
      </c>
      <c r="F1283" s="3" t="n">
        <v>240</v>
      </c>
      <c r="G1283" s="3" t="n">
        <v>20</v>
      </c>
      <c r="H1283" s="8" t="n">
        <f aca="false">(E1283/1000)*(F1283/1000)*(G1283/1000)*7850</f>
        <v>670.81704</v>
      </c>
      <c r="I1283" s="3" t="n">
        <v>2</v>
      </c>
      <c r="J1283" s="9" t="n">
        <f aca="false">H1283*I1283</f>
        <v>1341.63408</v>
      </c>
      <c r="K1283" s="3"/>
    </row>
    <row r="1284" customFormat="false" ht="19.5" hidden="false" customHeight="false" outlineLevel="0" collapsed="false">
      <c r="A1284" s="3" t="s">
        <v>177</v>
      </c>
      <c r="B1284" s="3" t="s">
        <v>178</v>
      </c>
      <c r="C1284" s="3" t="s">
        <v>134</v>
      </c>
      <c r="D1284" s="3" t="s">
        <v>8</v>
      </c>
      <c r="E1284" s="3" t="n">
        <v>20592</v>
      </c>
      <c r="F1284" s="3" t="n">
        <v>170</v>
      </c>
      <c r="G1284" s="3" t="n">
        <v>14</v>
      </c>
      <c r="H1284" s="8" t="n">
        <f aca="false">(E1284/1000)*(F1284/1000)*(G1284/1000)*7850</f>
        <v>384.720336</v>
      </c>
      <c r="I1284" s="3" t="n">
        <v>1</v>
      </c>
      <c r="J1284" s="9" t="n">
        <f aca="false">H1284*I1284</f>
        <v>384.720336</v>
      </c>
      <c r="K1284" s="3"/>
    </row>
    <row r="1285" customFormat="false" ht="19.5" hidden="false" customHeight="false" outlineLevel="0" collapsed="false">
      <c r="A1285" s="3" t="s">
        <v>177</v>
      </c>
      <c r="B1285" s="3" t="s">
        <v>178</v>
      </c>
      <c r="C1285" s="3" t="s">
        <v>58</v>
      </c>
      <c r="D1285" s="3" t="s">
        <v>8</v>
      </c>
      <c r="E1285" s="3" t="n">
        <v>11768</v>
      </c>
      <c r="F1285" s="3" t="n">
        <v>1200</v>
      </c>
      <c r="G1285" s="3" t="n">
        <v>36</v>
      </c>
      <c r="H1285" s="8" t="n">
        <f aca="false">(E1285/1000)*(F1285/1000)*(G1285/1000)*7850</f>
        <v>3990.76416</v>
      </c>
      <c r="I1285" s="3" t="n">
        <v>1</v>
      </c>
      <c r="J1285" s="9" t="n">
        <f aca="false">H1285*I1285</f>
        <v>3990.76416</v>
      </c>
      <c r="K1285" s="3"/>
    </row>
    <row r="1286" customFormat="false" ht="19.5" hidden="false" customHeight="false" outlineLevel="0" collapsed="false">
      <c r="A1286" s="3" t="s">
        <v>177</v>
      </c>
      <c r="B1286" s="3" t="s">
        <v>178</v>
      </c>
      <c r="C1286" s="3" t="s">
        <v>59</v>
      </c>
      <c r="D1286" s="3" t="s">
        <v>8</v>
      </c>
      <c r="E1286" s="3" t="n">
        <v>7568</v>
      </c>
      <c r="F1286" s="3" t="n">
        <v>1360</v>
      </c>
      <c r="G1286" s="3" t="n">
        <v>36</v>
      </c>
      <c r="H1286" s="8" t="n">
        <f aca="false">(E1286/1000)*(F1286/1000)*(G1286/1000)*7850</f>
        <v>2908.654848</v>
      </c>
      <c r="I1286" s="3" t="n">
        <v>2</v>
      </c>
      <c r="J1286" s="9" t="n">
        <f aca="false">H1286*I1286</f>
        <v>5817.309696</v>
      </c>
      <c r="K1286" s="3"/>
    </row>
    <row r="1287" customFormat="false" ht="19.5" hidden="false" customHeight="false" outlineLevel="0" collapsed="false">
      <c r="A1287" s="3" t="s">
        <v>177</v>
      </c>
      <c r="B1287" s="3" t="s">
        <v>178</v>
      </c>
      <c r="C1287" s="3" t="s">
        <v>74</v>
      </c>
      <c r="D1287" s="3" t="s">
        <v>8</v>
      </c>
      <c r="E1287" s="3" t="n">
        <v>10368</v>
      </c>
      <c r="F1287" s="3" t="n">
        <v>320</v>
      </c>
      <c r="G1287" s="3" t="n">
        <v>32</v>
      </c>
      <c r="H1287" s="8" t="n">
        <f aca="false">(E1287/1000)*(F1287/1000)*(G1287/1000)*7850</f>
        <v>833.421312</v>
      </c>
      <c r="I1287" s="3" t="n">
        <v>1</v>
      </c>
      <c r="J1287" s="9" t="n">
        <f aca="false">H1287*I1287</f>
        <v>833.421312</v>
      </c>
      <c r="K1287" s="3"/>
    </row>
    <row r="1288" customFormat="false" ht="19.5" hidden="false" customHeight="false" outlineLevel="0" collapsed="false">
      <c r="A1288" s="3" t="s">
        <v>177</v>
      </c>
      <c r="B1288" s="3" t="s">
        <v>178</v>
      </c>
      <c r="C1288" s="3" t="s">
        <v>82</v>
      </c>
      <c r="D1288" s="3" t="s">
        <v>8</v>
      </c>
      <c r="E1288" s="3" t="n">
        <v>1200</v>
      </c>
      <c r="F1288" s="3" t="n">
        <v>1200</v>
      </c>
      <c r="G1288" s="3" t="n">
        <v>16</v>
      </c>
      <c r="H1288" s="8" t="n">
        <f aca="false">(E1288/1000)*(F1288/1000)*(G1288/1000)*7850</f>
        <v>180.864</v>
      </c>
      <c r="I1288" s="3" t="n">
        <v>3</v>
      </c>
      <c r="J1288" s="9" t="n">
        <f aca="false">H1288*I1288</f>
        <v>542.592</v>
      </c>
      <c r="K1288" s="3"/>
    </row>
    <row r="1289" customFormat="false" ht="19.5" hidden="false" customHeight="false" outlineLevel="0" collapsed="false">
      <c r="A1289" s="3" t="s">
        <v>177</v>
      </c>
      <c r="B1289" s="3" t="s">
        <v>178</v>
      </c>
      <c r="C1289" s="3" t="s">
        <v>61</v>
      </c>
      <c r="D1289" s="3" t="s">
        <v>8</v>
      </c>
      <c r="E1289" s="3" t="n">
        <v>11917</v>
      </c>
      <c r="F1289" s="3" t="n">
        <v>1200</v>
      </c>
      <c r="G1289" s="3" t="n">
        <v>36</v>
      </c>
      <c r="H1289" s="8" t="n">
        <f aca="false">(E1289/1000)*(F1289/1000)*(G1289/1000)*7850</f>
        <v>4041.29304</v>
      </c>
      <c r="I1289" s="3" t="n">
        <v>1</v>
      </c>
      <c r="J1289" s="9" t="n">
        <f aca="false">H1289*I1289</f>
        <v>4041.29304</v>
      </c>
      <c r="K1289" s="3"/>
    </row>
    <row r="1290" customFormat="false" ht="19.5" hidden="false" customHeight="false" outlineLevel="0" collapsed="false">
      <c r="A1290" s="3" t="s">
        <v>177</v>
      </c>
      <c r="B1290" s="3" t="s">
        <v>178</v>
      </c>
      <c r="C1290" s="3" t="s">
        <v>102</v>
      </c>
      <c r="D1290" s="3" t="s">
        <v>8</v>
      </c>
      <c r="E1290" s="3" t="n">
        <v>12317</v>
      </c>
      <c r="F1290" s="3" t="n">
        <v>1200</v>
      </c>
      <c r="G1290" s="3" t="n">
        <v>36</v>
      </c>
      <c r="H1290" s="8" t="n">
        <f aca="false">(E1290/1000)*(F1290/1000)*(G1290/1000)*7850</f>
        <v>4176.94104</v>
      </c>
      <c r="I1290" s="3" t="n">
        <v>1</v>
      </c>
      <c r="J1290" s="9" t="n">
        <f aca="false">H1290*I1290</f>
        <v>4176.94104</v>
      </c>
      <c r="K1290" s="3"/>
    </row>
    <row r="1291" customFormat="false" ht="19.5" hidden="false" customHeight="false" outlineLevel="0" collapsed="false">
      <c r="A1291" s="3" t="s">
        <v>177</v>
      </c>
      <c r="B1291" s="3" t="s">
        <v>178</v>
      </c>
      <c r="C1291" s="3" t="s">
        <v>85</v>
      </c>
      <c r="D1291" s="3" t="s">
        <v>8</v>
      </c>
      <c r="E1291" s="3" t="n">
        <v>7717</v>
      </c>
      <c r="F1291" s="3" t="n">
        <v>1360</v>
      </c>
      <c r="G1291" s="3" t="n">
        <v>36</v>
      </c>
      <c r="H1291" s="8" t="n">
        <f aca="false">(E1291/1000)*(F1291/1000)*(G1291/1000)*7850</f>
        <v>2965.920912</v>
      </c>
      <c r="I1291" s="3" t="n">
        <v>2</v>
      </c>
      <c r="J1291" s="9" t="n">
        <f aca="false">H1291*I1291</f>
        <v>5931.841824</v>
      </c>
      <c r="K1291" s="3"/>
    </row>
    <row r="1292" customFormat="false" ht="19.5" hidden="false" customHeight="false" outlineLevel="0" collapsed="false">
      <c r="A1292" s="3" t="s">
        <v>177</v>
      </c>
      <c r="B1292" s="3" t="s">
        <v>178</v>
      </c>
      <c r="C1292" s="3" t="s">
        <v>86</v>
      </c>
      <c r="D1292" s="3" t="s">
        <v>8</v>
      </c>
      <c r="E1292" s="3" t="n">
        <v>7717</v>
      </c>
      <c r="F1292" s="3" t="n">
        <v>320</v>
      </c>
      <c r="G1292" s="3" t="n">
        <v>32</v>
      </c>
      <c r="H1292" s="8" t="n">
        <f aca="false">(E1292/1000)*(F1292/1000)*(G1292/1000)*7850</f>
        <v>620.323328</v>
      </c>
      <c r="I1292" s="3" t="n">
        <v>2</v>
      </c>
      <c r="J1292" s="9" t="n">
        <f aca="false">H1292*I1292</f>
        <v>1240.646656</v>
      </c>
      <c r="K1292" s="3"/>
    </row>
    <row r="1293" customFormat="false" ht="19.5" hidden="false" customHeight="false" outlineLevel="0" collapsed="false">
      <c r="A1293" s="3" t="s">
        <v>177</v>
      </c>
      <c r="B1293" s="3" t="s">
        <v>178</v>
      </c>
      <c r="C1293" s="3" t="s">
        <v>103</v>
      </c>
      <c r="D1293" s="3" t="s">
        <v>8</v>
      </c>
      <c r="E1293" s="3" t="n">
        <v>11217</v>
      </c>
      <c r="F1293" s="3" t="n">
        <v>320</v>
      </c>
      <c r="G1293" s="3" t="n">
        <v>32</v>
      </c>
      <c r="H1293" s="8" t="n">
        <f aca="false">(E1293/1000)*(F1293/1000)*(G1293/1000)*7850</f>
        <v>901.667328</v>
      </c>
      <c r="I1293" s="3" t="n">
        <v>1</v>
      </c>
      <c r="J1293" s="9" t="n">
        <f aca="false">H1293*I1293</f>
        <v>901.667328</v>
      </c>
      <c r="K1293" s="3"/>
    </row>
    <row r="1294" customFormat="false" ht="19.5" hidden="false" customHeight="false" outlineLevel="0" collapsed="false">
      <c r="A1294" s="3" t="s">
        <v>177</v>
      </c>
      <c r="B1294" s="3" t="s">
        <v>178</v>
      </c>
      <c r="C1294" s="3" t="s">
        <v>104</v>
      </c>
      <c r="D1294" s="3" t="s">
        <v>8</v>
      </c>
      <c r="E1294" s="3" t="n">
        <v>11617</v>
      </c>
      <c r="F1294" s="3" t="n">
        <v>320</v>
      </c>
      <c r="G1294" s="3" t="n">
        <v>32</v>
      </c>
      <c r="H1294" s="8" t="n">
        <f aca="false">(E1294/1000)*(F1294/1000)*(G1294/1000)*7850</f>
        <v>933.820928</v>
      </c>
      <c r="I1294" s="3" t="n">
        <v>1</v>
      </c>
      <c r="J1294" s="9" t="n">
        <f aca="false">H1294*I1294</f>
        <v>933.820928</v>
      </c>
      <c r="K1294" s="3"/>
    </row>
    <row r="1295" customFormat="false" ht="19.5" hidden="false" customHeight="false" outlineLevel="0" collapsed="false">
      <c r="A1295" s="3" t="s">
        <v>177</v>
      </c>
      <c r="B1295" s="3" t="s">
        <v>178</v>
      </c>
      <c r="C1295" s="3" t="s">
        <v>107</v>
      </c>
      <c r="D1295" s="3" t="s">
        <v>8</v>
      </c>
      <c r="E1295" s="3" t="n">
        <v>1200</v>
      </c>
      <c r="F1295" s="3" t="n">
        <v>1200</v>
      </c>
      <c r="G1295" s="3" t="n">
        <v>16</v>
      </c>
      <c r="H1295" s="8" t="n">
        <f aca="false">(E1295/1000)*(F1295/1000)*(G1295/1000)*7850</f>
        <v>180.864</v>
      </c>
      <c r="I1295" s="3" t="n">
        <v>3</v>
      </c>
      <c r="J1295" s="9" t="n">
        <f aca="false">H1295*I1295</f>
        <v>542.592</v>
      </c>
      <c r="K1295" s="3"/>
    </row>
    <row r="1296" customFormat="false" ht="19.5" hidden="false" customHeight="false" outlineLevel="0" collapsed="false">
      <c r="A1296" s="3" t="s">
        <v>177</v>
      </c>
      <c r="B1296" s="3" t="s">
        <v>178</v>
      </c>
      <c r="C1296" s="3" t="s">
        <v>97</v>
      </c>
      <c r="D1296" s="3" t="s">
        <v>8</v>
      </c>
      <c r="E1296" s="3" t="n">
        <v>10637</v>
      </c>
      <c r="F1296" s="3" t="n">
        <v>1200</v>
      </c>
      <c r="G1296" s="3" t="n">
        <v>20</v>
      </c>
      <c r="H1296" s="8" t="n">
        <f aca="false">(E1296/1000)*(F1296/1000)*(G1296/1000)*7850</f>
        <v>2004.0108</v>
      </c>
      <c r="I1296" s="3" t="n">
        <v>1</v>
      </c>
      <c r="J1296" s="9" t="n">
        <f aca="false">H1296*I1296</f>
        <v>2004.0108</v>
      </c>
      <c r="K1296" s="3"/>
    </row>
    <row r="1297" customFormat="false" ht="19.5" hidden="false" customHeight="false" outlineLevel="0" collapsed="false">
      <c r="A1297" s="3" t="s">
        <v>177</v>
      </c>
      <c r="B1297" s="3" t="s">
        <v>178</v>
      </c>
      <c r="C1297" s="3" t="s">
        <v>87</v>
      </c>
      <c r="D1297" s="3" t="s">
        <v>8</v>
      </c>
      <c r="E1297" s="3" t="n">
        <v>9087</v>
      </c>
      <c r="F1297" s="3" t="n">
        <v>1200</v>
      </c>
      <c r="G1297" s="3" t="n">
        <v>20</v>
      </c>
      <c r="H1297" s="8" t="n">
        <f aca="false">(E1297/1000)*(F1297/1000)*(G1297/1000)*7850</f>
        <v>1711.9908</v>
      </c>
      <c r="I1297" s="3" t="n">
        <v>1</v>
      </c>
      <c r="J1297" s="9" t="n">
        <f aca="false">H1297*I1297</f>
        <v>1711.9908</v>
      </c>
      <c r="K1297" s="3"/>
    </row>
    <row r="1298" customFormat="false" ht="19.5" hidden="false" customHeight="false" outlineLevel="0" collapsed="false">
      <c r="A1298" s="3" t="s">
        <v>177</v>
      </c>
      <c r="B1298" s="3" t="s">
        <v>178</v>
      </c>
      <c r="C1298" s="3" t="s">
        <v>88</v>
      </c>
      <c r="D1298" s="3" t="s">
        <v>8</v>
      </c>
      <c r="E1298" s="3" t="n">
        <v>6737</v>
      </c>
      <c r="F1298" s="3" t="n">
        <v>1500</v>
      </c>
      <c r="G1298" s="3" t="n">
        <v>20</v>
      </c>
      <c r="H1298" s="8" t="n">
        <f aca="false">(E1298/1000)*(F1298/1000)*(G1298/1000)*7850</f>
        <v>1586.5635</v>
      </c>
      <c r="I1298" s="3" t="n">
        <v>1</v>
      </c>
      <c r="J1298" s="9" t="n">
        <f aca="false">H1298*I1298</f>
        <v>1586.5635</v>
      </c>
      <c r="K1298" s="3"/>
    </row>
    <row r="1299" customFormat="false" ht="19.5" hidden="false" customHeight="false" outlineLevel="0" collapsed="false">
      <c r="A1299" s="3" t="s">
        <v>177</v>
      </c>
      <c r="B1299" s="3" t="s">
        <v>178</v>
      </c>
      <c r="C1299" s="3" t="s">
        <v>90</v>
      </c>
      <c r="D1299" s="3" t="s">
        <v>8</v>
      </c>
      <c r="E1299" s="3" t="n">
        <v>9237</v>
      </c>
      <c r="F1299" s="3" t="n">
        <v>190</v>
      </c>
      <c r="G1299" s="3" t="n">
        <v>16</v>
      </c>
      <c r="H1299" s="8" t="n">
        <f aca="false">(E1299/1000)*(F1299/1000)*(G1299/1000)*7850</f>
        <v>220.431768</v>
      </c>
      <c r="I1299" s="3" t="n">
        <v>1</v>
      </c>
      <c r="J1299" s="9" t="n">
        <f aca="false">H1299*I1299</f>
        <v>220.431768</v>
      </c>
      <c r="K1299" s="3"/>
    </row>
    <row r="1301" customFormat="false" ht="15" hidden="false" customHeight="false" outlineLevel="0" collapsed="false">
      <c r="A1301" s="10" t="s">
        <v>179</v>
      </c>
    </row>
    <row r="1302" customFormat="false" ht="15" hidden="false" customHeight="false" outlineLevel="0" collapsed="false">
      <c r="A1302" s="2" t="s">
        <v>31</v>
      </c>
      <c r="B1302" s="2" t="n">
        <v>4</v>
      </c>
      <c r="C1302" s="2" t="n">
        <v>6</v>
      </c>
      <c r="D1302" s="2" t="n">
        <v>8</v>
      </c>
      <c r="E1302" s="2" t="n">
        <v>10</v>
      </c>
      <c r="F1302" s="2" t="n">
        <v>12</v>
      </c>
      <c r="G1302" s="2" t="n">
        <v>14</v>
      </c>
      <c r="H1302" s="2" t="n">
        <v>16</v>
      </c>
      <c r="I1302" s="2" t="n">
        <v>20</v>
      </c>
      <c r="J1302" s="2" t="n">
        <v>24</v>
      </c>
      <c r="K1302" s="2" t="n">
        <v>28</v>
      </c>
      <c r="L1302" s="2" t="n">
        <v>32</v>
      </c>
      <c r="M1302" s="2" t="n">
        <v>36</v>
      </c>
      <c r="N1302" s="2" t="n">
        <v>40</v>
      </c>
      <c r="O1302" s="2" t="n">
        <v>44</v>
      </c>
      <c r="P1302" s="2" t="n">
        <v>48</v>
      </c>
      <c r="Q1302" s="2" t="n">
        <v>50</v>
      </c>
      <c r="R1302" s="2" t="n">
        <v>60</v>
      </c>
      <c r="S1302" s="2" t="n">
        <v>80</v>
      </c>
      <c r="T1302" s="2" t="n">
        <v>100</v>
      </c>
      <c r="U1302" s="2" t="s">
        <v>10</v>
      </c>
    </row>
    <row r="1303" customFormat="false" ht="15" hidden="false" customHeight="false" outlineLevel="0" collapsed="false">
      <c r="A1303" s="3" t="s">
        <v>180</v>
      </c>
      <c r="B1303" s="9" t="n">
        <f aca="false">SUMIFS($J$4:$J$1299,$D$4:$D$1299,$A1303,$G$4:$G$1299,B$1302)</f>
        <v>0</v>
      </c>
      <c r="C1303" s="9" t="n">
        <f aca="false">SUMIFS($J$4:$J$1299,$D$4:$D$1299,$A1303,$G$4:$G$1299,C$1302)</f>
        <v>0</v>
      </c>
      <c r="D1303" s="9" t="n">
        <f aca="false">SUMIFS($J$4:$J$1299,$D$4:$D$1299,$A1303,$G$4:$G$1299,D$1302)</f>
        <v>0</v>
      </c>
      <c r="E1303" s="9" t="n">
        <f aca="false">SUMIFS($J$4:$J$1299,$D$4:$D$1299,$A1303,$G$4:$G$1299,E$1302)</f>
        <v>0</v>
      </c>
      <c r="F1303" s="9" t="n">
        <f aca="false">SUMIFS($J$4:$J$1299,$D$4:$D$1299,$A1303,$G$4:$G$1299,F$1302)</f>
        <v>0</v>
      </c>
      <c r="G1303" s="9" t="n">
        <f aca="false">SUMIFS($J$4:$J$1299,$D$4:$D$1299,$A1303,$G$4:$G$1299,G$1302)</f>
        <v>0</v>
      </c>
      <c r="H1303" s="9" t="n">
        <f aca="false">SUMIFS($J$4:$J$1299,$D$4:$D$1299,$A1303,$G$4:$G$1299,H$1302)</f>
        <v>0</v>
      </c>
      <c r="I1303" s="9" t="n">
        <f aca="false">SUMIFS($J$4:$J$1299,$D$4:$D$1299,$A1303,$G$4:$G$1299,I$1302)</f>
        <v>0</v>
      </c>
      <c r="J1303" s="9" t="n">
        <f aca="false">SUMIFS($J$4:$J$1299,$D$4:$D$1299,$A1303,$G$4:$G$1299,J$1302)</f>
        <v>0</v>
      </c>
      <c r="K1303" s="9" t="n">
        <f aca="false">SUMIFS($J$4:$J$1299,$D$4:$D$1299,$A1303,$G$4:$G$1299,K$1302)</f>
        <v>0</v>
      </c>
      <c r="L1303" s="9" t="n">
        <f aca="false">SUMIFS($J$4:$J$1299,$D$4:$D$1299,$A1303,$G$4:$G$1299,L$1302)</f>
        <v>0</v>
      </c>
      <c r="M1303" s="9" t="n">
        <f aca="false">SUMIFS($J$4:$J$1299,$D$4:$D$1299,$A1303,$G$4:$G$1299,M$1302)</f>
        <v>0</v>
      </c>
      <c r="N1303" s="9" t="n">
        <f aca="false">SUMIFS($J$4:$J$1299,$D$4:$D$1299,$A1303,$G$4:$G$1299,N$1302)</f>
        <v>0</v>
      </c>
      <c r="O1303" s="9" t="n">
        <f aca="false">SUMIFS($J$4:$J$1299,$D$4:$D$1299,$A1303,$G$4:$G$1299,O$1302)</f>
        <v>0</v>
      </c>
      <c r="P1303" s="9" t="n">
        <f aca="false">SUMIFS($J$4:$J$1299,$D$4:$D$1299,$A1303,$G$4:$G$1299,P$1302)</f>
        <v>0</v>
      </c>
      <c r="Q1303" s="9" t="n">
        <f aca="false">SUMIFS($J$4:$J$1299,$D$4:$D$1299,$A1303,$G$4:$G$1299,Q$1302)</f>
        <v>0</v>
      </c>
      <c r="R1303" s="9" t="n">
        <f aca="false">SUMIFS($J$4:$J$1299,$D$4:$D$1299,$A1303,$G$4:$G$1299,R$1302)</f>
        <v>0</v>
      </c>
      <c r="S1303" s="9" t="n">
        <f aca="false">SUMIFS($J$4:$J$1299,$D$4:$D$1299,$A1303,$G$4:$G$1299,S$1302)</f>
        <v>0</v>
      </c>
      <c r="T1303" s="9" t="n">
        <f aca="false">SUMIFS($J$4:$J$1299,$D$4:$D$1299,$A1303,$G$4:$G$1299,T$1302)</f>
        <v>0</v>
      </c>
      <c r="U1303" s="0" t="n">
        <f aca="false">SUM(B1303:T1303)</f>
        <v>0</v>
      </c>
    </row>
    <row r="1304" customFormat="false" ht="15" hidden="false" customHeight="false" outlineLevel="0" collapsed="false">
      <c r="A1304" s="3" t="s">
        <v>8</v>
      </c>
      <c r="B1304" s="9" t="n">
        <f aca="false">SUMIFS($J$4:$J$1299,$D$4:$D$1299,$A1304,$G$4:$G$1299,B$1302)</f>
        <v>8.952768</v>
      </c>
      <c r="C1304" s="9" t="n">
        <f aca="false">SUMIFS($J$4:$J$1299,$D$4:$D$1299,$A1304,$G$4:$G$1299,C$1302)</f>
        <v>0</v>
      </c>
      <c r="D1304" s="9" t="n">
        <f aca="false">SUMIFS($J$4:$J$1299,$D$4:$D$1299,$A1304,$G$4:$G$1299,D$1302)</f>
        <v>0</v>
      </c>
      <c r="E1304" s="9" t="n">
        <f aca="false">SUMIFS($J$4:$J$1299,$D$4:$D$1299,$A1304,$G$4:$G$1299,E$1302)</f>
        <v>0</v>
      </c>
      <c r="F1304" s="9" t="n">
        <f aca="false">SUMIFS($J$4:$J$1299,$D$4:$D$1299,$A1304,$G$4:$G$1299,F$1302)</f>
        <v>0</v>
      </c>
      <c r="G1304" s="9" t="n">
        <f aca="false">SUMIFS($J$4:$J$1299,$D$4:$D$1299,$A1304,$G$4:$G$1299,G$1302)</f>
        <v>38352.0113704</v>
      </c>
      <c r="H1304" s="9" t="n">
        <f aca="false">SUMIFS($J$4:$J$1299,$D$4:$D$1299,$A1304,$G$4:$G$1299,H$1302)</f>
        <v>26954.95948</v>
      </c>
      <c r="I1304" s="9" t="n">
        <f aca="false">SUMIFS($J$4:$J$1299,$D$4:$D$1299,$A1304,$G$4:$G$1299,I$1302)</f>
        <v>390297.682814</v>
      </c>
      <c r="J1304" s="9" t="n">
        <f aca="false">SUMIFS($J$4:$J$1299,$D$4:$D$1299,$A1304,$G$4:$G$1299,J$1302)</f>
        <v>310082.966808</v>
      </c>
      <c r="K1304" s="9" t="n">
        <f aca="false">SUMIFS($J$4:$J$1299,$D$4:$D$1299,$A1304,$G$4:$G$1299,K$1302)</f>
        <v>55654.76672</v>
      </c>
      <c r="L1304" s="9" t="n">
        <f aca="false">SUMIFS($J$4:$J$1299,$D$4:$D$1299,$A1304,$G$4:$G$1299,L$1302)</f>
        <v>420230.1368064</v>
      </c>
      <c r="M1304" s="9" t="n">
        <f aca="false">SUMIFS($J$4:$J$1299,$D$4:$D$1299,$A1304,$G$4:$G$1299,M$1302)</f>
        <v>526368.295728</v>
      </c>
      <c r="N1304" s="9" t="n">
        <f aca="false">SUMIFS($J$4:$J$1299,$D$4:$D$1299,$A1304,$G$4:$G$1299,N$1302)</f>
        <v>507485.71984</v>
      </c>
      <c r="O1304" s="9" t="n">
        <f aca="false">SUMIFS($J$4:$J$1299,$D$4:$D$1299,$A1304,$G$4:$G$1299,O$1302)</f>
        <v>170475.624</v>
      </c>
      <c r="P1304" s="9" t="n">
        <f aca="false">SUMIFS($J$4:$J$1299,$D$4:$D$1299,$A1304,$G$4:$G$1299,P$1302)</f>
        <v>33852.797184</v>
      </c>
      <c r="Q1304" s="9" t="n">
        <f aca="false">SUMIFS($J$4:$J$1299,$D$4:$D$1299,$A1304,$G$4:$G$1299,Q$1302)</f>
        <v>0</v>
      </c>
      <c r="R1304" s="9" t="n">
        <f aca="false">SUMIFS($J$4:$J$1299,$D$4:$D$1299,$A1304,$G$4:$G$1299,R$1302)</f>
        <v>0</v>
      </c>
      <c r="S1304" s="9" t="n">
        <f aca="false">SUMIFS($J$4:$J$1299,$D$4:$D$1299,$A1304,$G$4:$G$1299,S$1302)</f>
        <v>0</v>
      </c>
      <c r="T1304" s="9" t="n">
        <f aca="false">SUMIFS($J$4:$J$1299,$D$4:$D$1299,$A1304,$G$4:$G$1299,T$1302)</f>
        <v>0</v>
      </c>
      <c r="U1304" s="0" t="n">
        <f aca="false">SUM(B1304:T1304)</f>
        <v>2479763.9135188</v>
      </c>
    </row>
    <row r="1305" customFormat="false" ht="15" hidden="false" customHeight="false" outlineLevel="0" collapsed="false">
      <c r="A1305" s="3" t="s">
        <v>9</v>
      </c>
      <c r="B1305" s="9" t="n">
        <f aca="false">SUMIFS($J$4:$J$1299,$D$4:$D$1299,$A1305,$G$4:$G$1299,B$1302)</f>
        <v>0</v>
      </c>
      <c r="C1305" s="9" t="n">
        <f aca="false">SUMIFS($J$4:$J$1299,$D$4:$D$1299,$A1305,$G$4:$G$1299,C$1302)</f>
        <v>0</v>
      </c>
      <c r="D1305" s="9" t="n">
        <f aca="false">SUMIFS($J$4:$J$1299,$D$4:$D$1299,$A1305,$G$4:$G$1299,D$1302)</f>
        <v>0</v>
      </c>
      <c r="E1305" s="9" t="n">
        <f aca="false">SUMIFS($J$4:$J$1299,$D$4:$D$1299,$A1305,$G$4:$G$1299,E$1302)</f>
        <v>0</v>
      </c>
      <c r="F1305" s="9" t="n">
        <f aca="false">SUMIFS($J$4:$J$1299,$D$4:$D$1299,$A1305,$G$4:$G$1299,F$1302)</f>
        <v>0</v>
      </c>
      <c r="G1305" s="9" t="n">
        <f aca="false">SUMIFS($J$4:$J$1299,$D$4:$D$1299,$A1305,$G$4:$G$1299,G$1302)</f>
        <v>2516.992443</v>
      </c>
      <c r="H1305" s="9" t="n">
        <f aca="false">SUMIFS($J$4:$J$1299,$D$4:$D$1299,$A1305,$G$4:$G$1299,H$1302)</f>
        <v>8960.304</v>
      </c>
      <c r="I1305" s="9" t="n">
        <f aca="false">SUMIFS($J$4:$J$1299,$D$4:$D$1299,$A1305,$G$4:$G$1299,I$1302)</f>
        <v>0</v>
      </c>
      <c r="J1305" s="9" t="n">
        <f aca="false">SUMIFS($J$4:$J$1299,$D$4:$D$1299,$A1305,$G$4:$G$1299,J$1302)</f>
        <v>0</v>
      </c>
      <c r="K1305" s="9" t="n">
        <f aca="false">SUMIFS($J$4:$J$1299,$D$4:$D$1299,$A1305,$G$4:$G$1299,K$1302)</f>
        <v>0</v>
      </c>
      <c r="L1305" s="9" t="n">
        <f aca="false">SUMIFS($J$4:$J$1299,$D$4:$D$1299,$A1305,$G$4:$G$1299,L$1302)</f>
        <v>168532.245344</v>
      </c>
      <c r="M1305" s="9" t="n">
        <f aca="false">SUMIFS($J$4:$J$1299,$D$4:$D$1299,$A1305,$G$4:$G$1299,M$1302)</f>
        <v>8510.872032</v>
      </c>
      <c r="N1305" s="9" t="n">
        <f aca="false">SUMIFS($J$4:$J$1299,$D$4:$D$1299,$A1305,$G$4:$G$1299,N$1302)</f>
        <v>332945.45376</v>
      </c>
      <c r="O1305" s="9" t="n">
        <f aca="false">SUMIFS($J$4:$J$1299,$D$4:$D$1299,$A1305,$G$4:$G$1299,O$1302)</f>
        <v>259673.7951632</v>
      </c>
      <c r="P1305" s="9" t="n">
        <f aca="false">SUMIFS($J$4:$J$1299,$D$4:$D$1299,$A1305,$G$4:$G$1299,P$1302)</f>
        <v>271627.975872</v>
      </c>
      <c r="Q1305" s="9" t="n">
        <f aca="false">SUMIFS($J$4:$J$1299,$D$4:$D$1299,$A1305,$G$4:$G$1299,Q$1302)</f>
        <v>0</v>
      </c>
      <c r="R1305" s="9" t="n">
        <f aca="false">SUMIFS($J$4:$J$1299,$D$4:$D$1299,$A1305,$G$4:$G$1299,R$1302)</f>
        <v>1233.4077</v>
      </c>
      <c r="S1305" s="9" t="n">
        <f aca="false">SUMIFS($J$4:$J$1299,$D$4:$D$1299,$A1305,$G$4:$G$1299,S$1302)</f>
        <v>0</v>
      </c>
      <c r="T1305" s="9" t="n">
        <f aca="false">SUMIFS($J$4:$J$1299,$D$4:$D$1299,$A1305,$G$4:$G$1299,T$1302)</f>
        <v>5824.7</v>
      </c>
      <c r="U1305" s="0" t="n">
        <f aca="false">SUM(B1305:T1305)</f>
        <v>1059825.7463142</v>
      </c>
    </row>
    <row r="1306" customFormat="false" ht="15" hidden="false" customHeight="false" outlineLevel="0" collapsed="false">
      <c r="A1306" s="2" t="s">
        <v>10</v>
      </c>
      <c r="B1306" s="11" t="n">
        <f aca="false">SUM(B1303:B1305)</f>
        <v>8.952768</v>
      </c>
      <c r="C1306" s="11" t="n">
        <f aca="false">SUM(C1303:C1305)</f>
        <v>0</v>
      </c>
      <c r="D1306" s="11" t="n">
        <f aca="false">SUM(D1303:D1305)</f>
        <v>0</v>
      </c>
      <c r="E1306" s="11" t="n">
        <f aca="false">SUM(E1303:E1305)</f>
        <v>0</v>
      </c>
      <c r="F1306" s="11" t="n">
        <f aca="false">SUM(F1303:F1305)</f>
        <v>0</v>
      </c>
      <c r="G1306" s="11" t="n">
        <f aca="false">SUM(G1303:G1305)</f>
        <v>40869.0038134</v>
      </c>
      <c r="H1306" s="11" t="n">
        <f aca="false">SUM(H1303:H1305)</f>
        <v>35915.26348</v>
      </c>
      <c r="I1306" s="11" t="n">
        <f aca="false">SUM(I1303:I1305)</f>
        <v>390297.682814</v>
      </c>
      <c r="J1306" s="11" t="n">
        <f aca="false">SUM(J1303:J1305)</f>
        <v>310082.966808</v>
      </c>
      <c r="K1306" s="11" t="n">
        <f aca="false">SUM(K1303:K1305)</f>
        <v>55654.76672</v>
      </c>
      <c r="L1306" s="11" t="n">
        <f aca="false">SUM(L1303:L1305)</f>
        <v>588762.3821504</v>
      </c>
      <c r="M1306" s="11" t="n">
        <f aca="false">SUM(M1303:M1305)</f>
        <v>534879.16776</v>
      </c>
      <c r="N1306" s="11" t="n">
        <f aca="false">SUM(N1303:N1305)</f>
        <v>840431.1736</v>
      </c>
      <c r="O1306" s="11" t="n">
        <f aca="false">SUM(O1303:O1305)</f>
        <v>430149.4191632</v>
      </c>
      <c r="P1306" s="11" t="n">
        <f aca="false">SUM(P1303:P1305)</f>
        <v>305480.773056</v>
      </c>
      <c r="Q1306" s="11" t="n">
        <f aca="false">SUM(Q1303:Q1305)</f>
        <v>0</v>
      </c>
      <c r="R1306" s="11" t="n">
        <f aca="false">SUM(R1303:R1305)</f>
        <v>1233.4077</v>
      </c>
      <c r="S1306" s="11" t="n">
        <f aca="false">SUM(S1303:S1305)</f>
        <v>0</v>
      </c>
      <c r="T1306" s="11" t="n">
        <f aca="false">SUM(T1303:T1305)</f>
        <v>5824.7</v>
      </c>
      <c r="U1306" s="11" t="n">
        <f aca="false">SUM(U1303:U1305)</f>
        <v>3539589.659833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0" min="2" style="0" width="8"/>
  </cols>
  <sheetData>
    <row r="1" customFormat="false" ht="15" hidden="false" customHeight="true" outlineLevel="0" collapsed="false">
      <c r="A1" s="7" t="s">
        <v>181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customFormat="false" ht="19.5" hidden="false" customHeight="false" outlineLevel="0" collapsed="false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 t="s">
        <v>37</v>
      </c>
      <c r="K2" s="2" t="s">
        <v>7</v>
      </c>
    </row>
    <row r="3" customFormat="false" ht="15" hidden="false" customHeight="false" outlineLevel="0" collapsed="false">
      <c r="A3" s="2"/>
      <c r="B3" s="2"/>
      <c r="C3" s="2"/>
      <c r="D3" s="2"/>
      <c r="E3" s="2" t="s">
        <v>38</v>
      </c>
      <c r="F3" s="2" t="s">
        <v>38</v>
      </c>
      <c r="G3" s="2" t="s">
        <v>38</v>
      </c>
      <c r="H3" s="2" t="s">
        <v>12</v>
      </c>
      <c r="I3" s="2" t="s">
        <v>39</v>
      </c>
      <c r="J3" s="2" t="s">
        <v>12</v>
      </c>
      <c r="K3" s="2"/>
    </row>
    <row r="4" customFormat="false" ht="19.5" hidden="false" customHeight="false" outlineLevel="0" collapsed="false">
      <c r="A4" s="3" t="s">
        <v>42</v>
      </c>
      <c r="B4" s="3" t="s">
        <v>43</v>
      </c>
      <c r="C4" s="3" t="s">
        <v>182</v>
      </c>
      <c r="D4" s="3" t="s">
        <v>8</v>
      </c>
      <c r="E4" s="3" t="n">
        <v>1980</v>
      </c>
      <c r="F4" s="3" t="n">
        <v>1200</v>
      </c>
      <c r="G4" s="3" t="n">
        <v>16</v>
      </c>
      <c r="H4" s="8" t="n">
        <f aca="false">(E4/1000)*(F4/1000)*(G4/1000)*7850</f>
        <v>298.4256</v>
      </c>
      <c r="I4" s="3" t="n">
        <v>3</v>
      </c>
      <c r="J4" s="9" t="n">
        <f aca="false">H4*I4</f>
        <v>895.2768</v>
      </c>
      <c r="K4" s="3"/>
    </row>
    <row r="5" customFormat="false" ht="19.5" hidden="false" customHeight="false" outlineLevel="0" collapsed="false">
      <c r="A5" s="3" t="s">
        <v>42</v>
      </c>
      <c r="B5" s="3" t="s">
        <v>43</v>
      </c>
      <c r="C5" s="3" t="s">
        <v>183</v>
      </c>
      <c r="D5" s="3" t="s">
        <v>8</v>
      </c>
      <c r="E5" s="3" t="n">
        <v>1980</v>
      </c>
      <c r="F5" s="3" t="n">
        <v>1200</v>
      </c>
      <c r="G5" s="3" t="n">
        <v>16</v>
      </c>
      <c r="H5" s="8" t="n">
        <f aca="false">(E5/1000)*(F5/1000)*(G5/1000)*7850</f>
        <v>298.4256</v>
      </c>
      <c r="I5" s="3" t="n">
        <v>3</v>
      </c>
      <c r="J5" s="9" t="n">
        <f aca="false">H5*I5</f>
        <v>895.2768</v>
      </c>
      <c r="K5" s="3"/>
    </row>
    <row r="6" customFormat="false" ht="19.5" hidden="false" customHeight="false" outlineLevel="0" collapsed="false">
      <c r="A6" s="3" t="s">
        <v>42</v>
      </c>
      <c r="B6" s="3" t="s">
        <v>43</v>
      </c>
      <c r="C6" s="3" t="s">
        <v>184</v>
      </c>
      <c r="D6" s="3" t="s">
        <v>8</v>
      </c>
      <c r="E6" s="3" t="n">
        <v>2057</v>
      </c>
      <c r="F6" s="3" t="n">
        <v>200</v>
      </c>
      <c r="G6" s="3" t="n">
        <v>16</v>
      </c>
      <c r="H6" s="8" t="n">
        <f aca="false">(E6/1000)*(F6/1000)*(G6/1000)*7850</f>
        <v>51.67184</v>
      </c>
      <c r="I6" s="3" t="n">
        <v>4</v>
      </c>
      <c r="J6" s="9" t="n">
        <f aca="false">H6*I6</f>
        <v>206.68736</v>
      </c>
      <c r="K6" s="3"/>
    </row>
    <row r="7" customFormat="false" ht="19.5" hidden="false" customHeight="false" outlineLevel="0" collapsed="false">
      <c r="A7" s="3" t="s">
        <v>42</v>
      </c>
      <c r="B7" s="3" t="s">
        <v>43</v>
      </c>
      <c r="C7" s="3" t="s">
        <v>185</v>
      </c>
      <c r="D7" s="3" t="s">
        <v>180</v>
      </c>
      <c r="E7" s="3" t="n">
        <v>2057</v>
      </c>
      <c r="F7" s="3" t="n">
        <v>40</v>
      </c>
      <c r="G7" s="3" t="n">
        <v>4</v>
      </c>
      <c r="H7" s="8" t="n">
        <f aca="false">(E7/1000)*(F7/1000)*(G7/1000)*7850</f>
        <v>2.583592</v>
      </c>
      <c r="I7" s="3" t="n">
        <v>4</v>
      </c>
      <c r="J7" s="9" t="n">
        <f aca="false">H7*I7</f>
        <v>10.334368</v>
      </c>
      <c r="K7" s="3"/>
    </row>
    <row r="8" customFormat="false" ht="19.5" hidden="false" customHeight="false" outlineLevel="0" collapsed="false">
      <c r="A8" s="3" t="s">
        <v>42</v>
      </c>
      <c r="B8" s="3" t="s">
        <v>43</v>
      </c>
      <c r="C8" s="3" t="s">
        <v>186</v>
      </c>
      <c r="D8" s="3" t="s">
        <v>8</v>
      </c>
      <c r="E8" s="3" t="n">
        <v>1800</v>
      </c>
      <c r="F8" s="3" t="n">
        <v>1200</v>
      </c>
      <c r="G8" s="3" t="n">
        <v>16</v>
      </c>
      <c r="H8" s="8" t="n">
        <f aca="false">(E8/1000)*(F8/1000)*(G8/1000)*7850</f>
        <v>271.296</v>
      </c>
      <c r="I8" s="3" t="n">
        <v>3</v>
      </c>
      <c r="J8" s="9" t="n">
        <f aca="false">H8*I8</f>
        <v>813.888</v>
      </c>
      <c r="K8" s="3"/>
    </row>
    <row r="9" customFormat="false" ht="19.5" hidden="false" customHeight="false" outlineLevel="0" collapsed="false">
      <c r="A9" s="3" t="s">
        <v>42</v>
      </c>
      <c r="B9" s="3" t="s">
        <v>43</v>
      </c>
      <c r="C9" s="3" t="s">
        <v>187</v>
      </c>
      <c r="D9" s="3" t="s">
        <v>8</v>
      </c>
      <c r="E9" s="3" t="n">
        <v>1800</v>
      </c>
      <c r="F9" s="3" t="n">
        <v>1200</v>
      </c>
      <c r="G9" s="3" t="n">
        <v>16</v>
      </c>
      <c r="H9" s="8" t="n">
        <f aca="false">(E9/1000)*(F9/1000)*(G9/1000)*7850</f>
        <v>271.296</v>
      </c>
      <c r="I9" s="3" t="n">
        <v>3</v>
      </c>
      <c r="J9" s="9" t="n">
        <f aca="false">H9*I9</f>
        <v>813.888</v>
      </c>
      <c r="K9" s="3"/>
    </row>
    <row r="10" customFormat="false" ht="19.5" hidden="false" customHeight="false" outlineLevel="0" collapsed="false">
      <c r="A10" s="3" t="s">
        <v>42</v>
      </c>
      <c r="B10" s="3" t="s">
        <v>43</v>
      </c>
      <c r="C10" s="3" t="s">
        <v>188</v>
      </c>
      <c r="D10" s="3" t="s">
        <v>8</v>
      </c>
      <c r="E10" s="3" t="n">
        <v>1980</v>
      </c>
      <c r="F10" s="3" t="n">
        <v>610</v>
      </c>
      <c r="G10" s="3" t="n">
        <v>14</v>
      </c>
      <c r="H10" s="8" t="n">
        <f aca="false">(E10/1000)*(F10/1000)*(G10/1000)*7850</f>
        <v>132.73722</v>
      </c>
      <c r="I10" s="3" t="n">
        <v>6</v>
      </c>
      <c r="J10" s="9" t="n">
        <f aca="false">H10*I10</f>
        <v>796.42332</v>
      </c>
      <c r="K10" s="3"/>
    </row>
    <row r="11" customFormat="false" ht="19.5" hidden="false" customHeight="false" outlineLevel="0" collapsed="false">
      <c r="A11" s="3" t="s">
        <v>42</v>
      </c>
      <c r="B11" s="3" t="s">
        <v>43</v>
      </c>
      <c r="C11" s="3" t="s">
        <v>189</v>
      </c>
      <c r="D11" s="3" t="s">
        <v>8</v>
      </c>
      <c r="E11" s="3" t="n">
        <v>1980</v>
      </c>
      <c r="F11" s="3" t="n">
        <v>630</v>
      </c>
      <c r="G11" s="3" t="n">
        <v>14</v>
      </c>
      <c r="H11" s="8" t="n">
        <f aca="false">(E11/1000)*(F11/1000)*(G11/1000)*7850</f>
        <v>137.08926</v>
      </c>
      <c r="I11" s="3" t="n">
        <v>6</v>
      </c>
      <c r="J11" s="9" t="n">
        <f aca="false">H11*I11</f>
        <v>822.53556</v>
      </c>
      <c r="K11" s="3"/>
    </row>
    <row r="12" customFormat="false" ht="19.5" hidden="false" customHeight="false" outlineLevel="0" collapsed="false">
      <c r="A12" s="3" t="s">
        <v>42</v>
      </c>
      <c r="B12" s="3" t="s">
        <v>43</v>
      </c>
      <c r="C12" s="3" t="s">
        <v>190</v>
      </c>
      <c r="D12" s="3" t="s">
        <v>8</v>
      </c>
      <c r="E12" s="3" t="n">
        <v>470</v>
      </c>
      <c r="F12" s="3" t="n">
        <v>1000</v>
      </c>
      <c r="G12" s="3" t="n">
        <v>24</v>
      </c>
      <c r="H12" s="8" t="n">
        <f aca="false">(E12/1000)*(F12/1000)*(G12/1000)*7850</f>
        <v>88.548</v>
      </c>
      <c r="I12" s="3" t="n">
        <v>6</v>
      </c>
      <c r="J12" s="9" t="n">
        <f aca="false">H12*I12</f>
        <v>531.288</v>
      </c>
      <c r="K12" s="3"/>
    </row>
    <row r="13" customFormat="false" ht="19.5" hidden="false" customHeight="false" outlineLevel="0" collapsed="false">
      <c r="A13" s="3" t="s">
        <v>42</v>
      </c>
      <c r="B13" s="3" t="s">
        <v>43</v>
      </c>
      <c r="C13" s="3" t="s">
        <v>191</v>
      </c>
      <c r="D13" s="3" t="s">
        <v>8</v>
      </c>
      <c r="E13" s="3" t="n">
        <v>480</v>
      </c>
      <c r="F13" s="3" t="n">
        <v>1000</v>
      </c>
      <c r="G13" s="3" t="n">
        <v>24</v>
      </c>
      <c r="H13" s="8" t="n">
        <f aca="false">(E13/1000)*(F13/1000)*(G13/1000)*7850</f>
        <v>90.432</v>
      </c>
      <c r="I13" s="3" t="n">
        <v>6</v>
      </c>
      <c r="J13" s="9" t="n">
        <f aca="false">H13*I13</f>
        <v>542.592</v>
      </c>
      <c r="K13" s="3"/>
    </row>
    <row r="14" customFormat="false" ht="19.5" hidden="false" customHeight="false" outlineLevel="0" collapsed="false">
      <c r="A14" s="3" t="s">
        <v>42</v>
      </c>
      <c r="B14" s="3" t="s">
        <v>43</v>
      </c>
      <c r="C14" s="3" t="s">
        <v>192</v>
      </c>
      <c r="D14" s="3" t="s">
        <v>8</v>
      </c>
      <c r="E14" s="3" t="n">
        <v>1800</v>
      </c>
      <c r="F14" s="3" t="n">
        <v>610</v>
      </c>
      <c r="G14" s="3" t="n">
        <v>14</v>
      </c>
      <c r="H14" s="8" t="n">
        <f aca="false">(E14/1000)*(F14/1000)*(G14/1000)*7850</f>
        <v>120.6702</v>
      </c>
      <c r="I14" s="3" t="n">
        <v>6</v>
      </c>
      <c r="J14" s="9" t="n">
        <f aca="false">H14*I14</f>
        <v>724.0212</v>
      </c>
      <c r="K14" s="3"/>
    </row>
    <row r="15" customFormat="false" ht="19.5" hidden="false" customHeight="false" outlineLevel="0" collapsed="false">
      <c r="A15" s="3" t="s">
        <v>42</v>
      </c>
      <c r="B15" s="3" t="s">
        <v>43</v>
      </c>
      <c r="C15" s="3" t="s">
        <v>192</v>
      </c>
      <c r="D15" s="3" t="s">
        <v>8</v>
      </c>
      <c r="E15" s="3" t="n">
        <v>1800</v>
      </c>
      <c r="F15" s="3" t="n">
        <v>626</v>
      </c>
      <c r="G15" s="3" t="n">
        <v>14</v>
      </c>
      <c r="H15" s="8" t="n">
        <f aca="false">(E15/1000)*(F15/1000)*(G15/1000)*7850</f>
        <v>123.83532</v>
      </c>
      <c r="I15" s="3" t="n">
        <v>6</v>
      </c>
      <c r="J15" s="9" t="n">
        <f aca="false">H15*I15</f>
        <v>743.01192</v>
      </c>
      <c r="K15" s="3"/>
    </row>
    <row r="16" customFormat="false" ht="19.5" hidden="false" customHeight="false" outlineLevel="0" collapsed="false">
      <c r="A16" s="3" t="s">
        <v>62</v>
      </c>
      <c r="B16" s="3" t="s">
        <v>63</v>
      </c>
      <c r="C16" s="3" t="s">
        <v>182</v>
      </c>
      <c r="D16" s="3" t="s">
        <v>8</v>
      </c>
      <c r="E16" s="3" t="n">
        <v>1980</v>
      </c>
      <c r="F16" s="3" t="n">
        <v>1200</v>
      </c>
      <c r="G16" s="3" t="n">
        <v>16</v>
      </c>
      <c r="H16" s="8" t="n">
        <f aca="false">(E16/1000)*(F16/1000)*(G16/1000)*7850</f>
        <v>298.4256</v>
      </c>
      <c r="I16" s="3" t="n">
        <v>3</v>
      </c>
      <c r="J16" s="9" t="n">
        <f aca="false">H16*I16</f>
        <v>895.2768</v>
      </c>
      <c r="K16" s="3"/>
    </row>
    <row r="17" customFormat="false" ht="19.5" hidden="false" customHeight="false" outlineLevel="0" collapsed="false">
      <c r="A17" s="3" t="s">
        <v>62</v>
      </c>
      <c r="B17" s="3" t="s">
        <v>63</v>
      </c>
      <c r="C17" s="3" t="s">
        <v>183</v>
      </c>
      <c r="D17" s="3" t="s">
        <v>8</v>
      </c>
      <c r="E17" s="3" t="n">
        <v>1980</v>
      </c>
      <c r="F17" s="3" t="n">
        <v>1200</v>
      </c>
      <c r="G17" s="3" t="n">
        <v>16</v>
      </c>
      <c r="H17" s="8" t="n">
        <f aca="false">(E17/1000)*(F17/1000)*(G17/1000)*7850</f>
        <v>298.4256</v>
      </c>
      <c r="I17" s="3" t="n">
        <v>3</v>
      </c>
      <c r="J17" s="9" t="n">
        <f aca="false">H17*I17</f>
        <v>895.2768</v>
      </c>
      <c r="K17" s="3"/>
    </row>
    <row r="18" customFormat="false" ht="19.5" hidden="false" customHeight="false" outlineLevel="0" collapsed="false">
      <c r="A18" s="3" t="s">
        <v>62</v>
      </c>
      <c r="B18" s="3" t="s">
        <v>63</v>
      </c>
      <c r="C18" s="3" t="s">
        <v>184</v>
      </c>
      <c r="D18" s="3" t="s">
        <v>8</v>
      </c>
      <c r="E18" s="3" t="n">
        <v>2057</v>
      </c>
      <c r="F18" s="3" t="n">
        <v>200</v>
      </c>
      <c r="G18" s="3" t="n">
        <v>16</v>
      </c>
      <c r="H18" s="8" t="n">
        <f aca="false">(E18/1000)*(F18/1000)*(G18/1000)*7850</f>
        <v>51.67184</v>
      </c>
      <c r="I18" s="3" t="n">
        <v>4</v>
      </c>
      <c r="J18" s="9" t="n">
        <f aca="false">H18*I18</f>
        <v>206.68736</v>
      </c>
      <c r="K18" s="3"/>
    </row>
    <row r="19" customFormat="false" ht="19.5" hidden="false" customHeight="false" outlineLevel="0" collapsed="false">
      <c r="A19" s="3" t="s">
        <v>62</v>
      </c>
      <c r="B19" s="3" t="s">
        <v>63</v>
      </c>
      <c r="C19" s="3" t="s">
        <v>184</v>
      </c>
      <c r="D19" s="3" t="s">
        <v>180</v>
      </c>
      <c r="E19" s="3" t="n">
        <v>2057</v>
      </c>
      <c r="F19" s="3" t="n">
        <v>40</v>
      </c>
      <c r="G19" s="3" t="n">
        <v>4</v>
      </c>
      <c r="H19" s="8" t="n">
        <f aca="false">(E19/1000)*(F19/1000)*(G19/1000)*7850</f>
        <v>2.583592</v>
      </c>
      <c r="I19" s="3" t="n">
        <v>4</v>
      </c>
      <c r="J19" s="9" t="n">
        <f aca="false">H19*I19</f>
        <v>10.334368</v>
      </c>
      <c r="K19" s="3"/>
    </row>
    <row r="20" customFormat="false" ht="19.5" hidden="false" customHeight="false" outlineLevel="0" collapsed="false">
      <c r="A20" s="3" t="s">
        <v>62</v>
      </c>
      <c r="B20" s="3" t="s">
        <v>63</v>
      </c>
      <c r="C20" s="3" t="s">
        <v>184</v>
      </c>
      <c r="D20" s="3" t="s">
        <v>8</v>
      </c>
      <c r="E20" s="3" t="n">
        <v>800</v>
      </c>
      <c r="F20" s="3" t="n">
        <v>400</v>
      </c>
      <c r="G20" s="3" t="n">
        <v>16</v>
      </c>
      <c r="H20" s="8" t="n">
        <f aca="false">(E20/1000)*(F20/1000)*(G20/1000)*7850</f>
        <v>40.192</v>
      </c>
      <c r="I20" s="3" t="n">
        <v>4</v>
      </c>
      <c r="J20" s="9" t="n">
        <f aca="false">H20*I20</f>
        <v>160.768</v>
      </c>
      <c r="K20" s="3"/>
    </row>
    <row r="21" customFormat="false" ht="19.5" hidden="false" customHeight="false" outlineLevel="0" collapsed="false">
      <c r="A21" s="3" t="s">
        <v>62</v>
      </c>
      <c r="B21" s="3" t="s">
        <v>63</v>
      </c>
      <c r="C21" s="3" t="s">
        <v>184</v>
      </c>
      <c r="D21" s="3" t="s">
        <v>8</v>
      </c>
      <c r="E21" s="3" t="n">
        <v>7902</v>
      </c>
      <c r="F21" s="3" t="n">
        <v>240</v>
      </c>
      <c r="G21" s="3" t="n">
        <v>20</v>
      </c>
      <c r="H21" s="8" t="n">
        <f aca="false">(E21/1000)*(F21/1000)*(G21/1000)*7850</f>
        <v>297.74736</v>
      </c>
      <c r="I21" s="3" t="n">
        <v>4</v>
      </c>
      <c r="J21" s="9" t="n">
        <f aca="false">H21*I21</f>
        <v>1190.98944</v>
      </c>
      <c r="K21" s="3"/>
    </row>
    <row r="22" customFormat="false" ht="19.5" hidden="false" customHeight="false" outlineLevel="0" collapsed="false">
      <c r="A22" s="3" t="s">
        <v>62</v>
      </c>
      <c r="B22" s="3" t="s">
        <v>63</v>
      </c>
      <c r="C22" s="3" t="s">
        <v>184</v>
      </c>
      <c r="D22" s="3" t="s">
        <v>8</v>
      </c>
      <c r="E22" s="3" t="n">
        <v>8600</v>
      </c>
      <c r="F22" s="3" t="n">
        <v>240</v>
      </c>
      <c r="G22" s="3" t="n">
        <v>20</v>
      </c>
      <c r="H22" s="8" t="n">
        <f aca="false">(E22/1000)*(F22/1000)*(G22/1000)*7850</f>
        <v>324.048</v>
      </c>
      <c r="I22" s="3" t="n">
        <v>6</v>
      </c>
      <c r="J22" s="9" t="n">
        <f aca="false">H22*I22</f>
        <v>1944.288</v>
      </c>
      <c r="K22" s="3"/>
    </row>
    <row r="23" customFormat="false" ht="19.5" hidden="false" customHeight="false" outlineLevel="0" collapsed="false">
      <c r="A23" s="3" t="s">
        <v>62</v>
      </c>
      <c r="B23" s="3" t="s">
        <v>63</v>
      </c>
      <c r="C23" s="3" t="s">
        <v>184</v>
      </c>
      <c r="D23" s="3" t="s">
        <v>8</v>
      </c>
      <c r="E23" s="3" t="n">
        <v>7904</v>
      </c>
      <c r="F23" s="3" t="n">
        <v>2500</v>
      </c>
      <c r="G23" s="3" t="n">
        <v>24</v>
      </c>
      <c r="H23" s="8" t="n">
        <f aca="false">(E23/1000)*(F23/1000)*(G23/1000)*7850</f>
        <v>3722.784</v>
      </c>
      <c r="I23" s="3" t="n">
        <v>1</v>
      </c>
      <c r="J23" s="9" t="n">
        <f aca="false">H23*I23</f>
        <v>3722.784</v>
      </c>
      <c r="K23" s="3"/>
    </row>
    <row r="24" customFormat="false" ht="19.5" hidden="false" customHeight="false" outlineLevel="0" collapsed="false">
      <c r="A24" s="3" t="s">
        <v>62</v>
      </c>
      <c r="B24" s="3" t="s">
        <v>63</v>
      </c>
      <c r="C24" s="3" t="s">
        <v>184</v>
      </c>
      <c r="D24" s="3" t="s">
        <v>8</v>
      </c>
      <c r="E24" s="3" t="n">
        <v>7102</v>
      </c>
      <c r="F24" s="3" t="n">
        <v>2500</v>
      </c>
      <c r="G24" s="3" t="n">
        <v>24</v>
      </c>
      <c r="H24" s="8" t="n">
        <f aca="false">(E24/1000)*(F24/1000)*(G24/1000)*7850</f>
        <v>3345.042</v>
      </c>
      <c r="I24" s="3" t="n">
        <v>1</v>
      </c>
      <c r="J24" s="9" t="n">
        <f aca="false">H24*I24</f>
        <v>3345.042</v>
      </c>
      <c r="K24" s="3"/>
    </row>
    <row r="25" customFormat="false" ht="19.5" hidden="false" customHeight="false" outlineLevel="0" collapsed="false">
      <c r="A25" s="3" t="s">
        <v>62</v>
      </c>
      <c r="B25" s="3" t="s">
        <v>63</v>
      </c>
      <c r="C25" s="3" t="s">
        <v>186</v>
      </c>
      <c r="D25" s="3" t="s">
        <v>8</v>
      </c>
      <c r="E25" s="3" t="n">
        <v>1800</v>
      </c>
      <c r="F25" s="3" t="n">
        <v>1200</v>
      </c>
      <c r="G25" s="3" t="n">
        <v>16</v>
      </c>
      <c r="H25" s="8" t="n">
        <f aca="false">(E25/1000)*(F25/1000)*(G25/1000)*7850</f>
        <v>271.296</v>
      </c>
      <c r="I25" s="3" t="n">
        <v>3</v>
      </c>
      <c r="J25" s="9" t="n">
        <f aca="false">H25*I25</f>
        <v>813.888</v>
      </c>
      <c r="K25" s="3"/>
    </row>
    <row r="26" customFormat="false" ht="19.5" hidden="false" customHeight="false" outlineLevel="0" collapsed="false">
      <c r="A26" s="3" t="s">
        <v>62</v>
      </c>
      <c r="B26" s="3" t="s">
        <v>63</v>
      </c>
      <c r="C26" s="3" t="s">
        <v>187</v>
      </c>
      <c r="D26" s="3" t="s">
        <v>8</v>
      </c>
      <c r="E26" s="3" t="n">
        <v>1800</v>
      </c>
      <c r="F26" s="3" t="n">
        <v>1200</v>
      </c>
      <c r="G26" s="3" t="n">
        <v>16</v>
      </c>
      <c r="H26" s="8" t="n">
        <f aca="false">(E26/1000)*(F26/1000)*(G26/1000)*7850</f>
        <v>271.296</v>
      </c>
      <c r="I26" s="3" t="n">
        <v>2</v>
      </c>
      <c r="J26" s="9" t="n">
        <f aca="false">H26*I26</f>
        <v>542.592</v>
      </c>
      <c r="K26" s="3"/>
    </row>
    <row r="27" customFormat="false" ht="19.5" hidden="false" customHeight="false" outlineLevel="0" collapsed="false">
      <c r="A27" s="3" t="s">
        <v>62</v>
      </c>
      <c r="B27" s="3" t="s">
        <v>63</v>
      </c>
      <c r="C27" s="3" t="s">
        <v>193</v>
      </c>
      <c r="D27" s="3" t="s">
        <v>8</v>
      </c>
      <c r="E27" s="3" t="n">
        <v>2057</v>
      </c>
      <c r="F27" s="3" t="n">
        <v>200</v>
      </c>
      <c r="G27" s="3" t="n">
        <v>16</v>
      </c>
      <c r="H27" s="8" t="n">
        <f aca="false">(E27/1000)*(F27/1000)*(G27/1000)*7850</f>
        <v>51.67184</v>
      </c>
      <c r="I27" s="3" t="n">
        <v>5</v>
      </c>
      <c r="J27" s="9" t="n">
        <f aca="false">H27*I27</f>
        <v>258.3592</v>
      </c>
      <c r="K27" s="3"/>
    </row>
    <row r="28" customFormat="false" ht="19.5" hidden="false" customHeight="false" outlineLevel="0" collapsed="false">
      <c r="A28" s="3" t="s">
        <v>62</v>
      </c>
      <c r="B28" s="3" t="s">
        <v>63</v>
      </c>
      <c r="C28" s="3" t="s">
        <v>193</v>
      </c>
      <c r="D28" s="3" t="s">
        <v>8</v>
      </c>
      <c r="E28" s="3" t="n">
        <v>7904</v>
      </c>
      <c r="F28" s="3" t="n">
        <v>240</v>
      </c>
      <c r="G28" s="3" t="n">
        <v>20</v>
      </c>
      <c r="H28" s="8" t="n">
        <f aca="false">(E28/1000)*(F28/1000)*(G28/1000)*7850</f>
        <v>297.82272</v>
      </c>
      <c r="I28" s="3" t="n">
        <v>4</v>
      </c>
      <c r="J28" s="9" t="n">
        <f aca="false">H28*I28</f>
        <v>1191.29088</v>
      </c>
      <c r="K28" s="3"/>
    </row>
    <row r="29" customFormat="false" ht="19.5" hidden="false" customHeight="false" outlineLevel="0" collapsed="false">
      <c r="A29" s="3" t="s">
        <v>62</v>
      </c>
      <c r="B29" s="3" t="s">
        <v>63</v>
      </c>
      <c r="C29" s="3" t="s">
        <v>193</v>
      </c>
      <c r="D29" s="3" t="s">
        <v>8</v>
      </c>
      <c r="E29" s="3" t="n">
        <v>7102</v>
      </c>
      <c r="F29" s="3" t="n">
        <v>240</v>
      </c>
      <c r="G29" s="3" t="n">
        <v>20</v>
      </c>
      <c r="H29" s="8" t="n">
        <f aca="false">(E29/1000)*(F29/1000)*(G29/1000)*7850</f>
        <v>267.60336</v>
      </c>
      <c r="I29" s="3" t="n">
        <v>4</v>
      </c>
      <c r="J29" s="9" t="n">
        <f aca="false">H29*I29</f>
        <v>1070.41344</v>
      </c>
      <c r="K29" s="3"/>
    </row>
    <row r="30" customFormat="false" ht="19.5" hidden="false" customHeight="false" outlineLevel="0" collapsed="false">
      <c r="A30" s="3" t="s">
        <v>62</v>
      </c>
      <c r="B30" s="3" t="s">
        <v>63</v>
      </c>
      <c r="C30" s="3" t="s">
        <v>193</v>
      </c>
      <c r="D30" s="3" t="s">
        <v>8</v>
      </c>
      <c r="E30" s="3" t="n">
        <v>15006</v>
      </c>
      <c r="F30" s="3" t="n">
        <v>170</v>
      </c>
      <c r="G30" s="3" t="n">
        <v>14</v>
      </c>
      <c r="H30" s="8" t="n">
        <f aca="false">(E30/1000)*(F30/1000)*(G30/1000)*7850</f>
        <v>280.357098</v>
      </c>
      <c r="I30" s="3" t="n">
        <v>2</v>
      </c>
      <c r="J30" s="9" t="n">
        <f aca="false">H30*I30</f>
        <v>560.714196</v>
      </c>
      <c r="K30" s="3"/>
    </row>
    <row r="31" customFormat="false" ht="19.5" hidden="false" customHeight="false" outlineLevel="0" collapsed="false">
      <c r="A31" s="3" t="s">
        <v>62</v>
      </c>
      <c r="B31" s="3" t="s">
        <v>63</v>
      </c>
      <c r="C31" s="3" t="s">
        <v>193</v>
      </c>
      <c r="D31" s="3" t="s">
        <v>8</v>
      </c>
      <c r="E31" s="3" t="n">
        <v>9010</v>
      </c>
      <c r="F31" s="3" t="n">
        <v>900</v>
      </c>
      <c r="G31" s="3" t="n">
        <v>36</v>
      </c>
      <c r="H31" s="8" t="n">
        <f aca="false">(E31/1000)*(F31/1000)*(G31/1000)*7850</f>
        <v>2291.6034</v>
      </c>
      <c r="I31" s="3" t="n">
        <v>2</v>
      </c>
      <c r="J31" s="9" t="n">
        <f aca="false">H31*I31</f>
        <v>4583.2068</v>
      </c>
      <c r="K31" s="3"/>
    </row>
    <row r="32" customFormat="false" ht="19.5" hidden="false" customHeight="false" outlineLevel="0" collapsed="false">
      <c r="A32" s="3" t="s">
        <v>64</v>
      </c>
      <c r="B32" s="3" t="s">
        <v>65</v>
      </c>
      <c r="C32" s="3" t="s">
        <v>182</v>
      </c>
      <c r="D32" s="3" t="s">
        <v>8</v>
      </c>
      <c r="E32" s="3" t="n">
        <v>1980</v>
      </c>
      <c r="F32" s="3" t="n">
        <v>1200</v>
      </c>
      <c r="G32" s="3" t="n">
        <v>16</v>
      </c>
      <c r="H32" s="8" t="n">
        <f aca="false">(E32/1000)*(F32/1000)*(G32/1000)*7850</f>
        <v>298.4256</v>
      </c>
      <c r="I32" s="3" t="n">
        <v>3</v>
      </c>
      <c r="J32" s="9" t="n">
        <f aca="false">H32*I32</f>
        <v>895.2768</v>
      </c>
      <c r="K32" s="3"/>
    </row>
    <row r="33" customFormat="false" ht="19.5" hidden="false" customHeight="false" outlineLevel="0" collapsed="false">
      <c r="A33" s="3" t="s">
        <v>64</v>
      </c>
      <c r="B33" s="3" t="s">
        <v>65</v>
      </c>
      <c r="C33" s="3" t="s">
        <v>183</v>
      </c>
      <c r="D33" s="3" t="s">
        <v>8</v>
      </c>
      <c r="E33" s="3" t="n">
        <v>1980</v>
      </c>
      <c r="F33" s="3" t="n">
        <v>1200</v>
      </c>
      <c r="G33" s="3" t="n">
        <v>16</v>
      </c>
      <c r="H33" s="8" t="n">
        <f aca="false">(E33/1000)*(F33/1000)*(G33/1000)*7850</f>
        <v>298.4256</v>
      </c>
      <c r="I33" s="3" t="n">
        <v>2</v>
      </c>
      <c r="J33" s="9" t="n">
        <f aca="false">H33*I33</f>
        <v>596.8512</v>
      </c>
      <c r="K33" s="3"/>
    </row>
    <row r="34" customFormat="false" ht="19.5" hidden="false" customHeight="false" outlineLevel="0" collapsed="false">
      <c r="A34" s="3" t="s">
        <v>64</v>
      </c>
      <c r="B34" s="3" t="s">
        <v>65</v>
      </c>
      <c r="C34" s="3" t="s">
        <v>183</v>
      </c>
      <c r="D34" s="3" t="s">
        <v>8</v>
      </c>
      <c r="E34" s="3" t="n">
        <v>7901</v>
      </c>
      <c r="F34" s="3" t="n">
        <v>240</v>
      </c>
      <c r="G34" s="3" t="n">
        <v>20</v>
      </c>
      <c r="H34" s="8" t="n">
        <f aca="false">(E34/1000)*(F34/1000)*(G34/1000)*7850</f>
        <v>297.70968</v>
      </c>
      <c r="I34" s="3" t="n">
        <v>6</v>
      </c>
      <c r="J34" s="9" t="n">
        <f aca="false">H34*I34</f>
        <v>1786.25808</v>
      </c>
      <c r="K34" s="3"/>
    </row>
    <row r="35" customFormat="false" ht="19.5" hidden="false" customHeight="false" outlineLevel="0" collapsed="false">
      <c r="A35" s="3" t="s">
        <v>64</v>
      </c>
      <c r="B35" s="3" t="s">
        <v>65</v>
      </c>
      <c r="C35" s="3" t="s">
        <v>186</v>
      </c>
      <c r="D35" s="3" t="s">
        <v>8</v>
      </c>
      <c r="E35" s="3" t="n">
        <v>1800</v>
      </c>
      <c r="F35" s="3" t="n">
        <v>1200</v>
      </c>
      <c r="G35" s="3" t="n">
        <v>16</v>
      </c>
      <c r="H35" s="8" t="n">
        <f aca="false">(E35/1000)*(F35/1000)*(G35/1000)*7850</f>
        <v>271.296</v>
      </c>
      <c r="I35" s="3" t="n">
        <v>3</v>
      </c>
      <c r="J35" s="9" t="n">
        <f aca="false">H35*I35</f>
        <v>813.888</v>
      </c>
      <c r="K35" s="3"/>
    </row>
    <row r="36" customFormat="false" ht="19.5" hidden="false" customHeight="false" outlineLevel="0" collapsed="false">
      <c r="A36" s="3" t="s">
        <v>64</v>
      </c>
      <c r="B36" s="3" t="s">
        <v>65</v>
      </c>
      <c r="C36" s="3" t="s">
        <v>193</v>
      </c>
      <c r="D36" s="3" t="s">
        <v>8</v>
      </c>
      <c r="E36" s="3" t="n">
        <v>2057</v>
      </c>
      <c r="F36" s="3" t="n">
        <v>200</v>
      </c>
      <c r="G36" s="3" t="n">
        <v>16</v>
      </c>
      <c r="H36" s="8" t="n">
        <f aca="false">(E36/1000)*(F36/1000)*(G36/1000)*7850</f>
        <v>51.67184</v>
      </c>
      <c r="I36" s="3" t="n">
        <v>5</v>
      </c>
      <c r="J36" s="9" t="n">
        <f aca="false">H36*I36</f>
        <v>258.3592</v>
      </c>
      <c r="K36" s="3"/>
    </row>
    <row r="37" customFormat="false" ht="19.5" hidden="false" customHeight="false" outlineLevel="0" collapsed="false">
      <c r="A37" s="3" t="s">
        <v>68</v>
      </c>
      <c r="B37" s="3" t="s">
        <v>69</v>
      </c>
      <c r="C37" s="3" t="s">
        <v>182</v>
      </c>
      <c r="D37" s="3" t="s">
        <v>8</v>
      </c>
      <c r="E37" s="3" t="n">
        <v>1960</v>
      </c>
      <c r="F37" s="3" t="n">
        <v>1200</v>
      </c>
      <c r="G37" s="3" t="n">
        <v>16</v>
      </c>
      <c r="H37" s="8" t="n">
        <f aca="false">(E37/1000)*(F37/1000)*(G37/1000)*7850</f>
        <v>295.4112</v>
      </c>
      <c r="I37" s="3" t="n">
        <v>3</v>
      </c>
      <c r="J37" s="9" t="n">
        <f aca="false">H37*I37</f>
        <v>886.2336</v>
      </c>
      <c r="K37" s="3"/>
    </row>
    <row r="38" customFormat="false" ht="19.5" hidden="false" customHeight="false" outlineLevel="0" collapsed="false">
      <c r="A38" s="3" t="s">
        <v>68</v>
      </c>
      <c r="B38" s="3" t="s">
        <v>69</v>
      </c>
      <c r="C38" s="3" t="s">
        <v>183</v>
      </c>
      <c r="D38" s="3" t="s">
        <v>8</v>
      </c>
      <c r="E38" s="3" t="n">
        <v>1976</v>
      </c>
      <c r="F38" s="3" t="n">
        <v>1200</v>
      </c>
      <c r="G38" s="3" t="n">
        <v>16</v>
      </c>
      <c r="H38" s="8" t="n">
        <f aca="false">(E38/1000)*(F38/1000)*(G38/1000)*7850</f>
        <v>297.82272</v>
      </c>
      <c r="I38" s="3" t="n">
        <v>2</v>
      </c>
      <c r="J38" s="9" t="n">
        <f aca="false">H38*I38</f>
        <v>595.64544</v>
      </c>
      <c r="K38" s="3"/>
    </row>
    <row r="39" customFormat="false" ht="19.5" hidden="false" customHeight="false" outlineLevel="0" collapsed="false">
      <c r="A39" s="3" t="s">
        <v>68</v>
      </c>
      <c r="B39" s="3" t="s">
        <v>69</v>
      </c>
      <c r="C39" s="3" t="s">
        <v>184</v>
      </c>
      <c r="D39" s="3" t="s">
        <v>180</v>
      </c>
      <c r="E39" s="3" t="n">
        <v>2057</v>
      </c>
      <c r="F39" s="3" t="n">
        <v>40</v>
      </c>
      <c r="G39" s="3" t="n">
        <v>4</v>
      </c>
      <c r="H39" s="8" t="n">
        <f aca="false">(E39/1000)*(F39/1000)*(G39/1000)*7850</f>
        <v>2.583592</v>
      </c>
      <c r="I39" s="3" t="n">
        <v>4</v>
      </c>
      <c r="J39" s="9" t="n">
        <f aca="false">H39*I39</f>
        <v>10.334368</v>
      </c>
      <c r="K39" s="3"/>
    </row>
    <row r="40" customFormat="false" ht="19.5" hidden="false" customHeight="false" outlineLevel="0" collapsed="false">
      <c r="A40" s="3" t="s">
        <v>68</v>
      </c>
      <c r="B40" s="3" t="s">
        <v>69</v>
      </c>
      <c r="C40" s="3" t="s">
        <v>184</v>
      </c>
      <c r="D40" s="3" t="s">
        <v>8</v>
      </c>
      <c r="E40" s="3" t="n">
        <v>800</v>
      </c>
      <c r="F40" s="3" t="n">
        <v>400</v>
      </c>
      <c r="G40" s="3" t="n">
        <v>16</v>
      </c>
      <c r="H40" s="8" t="n">
        <f aca="false">(E40/1000)*(F40/1000)*(G40/1000)*7850</f>
        <v>40.192</v>
      </c>
      <c r="I40" s="3" t="n">
        <v>4</v>
      </c>
      <c r="J40" s="9" t="n">
        <f aca="false">H40*I40</f>
        <v>160.768</v>
      </c>
      <c r="K40" s="3"/>
    </row>
    <row r="41" customFormat="false" ht="19.5" hidden="false" customHeight="false" outlineLevel="0" collapsed="false">
      <c r="A41" s="3" t="s">
        <v>68</v>
      </c>
      <c r="B41" s="3" t="s">
        <v>69</v>
      </c>
      <c r="C41" s="3" t="s">
        <v>184</v>
      </c>
      <c r="D41" s="3" t="s">
        <v>9</v>
      </c>
      <c r="E41" s="3" t="n">
        <v>7901</v>
      </c>
      <c r="F41" s="3" t="n">
        <v>320</v>
      </c>
      <c r="G41" s="3" t="n">
        <v>32</v>
      </c>
      <c r="H41" s="8" t="n">
        <f aca="false">(E41/1000)*(F41/1000)*(G41/1000)*7850</f>
        <v>635.113984</v>
      </c>
      <c r="I41" s="3" t="n">
        <v>6</v>
      </c>
      <c r="J41" s="9" t="n">
        <f aca="false">H41*I41</f>
        <v>3810.683904</v>
      </c>
      <c r="K41" s="3"/>
    </row>
    <row r="42" customFormat="false" ht="19.5" hidden="false" customHeight="false" outlineLevel="0" collapsed="false">
      <c r="A42" s="3" t="s">
        <v>68</v>
      </c>
      <c r="B42" s="3" t="s">
        <v>69</v>
      </c>
      <c r="C42" s="3" t="s">
        <v>184</v>
      </c>
      <c r="D42" s="3" t="s">
        <v>8</v>
      </c>
      <c r="E42" s="3" t="n">
        <v>7101</v>
      </c>
      <c r="F42" s="3" t="n">
        <v>240</v>
      </c>
      <c r="G42" s="3" t="n">
        <v>20</v>
      </c>
      <c r="H42" s="8" t="n">
        <f aca="false">(E42/1000)*(F42/1000)*(G42/1000)*7850</f>
        <v>267.56568</v>
      </c>
      <c r="I42" s="3" t="n">
        <v>6</v>
      </c>
      <c r="J42" s="9" t="n">
        <f aca="false">H42*I42</f>
        <v>1605.39408</v>
      </c>
      <c r="K42" s="3"/>
    </row>
    <row r="43" customFormat="false" ht="19.5" hidden="false" customHeight="false" outlineLevel="0" collapsed="false">
      <c r="A43" s="3" t="s">
        <v>68</v>
      </c>
      <c r="B43" s="3" t="s">
        <v>69</v>
      </c>
      <c r="C43" s="3" t="s">
        <v>184</v>
      </c>
      <c r="D43" s="3" t="s">
        <v>8</v>
      </c>
      <c r="E43" s="3" t="n">
        <v>7903</v>
      </c>
      <c r="F43" s="3" t="n">
        <v>2500</v>
      </c>
      <c r="G43" s="3" t="n">
        <v>20</v>
      </c>
      <c r="H43" s="8" t="n">
        <f aca="false">(E43/1000)*(F43/1000)*(G43/1000)*7850</f>
        <v>3101.9275</v>
      </c>
      <c r="I43" s="3" t="n">
        <v>1</v>
      </c>
      <c r="J43" s="9" t="n">
        <f aca="false">H43*I43</f>
        <v>3101.9275</v>
      </c>
      <c r="K43" s="3"/>
    </row>
    <row r="44" customFormat="false" ht="19.5" hidden="false" customHeight="false" outlineLevel="0" collapsed="false">
      <c r="A44" s="3" t="s">
        <v>68</v>
      </c>
      <c r="B44" s="3" t="s">
        <v>69</v>
      </c>
      <c r="C44" s="3" t="s">
        <v>186</v>
      </c>
      <c r="D44" s="3" t="s">
        <v>8</v>
      </c>
      <c r="E44" s="3" t="n">
        <v>1800</v>
      </c>
      <c r="F44" s="3" t="n">
        <v>1200</v>
      </c>
      <c r="G44" s="3" t="n">
        <v>16</v>
      </c>
      <c r="H44" s="8" t="n">
        <f aca="false">(E44/1000)*(F44/1000)*(G44/1000)*7850</f>
        <v>271.296</v>
      </c>
      <c r="I44" s="3" t="n">
        <v>3</v>
      </c>
      <c r="J44" s="9" t="n">
        <f aca="false">H44*I44</f>
        <v>813.888</v>
      </c>
      <c r="K44" s="3"/>
    </row>
    <row r="45" customFormat="false" ht="19.5" hidden="false" customHeight="false" outlineLevel="0" collapsed="false">
      <c r="A45" s="3" t="s">
        <v>68</v>
      </c>
      <c r="B45" s="3" t="s">
        <v>69</v>
      </c>
      <c r="C45" s="3" t="s">
        <v>187</v>
      </c>
      <c r="D45" s="3" t="s">
        <v>8</v>
      </c>
      <c r="E45" s="3" t="n">
        <v>1800</v>
      </c>
      <c r="F45" s="3" t="n">
        <v>1200</v>
      </c>
      <c r="G45" s="3" t="n">
        <v>16</v>
      </c>
      <c r="H45" s="8" t="n">
        <f aca="false">(E45/1000)*(F45/1000)*(G45/1000)*7850</f>
        <v>271.296</v>
      </c>
      <c r="I45" s="3" t="n">
        <v>2</v>
      </c>
      <c r="J45" s="9" t="n">
        <f aca="false">H45*I45</f>
        <v>542.592</v>
      </c>
      <c r="K45" s="3"/>
    </row>
    <row r="46" customFormat="false" ht="19.5" hidden="false" customHeight="false" outlineLevel="0" collapsed="false">
      <c r="A46" s="3" t="s">
        <v>68</v>
      </c>
      <c r="B46" s="3" t="s">
        <v>69</v>
      </c>
      <c r="C46" s="3" t="s">
        <v>191</v>
      </c>
      <c r="D46" s="3" t="s">
        <v>8</v>
      </c>
      <c r="E46" s="3" t="n">
        <v>480</v>
      </c>
      <c r="F46" s="3" t="n">
        <v>1000</v>
      </c>
      <c r="G46" s="3" t="n">
        <v>24</v>
      </c>
      <c r="H46" s="8" t="n">
        <f aca="false">(E46/1000)*(F46/1000)*(G46/1000)*7850</f>
        <v>90.432</v>
      </c>
      <c r="I46" s="3" t="n">
        <v>4</v>
      </c>
      <c r="J46" s="9" t="n">
        <f aca="false">H46*I46</f>
        <v>361.728</v>
      </c>
      <c r="K46" s="3"/>
    </row>
    <row r="47" customFormat="false" ht="19.5" hidden="false" customHeight="false" outlineLevel="0" collapsed="false">
      <c r="A47" s="3" t="s">
        <v>68</v>
      </c>
      <c r="B47" s="3" t="s">
        <v>69</v>
      </c>
      <c r="C47" s="3" t="s">
        <v>192</v>
      </c>
      <c r="D47" s="3" t="s">
        <v>8</v>
      </c>
      <c r="E47" s="3" t="n">
        <v>1800</v>
      </c>
      <c r="F47" s="3" t="n">
        <v>610</v>
      </c>
      <c r="G47" s="3" t="n">
        <v>14</v>
      </c>
      <c r="H47" s="8" t="n">
        <f aca="false">(E47/1000)*(F47/1000)*(G47/1000)*7850</f>
        <v>120.6702</v>
      </c>
      <c r="I47" s="3" t="n">
        <v>6</v>
      </c>
      <c r="J47" s="9" t="n">
        <f aca="false">H47*I47</f>
        <v>724.0212</v>
      </c>
      <c r="K47" s="3"/>
    </row>
    <row r="48" customFormat="false" ht="19.5" hidden="false" customHeight="false" outlineLevel="0" collapsed="false">
      <c r="A48" s="3" t="s">
        <v>72</v>
      </c>
      <c r="B48" s="3" t="s">
        <v>73</v>
      </c>
      <c r="C48" s="3" t="s">
        <v>182</v>
      </c>
      <c r="D48" s="3" t="s">
        <v>9</v>
      </c>
      <c r="E48" s="3" t="n">
        <v>1960</v>
      </c>
      <c r="F48" s="3" t="n">
        <v>1200</v>
      </c>
      <c r="G48" s="3" t="n">
        <v>16</v>
      </c>
      <c r="H48" s="8" t="n">
        <f aca="false">(E48/1000)*(F48/1000)*(G48/1000)*7850</f>
        <v>295.4112</v>
      </c>
      <c r="I48" s="3" t="n">
        <v>3</v>
      </c>
      <c r="J48" s="9" t="n">
        <f aca="false">H48*I48</f>
        <v>886.2336</v>
      </c>
      <c r="K48" s="3"/>
    </row>
    <row r="49" customFormat="false" ht="19.5" hidden="false" customHeight="false" outlineLevel="0" collapsed="false">
      <c r="A49" s="3" t="s">
        <v>72</v>
      </c>
      <c r="B49" s="3" t="s">
        <v>73</v>
      </c>
      <c r="C49" s="3" t="s">
        <v>184</v>
      </c>
      <c r="D49" s="3" t="s">
        <v>9</v>
      </c>
      <c r="E49" s="3" t="n">
        <v>2057</v>
      </c>
      <c r="F49" s="3" t="n">
        <v>200</v>
      </c>
      <c r="G49" s="3" t="n">
        <v>16</v>
      </c>
      <c r="H49" s="8" t="n">
        <f aca="false">(E49/1000)*(F49/1000)*(G49/1000)*7850</f>
        <v>51.67184</v>
      </c>
      <c r="I49" s="3" t="n">
        <v>3</v>
      </c>
      <c r="J49" s="9" t="n">
        <f aca="false">H49*I49</f>
        <v>155.01552</v>
      </c>
      <c r="K49" s="3"/>
    </row>
    <row r="50" customFormat="false" ht="19.5" hidden="false" customHeight="false" outlineLevel="0" collapsed="false">
      <c r="A50" s="3" t="s">
        <v>72</v>
      </c>
      <c r="B50" s="3" t="s">
        <v>73</v>
      </c>
      <c r="C50" s="3" t="s">
        <v>185</v>
      </c>
      <c r="D50" s="3" t="s">
        <v>9</v>
      </c>
      <c r="E50" s="3" t="n">
        <v>7901</v>
      </c>
      <c r="F50" s="3" t="n">
        <v>320</v>
      </c>
      <c r="G50" s="3" t="n">
        <v>32</v>
      </c>
      <c r="H50" s="8" t="n">
        <f aca="false">(E50/1000)*(F50/1000)*(G50/1000)*7850</f>
        <v>635.113984</v>
      </c>
      <c r="I50" s="3" t="n">
        <v>6</v>
      </c>
      <c r="J50" s="9" t="n">
        <f aca="false">H50*I50</f>
        <v>3810.683904</v>
      </c>
      <c r="K50" s="3"/>
    </row>
    <row r="51" customFormat="false" ht="19.5" hidden="false" customHeight="false" outlineLevel="0" collapsed="false">
      <c r="A51" s="3" t="s">
        <v>72</v>
      </c>
      <c r="B51" s="3" t="s">
        <v>73</v>
      </c>
      <c r="C51" s="3" t="s">
        <v>185</v>
      </c>
      <c r="D51" s="3" t="s">
        <v>9</v>
      </c>
      <c r="E51" s="3" t="n">
        <v>7101</v>
      </c>
      <c r="F51" s="3" t="n">
        <v>320</v>
      </c>
      <c r="G51" s="3" t="n">
        <v>32</v>
      </c>
      <c r="H51" s="8" t="n">
        <f aca="false">(E51/1000)*(F51/1000)*(G51/1000)*7850</f>
        <v>570.806784</v>
      </c>
      <c r="I51" s="3" t="n">
        <v>1</v>
      </c>
      <c r="J51" s="9" t="n">
        <f aca="false">H51*I51</f>
        <v>570.806784</v>
      </c>
      <c r="K51" s="3"/>
    </row>
    <row r="52" customFormat="false" ht="19.5" hidden="false" customHeight="false" outlineLevel="0" collapsed="false">
      <c r="A52" s="3" t="s">
        <v>72</v>
      </c>
      <c r="B52" s="3" t="s">
        <v>73</v>
      </c>
      <c r="C52" s="3" t="s">
        <v>185</v>
      </c>
      <c r="D52" s="3" t="s">
        <v>9</v>
      </c>
      <c r="E52" s="3" t="n">
        <v>7903</v>
      </c>
      <c r="F52" s="3" t="n">
        <v>2500</v>
      </c>
      <c r="G52" s="3" t="n">
        <v>32</v>
      </c>
      <c r="H52" s="8" t="n">
        <f aca="false">(E52/1000)*(F52/1000)*(G52/1000)*7850</f>
        <v>4963.084</v>
      </c>
      <c r="I52" s="3" t="n">
        <v>1</v>
      </c>
      <c r="J52" s="9" t="n">
        <f aca="false">H52*I52</f>
        <v>4963.084</v>
      </c>
      <c r="K52" s="3"/>
    </row>
    <row r="53" customFormat="false" ht="19.5" hidden="false" customHeight="false" outlineLevel="0" collapsed="false">
      <c r="A53" s="3" t="s">
        <v>72</v>
      </c>
      <c r="B53" s="3" t="s">
        <v>73</v>
      </c>
      <c r="C53" s="3" t="s">
        <v>185</v>
      </c>
      <c r="D53" s="3" t="s">
        <v>9</v>
      </c>
      <c r="E53" s="3" t="n">
        <v>7102</v>
      </c>
      <c r="F53" s="3" t="n">
        <v>2500</v>
      </c>
      <c r="G53" s="3" t="n">
        <v>32</v>
      </c>
      <c r="H53" s="8" t="n">
        <f aca="false">(E53/1000)*(F53/1000)*(G53/1000)*7850</f>
        <v>4460.056</v>
      </c>
      <c r="I53" s="3" t="n">
        <v>1</v>
      </c>
      <c r="J53" s="9" t="n">
        <f aca="false">H53*I53</f>
        <v>4460.056</v>
      </c>
      <c r="K53" s="3"/>
    </row>
    <row r="54" customFormat="false" ht="19.5" hidden="false" customHeight="false" outlineLevel="0" collapsed="false">
      <c r="A54" s="3" t="s">
        <v>72</v>
      </c>
      <c r="B54" s="3" t="s">
        <v>73</v>
      </c>
      <c r="C54" s="3" t="s">
        <v>185</v>
      </c>
      <c r="D54" s="3" t="s">
        <v>9</v>
      </c>
      <c r="E54" s="3" t="n">
        <v>12960</v>
      </c>
      <c r="F54" s="3" t="n">
        <v>1000</v>
      </c>
      <c r="G54" s="3" t="n">
        <v>32</v>
      </c>
      <c r="H54" s="8" t="n">
        <f aca="false">(E54/1000)*(F54/1000)*(G54/1000)*7850</f>
        <v>3255.552</v>
      </c>
      <c r="I54" s="3" t="n">
        <v>1</v>
      </c>
      <c r="J54" s="9" t="n">
        <f aca="false">H54*I54</f>
        <v>3255.552</v>
      </c>
      <c r="K54" s="3"/>
    </row>
    <row r="55" customFormat="false" ht="19.5" hidden="false" customHeight="false" outlineLevel="0" collapsed="false">
      <c r="A55" s="3" t="s">
        <v>72</v>
      </c>
      <c r="B55" s="3" t="s">
        <v>73</v>
      </c>
      <c r="C55" s="3" t="s">
        <v>185</v>
      </c>
      <c r="D55" s="3" t="s">
        <v>9</v>
      </c>
      <c r="E55" s="3" t="n">
        <v>11130</v>
      </c>
      <c r="F55" s="3" t="n">
        <v>1000</v>
      </c>
      <c r="G55" s="3" t="n">
        <v>32</v>
      </c>
      <c r="H55" s="8" t="n">
        <f aca="false">(E55/1000)*(F55/1000)*(G55/1000)*7850</f>
        <v>2795.856</v>
      </c>
      <c r="I55" s="3" t="n">
        <v>1</v>
      </c>
      <c r="J55" s="9" t="n">
        <f aca="false">H55*I55</f>
        <v>2795.856</v>
      </c>
      <c r="K55" s="3"/>
    </row>
    <row r="56" customFormat="false" ht="19.5" hidden="false" customHeight="false" outlineLevel="0" collapsed="false">
      <c r="A56" s="3" t="s">
        <v>72</v>
      </c>
      <c r="B56" s="3" t="s">
        <v>73</v>
      </c>
      <c r="C56" s="3" t="s">
        <v>186</v>
      </c>
      <c r="D56" s="3" t="s">
        <v>9</v>
      </c>
      <c r="E56" s="3" t="n">
        <v>1800</v>
      </c>
      <c r="F56" s="3" t="n">
        <v>1200</v>
      </c>
      <c r="G56" s="3" t="n">
        <v>16</v>
      </c>
      <c r="H56" s="8" t="n">
        <f aca="false">(E56/1000)*(F56/1000)*(G56/1000)*7850</f>
        <v>271.296</v>
      </c>
      <c r="I56" s="3" t="n">
        <v>3</v>
      </c>
      <c r="J56" s="9" t="n">
        <f aca="false">H56*I56</f>
        <v>813.888</v>
      </c>
      <c r="K56" s="3"/>
    </row>
    <row r="57" customFormat="false" ht="19.5" hidden="false" customHeight="false" outlineLevel="0" collapsed="false">
      <c r="A57" s="3" t="s">
        <v>72</v>
      </c>
      <c r="B57" s="3" t="s">
        <v>73</v>
      </c>
      <c r="C57" s="3" t="s">
        <v>187</v>
      </c>
      <c r="D57" s="3" t="s">
        <v>9</v>
      </c>
      <c r="E57" s="3" t="n">
        <v>1800</v>
      </c>
      <c r="F57" s="3" t="n">
        <v>1200</v>
      </c>
      <c r="G57" s="3" t="n">
        <v>16</v>
      </c>
      <c r="H57" s="8" t="n">
        <f aca="false">(E57/1000)*(F57/1000)*(G57/1000)*7850</f>
        <v>271.296</v>
      </c>
      <c r="I57" s="3" t="n">
        <v>2</v>
      </c>
      <c r="J57" s="9" t="n">
        <f aca="false">H57*I57</f>
        <v>542.592</v>
      </c>
      <c r="K57" s="3"/>
    </row>
    <row r="58" customFormat="false" ht="19.5" hidden="false" customHeight="false" outlineLevel="0" collapsed="false">
      <c r="A58" s="3" t="s">
        <v>72</v>
      </c>
      <c r="B58" s="3" t="s">
        <v>73</v>
      </c>
      <c r="C58" s="3" t="s">
        <v>193</v>
      </c>
      <c r="D58" s="3" t="s">
        <v>9</v>
      </c>
      <c r="E58" s="3" t="n">
        <v>2057</v>
      </c>
      <c r="F58" s="3" t="n">
        <v>200</v>
      </c>
      <c r="G58" s="3" t="n">
        <v>16</v>
      </c>
      <c r="H58" s="8" t="n">
        <f aca="false">(E58/1000)*(F58/1000)*(G58/1000)*7850</f>
        <v>51.67184</v>
      </c>
      <c r="I58" s="3" t="n">
        <v>3</v>
      </c>
      <c r="J58" s="9" t="n">
        <f aca="false">H58*I58</f>
        <v>155.01552</v>
      </c>
      <c r="K58" s="3"/>
    </row>
    <row r="59" customFormat="false" ht="19.5" hidden="false" customHeight="false" outlineLevel="0" collapsed="false">
      <c r="A59" s="3" t="s">
        <v>72</v>
      </c>
      <c r="B59" s="3" t="s">
        <v>73</v>
      </c>
      <c r="C59" s="3" t="s">
        <v>190</v>
      </c>
      <c r="D59" s="3" t="s">
        <v>8</v>
      </c>
      <c r="E59" s="3" t="n">
        <v>470</v>
      </c>
      <c r="F59" s="3" t="n">
        <v>1000</v>
      </c>
      <c r="G59" s="3" t="n">
        <v>24</v>
      </c>
      <c r="H59" s="8" t="n">
        <f aca="false">(E59/1000)*(F59/1000)*(G59/1000)*7850</f>
        <v>88.548</v>
      </c>
      <c r="I59" s="3" t="n">
        <v>6</v>
      </c>
      <c r="J59" s="9" t="n">
        <f aca="false">H59*I59</f>
        <v>531.288</v>
      </c>
      <c r="K59" s="3"/>
    </row>
    <row r="60" customFormat="false" ht="19.5" hidden="false" customHeight="false" outlineLevel="0" collapsed="false">
      <c r="A60" s="3" t="s">
        <v>72</v>
      </c>
      <c r="B60" s="3" t="s">
        <v>73</v>
      </c>
      <c r="C60" s="3" t="s">
        <v>191</v>
      </c>
      <c r="D60" s="3" t="s">
        <v>8</v>
      </c>
      <c r="E60" s="3" t="n">
        <v>480</v>
      </c>
      <c r="F60" s="3" t="n">
        <v>1000</v>
      </c>
      <c r="G60" s="3" t="n">
        <v>24</v>
      </c>
      <c r="H60" s="8" t="n">
        <f aca="false">(E60/1000)*(F60/1000)*(G60/1000)*7850</f>
        <v>90.432</v>
      </c>
      <c r="I60" s="3" t="n">
        <v>4</v>
      </c>
      <c r="J60" s="9" t="n">
        <f aca="false">H60*I60</f>
        <v>361.728</v>
      </c>
      <c r="K60" s="3"/>
    </row>
    <row r="61" customFormat="false" ht="19.5" hidden="false" customHeight="false" outlineLevel="0" collapsed="false">
      <c r="A61" s="3" t="s">
        <v>72</v>
      </c>
      <c r="B61" s="3" t="s">
        <v>73</v>
      </c>
      <c r="C61" s="3" t="s">
        <v>192</v>
      </c>
      <c r="D61" s="3" t="s">
        <v>8</v>
      </c>
      <c r="E61" s="3" t="n">
        <v>1800</v>
      </c>
      <c r="F61" s="3" t="n">
        <v>602</v>
      </c>
      <c r="G61" s="3" t="n">
        <v>14</v>
      </c>
      <c r="H61" s="8" t="n">
        <f aca="false">(E61/1000)*(F61/1000)*(G61/1000)*7850</f>
        <v>119.08764</v>
      </c>
      <c r="I61" s="3" t="n">
        <v>6</v>
      </c>
      <c r="J61" s="9" t="n">
        <f aca="false">H61*I61</f>
        <v>714.52584</v>
      </c>
      <c r="K61" s="3"/>
    </row>
    <row r="62" customFormat="false" ht="19.5" hidden="false" customHeight="false" outlineLevel="0" collapsed="false">
      <c r="A62" s="3" t="s">
        <v>75</v>
      </c>
      <c r="B62" s="3" t="s">
        <v>76</v>
      </c>
      <c r="C62" s="3" t="s">
        <v>182</v>
      </c>
      <c r="D62" s="3" t="s">
        <v>9</v>
      </c>
      <c r="E62" s="3" t="n">
        <v>1960</v>
      </c>
      <c r="F62" s="3" t="n">
        <v>1200</v>
      </c>
      <c r="G62" s="3" t="n">
        <v>16</v>
      </c>
      <c r="H62" s="8" t="n">
        <f aca="false">(E62/1000)*(F62/1000)*(G62/1000)*7850</f>
        <v>295.4112</v>
      </c>
      <c r="I62" s="3" t="n">
        <v>3</v>
      </c>
      <c r="J62" s="9" t="n">
        <f aca="false">H62*I62</f>
        <v>886.2336</v>
      </c>
      <c r="K62" s="3"/>
    </row>
    <row r="63" customFormat="false" ht="19.5" hidden="false" customHeight="false" outlineLevel="0" collapsed="false">
      <c r="A63" s="3" t="s">
        <v>75</v>
      </c>
      <c r="B63" s="3" t="s">
        <v>76</v>
      </c>
      <c r="C63" s="3" t="s">
        <v>183</v>
      </c>
      <c r="D63" s="3" t="s">
        <v>9</v>
      </c>
      <c r="E63" s="3" t="n">
        <v>1960</v>
      </c>
      <c r="F63" s="3" t="n">
        <v>1200</v>
      </c>
      <c r="G63" s="3" t="n">
        <v>16</v>
      </c>
      <c r="H63" s="8" t="n">
        <f aca="false">(E63/1000)*(F63/1000)*(G63/1000)*7850</f>
        <v>295.4112</v>
      </c>
      <c r="I63" s="3" t="n">
        <v>2</v>
      </c>
      <c r="J63" s="9" t="n">
        <f aca="false">H63*I63</f>
        <v>590.8224</v>
      </c>
      <c r="K63" s="3"/>
    </row>
    <row r="64" customFormat="false" ht="19.5" hidden="false" customHeight="false" outlineLevel="0" collapsed="false">
      <c r="A64" s="3" t="s">
        <v>75</v>
      </c>
      <c r="B64" s="3" t="s">
        <v>76</v>
      </c>
      <c r="C64" s="3" t="s">
        <v>184</v>
      </c>
      <c r="D64" s="3" t="s">
        <v>9</v>
      </c>
      <c r="E64" s="3" t="n">
        <v>2057</v>
      </c>
      <c r="F64" s="3" t="n">
        <v>200</v>
      </c>
      <c r="G64" s="3" t="n">
        <v>16</v>
      </c>
      <c r="H64" s="8" t="n">
        <f aca="false">(E64/1000)*(F64/1000)*(G64/1000)*7850</f>
        <v>51.67184</v>
      </c>
      <c r="I64" s="3" t="n">
        <v>3</v>
      </c>
      <c r="J64" s="9" t="n">
        <f aca="false">H64*I64</f>
        <v>155.01552</v>
      </c>
      <c r="K64" s="3"/>
    </row>
    <row r="65" customFormat="false" ht="19.5" hidden="false" customHeight="false" outlineLevel="0" collapsed="false">
      <c r="A65" s="3" t="s">
        <v>75</v>
      </c>
      <c r="B65" s="3" t="s">
        <v>76</v>
      </c>
      <c r="C65" s="3" t="s">
        <v>184</v>
      </c>
      <c r="D65" s="3" t="s">
        <v>9</v>
      </c>
      <c r="E65" s="3" t="n">
        <v>800</v>
      </c>
      <c r="F65" s="3" t="n">
        <v>400</v>
      </c>
      <c r="G65" s="3" t="n">
        <v>16</v>
      </c>
      <c r="H65" s="8" t="n">
        <f aca="false">(E65/1000)*(F65/1000)*(G65/1000)*7850</f>
        <v>40.192</v>
      </c>
      <c r="I65" s="3" t="n">
        <v>4</v>
      </c>
      <c r="J65" s="9" t="n">
        <f aca="false">H65*I65</f>
        <v>160.768</v>
      </c>
      <c r="K65" s="3"/>
    </row>
    <row r="66" customFormat="false" ht="19.5" hidden="false" customHeight="false" outlineLevel="0" collapsed="false">
      <c r="A66" s="3" t="s">
        <v>75</v>
      </c>
      <c r="B66" s="3" t="s">
        <v>76</v>
      </c>
      <c r="C66" s="3" t="s">
        <v>184</v>
      </c>
      <c r="D66" s="3" t="s">
        <v>9</v>
      </c>
      <c r="E66" s="3" t="n">
        <v>8039</v>
      </c>
      <c r="F66" s="3" t="n">
        <v>320</v>
      </c>
      <c r="G66" s="3" t="n">
        <v>32</v>
      </c>
      <c r="H66" s="8" t="n">
        <f aca="false">(E66/1000)*(F66/1000)*(G66/1000)*7850</f>
        <v>646.206976</v>
      </c>
      <c r="I66" s="3" t="n">
        <v>6</v>
      </c>
      <c r="J66" s="9" t="n">
        <f aca="false">H66*I66</f>
        <v>3877.241856</v>
      </c>
      <c r="K66" s="3"/>
    </row>
    <row r="67" customFormat="false" ht="19.5" hidden="false" customHeight="false" outlineLevel="0" collapsed="false">
      <c r="A67" s="3" t="s">
        <v>75</v>
      </c>
      <c r="B67" s="3" t="s">
        <v>76</v>
      </c>
      <c r="C67" s="3" t="s">
        <v>184</v>
      </c>
      <c r="D67" s="3" t="s">
        <v>9</v>
      </c>
      <c r="E67" s="3" t="n">
        <v>6940</v>
      </c>
      <c r="F67" s="3" t="n">
        <v>320</v>
      </c>
      <c r="G67" s="3" t="n">
        <v>32</v>
      </c>
      <c r="H67" s="8" t="n">
        <f aca="false">(E67/1000)*(F67/1000)*(G67/1000)*7850</f>
        <v>557.86496</v>
      </c>
      <c r="I67" s="3" t="n">
        <v>6</v>
      </c>
      <c r="J67" s="9" t="n">
        <f aca="false">H67*I67</f>
        <v>3347.18976</v>
      </c>
      <c r="K67" s="3"/>
    </row>
    <row r="68" customFormat="false" ht="19.5" hidden="false" customHeight="false" outlineLevel="0" collapsed="false">
      <c r="A68" s="3" t="s">
        <v>75</v>
      </c>
      <c r="B68" s="3" t="s">
        <v>76</v>
      </c>
      <c r="C68" s="3" t="s">
        <v>184</v>
      </c>
      <c r="D68" s="3" t="s">
        <v>9</v>
      </c>
      <c r="E68" s="3" t="n">
        <v>8040</v>
      </c>
      <c r="F68" s="3" t="n">
        <v>2500</v>
      </c>
      <c r="G68" s="3" t="n">
        <v>32</v>
      </c>
      <c r="H68" s="8" t="n">
        <f aca="false">(E68/1000)*(F68/1000)*(G68/1000)*7850</f>
        <v>5049.12</v>
      </c>
      <c r="I68" s="3" t="n">
        <v>1</v>
      </c>
      <c r="J68" s="9" t="n">
        <f aca="false">H68*I68</f>
        <v>5049.12</v>
      </c>
      <c r="K68" s="3"/>
    </row>
    <row r="69" customFormat="false" ht="19.5" hidden="false" customHeight="false" outlineLevel="0" collapsed="false">
      <c r="A69" s="3" t="s">
        <v>75</v>
      </c>
      <c r="B69" s="3" t="s">
        <v>76</v>
      </c>
      <c r="C69" s="3" t="s">
        <v>184</v>
      </c>
      <c r="D69" s="3" t="s">
        <v>9</v>
      </c>
      <c r="E69" s="3" t="n">
        <v>6941</v>
      </c>
      <c r="F69" s="3" t="n">
        <v>2500</v>
      </c>
      <c r="G69" s="3" t="n">
        <v>32</v>
      </c>
      <c r="H69" s="8" t="n">
        <f aca="false">(E69/1000)*(F69/1000)*(G69/1000)*7850</f>
        <v>4358.948</v>
      </c>
      <c r="I69" s="3" t="n">
        <v>1</v>
      </c>
      <c r="J69" s="9" t="n">
        <f aca="false">H69*I69</f>
        <v>4358.948</v>
      </c>
      <c r="K69" s="3"/>
    </row>
    <row r="70" customFormat="false" ht="19.5" hidden="false" customHeight="false" outlineLevel="0" collapsed="false">
      <c r="A70" s="3" t="s">
        <v>75</v>
      </c>
      <c r="B70" s="3" t="s">
        <v>76</v>
      </c>
      <c r="C70" s="3" t="s">
        <v>184</v>
      </c>
      <c r="D70" s="3" t="s">
        <v>9</v>
      </c>
      <c r="E70" s="3" t="n">
        <v>17430</v>
      </c>
      <c r="F70" s="3" t="n">
        <v>1000</v>
      </c>
      <c r="G70" s="3" t="n">
        <v>40</v>
      </c>
      <c r="H70" s="8" t="n">
        <f aca="false">(E70/1000)*(F70/1000)*(G70/1000)*7850</f>
        <v>5473.02</v>
      </c>
      <c r="I70" s="3" t="n">
        <v>1</v>
      </c>
      <c r="J70" s="9" t="n">
        <f aca="false">H70*I70</f>
        <v>5473.02</v>
      </c>
      <c r="K70" s="3"/>
    </row>
    <row r="71" customFormat="false" ht="19.5" hidden="false" customHeight="false" outlineLevel="0" collapsed="false">
      <c r="A71" s="3" t="s">
        <v>75</v>
      </c>
      <c r="B71" s="3" t="s">
        <v>76</v>
      </c>
      <c r="C71" s="3" t="s">
        <v>186</v>
      </c>
      <c r="D71" s="3" t="s">
        <v>9</v>
      </c>
      <c r="E71" s="3" t="n">
        <v>1800</v>
      </c>
      <c r="F71" s="3" t="n">
        <v>1200</v>
      </c>
      <c r="G71" s="3" t="n">
        <v>16</v>
      </c>
      <c r="H71" s="8" t="n">
        <f aca="false">(E71/1000)*(F71/1000)*(G71/1000)*7850</f>
        <v>271.296</v>
      </c>
      <c r="I71" s="3" t="n">
        <v>2</v>
      </c>
      <c r="J71" s="9" t="n">
        <f aca="false">H71*I71</f>
        <v>542.592</v>
      </c>
      <c r="K71" s="3"/>
    </row>
    <row r="72" customFormat="false" ht="19.5" hidden="false" customHeight="false" outlineLevel="0" collapsed="false">
      <c r="A72" s="3" t="s">
        <v>75</v>
      </c>
      <c r="B72" s="3" t="s">
        <v>76</v>
      </c>
      <c r="C72" s="3" t="s">
        <v>193</v>
      </c>
      <c r="D72" s="3" t="s">
        <v>9</v>
      </c>
      <c r="E72" s="3" t="n">
        <v>2057</v>
      </c>
      <c r="F72" s="3" t="n">
        <v>200</v>
      </c>
      <c r="G72" s="3" t="n">
        <v>16</v>
      </c>
      <c r="H72" s="8" t="n">
        <f aca="false">(E72/1000)*(F72/1000)*(G72/1000)*7850</f>
        <v>51.67184</v>
      </c>
      <c r="I72" s="3" t="n">
        <v>2</v>
      </c>
      <c r="J72" s="9" t="n">
        <f aca="false">H72*I72</f>
        <v>103.34368</v>
      </c>
      <c r="K72" s="3"/>
    </row>
    <row r="73" customFormat="false" ht="19.5" hidden="false" customHeight="false" outlineLevel="0" collapsed="false">
      <c r="A73" s="3" t="s">
        <v>75</v>
      </c>
      <c r="B73" s="3" t="s">
        <v>76</v>
      </c>
      <c r="C73" s="3" t="s">
        <v>192</v>
      </c>
      <c r="D73" s="3" t="s">
        <v>8</v>
      </c>
      <c r="E73" s="3" t="n">
        <v>1800</v>
      </c>
      <c r="F73" s="3" t="n">
        <v>606</v>
      </c>
      <c r="G73" s="3" t="n">
        <v>14</v>
      </c>
      <c r="H73" s="8" t="n">
        <f aca="false">(E73/1000)*(F73/1000)*(G73/1000)*7850</f>
        <v>119.87892</v>
      </c>
      <c r="I73" s="3" t="n">
        <v>4</v>
      </c>
      <c r="J73" s="9" t="n">
        <f aca="false">H73*I73</f>
        <v>479.51568</v>
      </c>
      <c r="K73" s="3"/>
    </row>
    <row r="74" customFormat="false" ht="19.5" hidden="false" customHeight="false" outlineLevel="0" collapsed="false">
      <c r="A74" s="3" t="s">
        <v>75</v>
      </c>
      <c r="B74" s="3" t="s">
        <v>76</v>
      </c>
      <c r="C74" s="3" t="s">
        <v>194</v>
      </c>
      <c r="D74" s="3" t="s">
        <v>8</v>
      </c>
      <c r="E74" s="3" t="n">
        <v>1800</v>
      </c>
      <c r="F74" s="3" t="n">
        <v>606</v>
      </c>
      <c r="G74" s="3" t="n">
        <v>14</v>
      </c>
      <c r="H74" s="8" t="n">
        <f aca="false">(E74/1000)*(F74/1000)*(G74/1000)*7850</f>
        <v>119.87892</v>
      </c>
      <c r="I74" s="3" t="n">
        <v>6</v>
      </c>
      <c r="J74" s="9" t="n">
        <f aca="false">H74*I74</f>
        <v>719.27352</v>
      </c>
      <c r="K74" s="3"/>
    </row>
    <row r="75" customFormat="false" ht="19.5" hidden="false" customHeight="false" outlineLevel="0" collapsed="false">
      <c r="A75" s="3" t="s">
        <v>75</v>
      </c>
      <c r="B75" s="3" t="s">
        <v>76</v>
      </c>
      <c r="C75" s="3" t="s">
        <v>195</v>
      </c>
      <c r="D75" s="3" t="s">
        <v>9</v>
      </c>
      <c r="E75" s="3" t="n">
        <v>1800</v>
      </c>
      <c r="F75" s="3" t="n">
        <v>1200</v>
      </c>
      <c r="G75" s="3" t="n">
        <v>32</v>
      </c>
      <c r="H75" s="8" t="n">
        <f aca="false">(E75/1000)*(F75/1000)*(G75/1000)*7850</f>
        <v>542.592</v>
      </c>
      <c r="I75" s="3" t="n">
        <v>5</v>
      </c>
      <c r="J75" s="9" t="n">
        <f aca="false">H75*I75</f>
        <v>2712.96</v>
      </c>
      <c r="K75" s="3"/>
    </row>
    <row r="76" customFormat="false" ht="19.5" hidden="false" customHeight="false" outlineLevel="0" collapsed="false">
      <c r="A76" s="3" t="s">
        <v>75</v>
      </c>
      <c r="B76" s="3" t="s">
        <v>76</v>
      </c>
      <c r="C76" s="3" t="s">
        <v>196</v>
      </c>
      <c r="D76" s="3" t="s">
        <v>9</v>
      </c>
      <c r="E76" s="3" t="n">
        <v>1800</v>
      </c>
      <c r="F76" s="3" t="n">
        <v>602</v>
      </c>
      <c r="G76" s="3" t="n">
        <v>44</v>
      </c>
      <c r="H76" s="8" t="n">
        <f aca="false">(E76/1000)*(F76/1000)*(G76/1000)*7850</f>
        <v>374.27544</v>
      </c>
      <c r="I76" s="3" t="n">
        <v>6</v>
      </c>
      <c r="J76" s="9" t="n">
        <f aca="false">H76*I76</f>
        <v>2245.65264</v>
      </c>
      <c r="K76" s="3"/>
    </row>
    <row r="77" customFormat="false" ht="19.5" hidden="false" customHeight="false" outlineLevel="0" collapsed="false">
      <c r="A77" s="3" t="s">
        <v>75</v>
      </c>
      <c r="B77" s="3" t="s">
        <v>76</v>
      </c>
      <c r="C77" s="3" t="s">
        <v>197</v>
      </c>
      <c r="D77" s="3" t="s">
        <v>9</v>
      </c>
      <c r="E77" s="3" t="n">
        <v>2800</v>
      </c>
      <c r="F77" s="3" t="n">
        <v>2650</v>
      </c>
      <c r="G77" s="3" t="n">
        <v>100</v>
      </c>
      <c r="H77" s="8" t="n">
        <f aca="false">(E77/1000)*(F77/1000)*(G77/1000)*7850</f>
        <v>5824.7</v>
      </c>
      <c r="I77" s="3" t="n">
        <v>1</v>
      </c>
      <c r="J77" s="9" t="n">
        <f aca="false">H77*I77</f>
        <v>5824.7</v>
      </c>
      <c r="K77" s="3"/>
    </row>
    <row r="78" customFormat="false" ht="19.5" hidden="false" customHeight="false" outlineLevel="0" collapsed="false">
      <c r="A78" s="3" t="s">
        <v>75</v>
      </c>
      <c r="B78" s="3" t="s">
        <v>76</v>
      </c>
      <c r="C78" s="3" t="s">
        <v>198</v>
      </c>
      <c r="D78" s="3" t="s">
        <v>9</v>
      </c>
      <c r="E78" s="3" t="n">
        <v>1350</v>
      </c>
      <c r="F78" s="3" t="n">
        <v>570</v>
      </c>
      <c r="G78" s="3" t="n">
        <v>32</v>
      </c>
      <c r="H78" s="8" t="n">
        <f aca="false">(E78/1000)*(F78/1000)*(G78/1000)*7850</f>
        <v>193.2984</v>
      </c>
      <c r="I78" s="3" t="n">
        <v>4</v>
      </c>
      <c r="J78" s="9" t="n">
        <f aca="false">H78*I78</f>
        <v>773.1936</v>
      </c>
      <c r="K78" s="3"/>
    </row>
    <row r="79" customFormat="false" ht="19.5" hidden="false" customHeight="false" outlineLevel="0" collapsed="false">
      <c r="A79" s="3" t="s">
        <v>77</v>
      </c>
      <c r="B79" s="3" t="s">
        <v>78</v>
      </c>
      <c r="C79" s="3" t="s">
        <v>182</v>
      </c>
      <c r="D79" s="3" t="s">
        <v>8</v>
      </c>
      <c r="E79" s="3" t="n">
        <v>1960</v>
      </c>
      <c r="F79" s="3" t="n">
        <v>1200</v>
      </c>
      <c r="G79" s="3" t="n">
        <v>16</v>
      </c>
      <c r="H79" s="8" t="n">
        <f aca="false">(E79/1000)*(F79/1000)*(G79/1000)*7850</f>
        <v>295.4112</v>
      </c>
      <c r="I79" s="3" t="n">
        <v>3</v>
      </c>
      <c r="J79" s="9" t="n">
        <f aca="false">H79*I79</f>
        <v>886.2336</v>
      </c>
      <c r="K79" s="3"/>
    </row>
    <row r="80" customFormat="false" ht="19.5" hidden="false" customHeight="false" outlineLevel="0" collapsed="false">
      <c r="A80" s="3" t="s">
        <v>77</v>
      </c>
      <c r="B80" s="3" t="s">
        <v>78</v>
      </c>
      <c r="C80" s="3" t="s">
        <v>183</v>
      </c>
      <c r="D80" s="3" t="s">
        <v>8</v>
      </c>
      <c r="E80" s="3" t="n">
        <v>1960</v>
      </c>
      <c r="F80" s="3" t="n">
        <v>1200</v>
      </c>
      <c r="G80" s="3" t="n">
        <v>16</v>
      </c>
      <c r="H80" s="8" t="n">
        <f aca="false">(E80/1000)*(F80/1000)*(G80/1000)*7850</f>
        <v>295.4112</v>
      </c>
      <c r="I80" s="3" t="n">
        <v>2</v>
      </c>
      <c r="J80" s="9" t="n">
        <f aca="false">H80*I80</f>
        <v>590.8224</v>
      </c>
      <c r="K80" s="3"/>
    </row>
    <row r="81" customFormat="false" ht="19.5" hidden="false" customHeight="false" outlineLevel="0" collapsed="false">
      <c r="A81" s="3" t="s">
        <v>77</v>
      </c>
      <c r="B81" s="3" t="s">
        <v>78</v>
      </c>
      <c r="C81" s="3" t="s">
        <v>184</v>
      </c>
      <c r="D81" s="3" t="s">
        <v>8</v>
      </c>
      <c r="E81" s="3" t="n">
        <v>2057</v>
      </c>
      <c r="F81" s="3" t="n">
        <v>200</v>
      </c>
      <c r="G81" s="3" t="n">
        <v>16</v>
      </c>
      <c r="H81" s="8" t="n">
        <f aca="false">(E81/1000)*(F81/1000)*(G81/1000)*7850</f>
        <v>51.67184</v>
      </c>
      <c r="I81" s="3" t="n">
        <v>3</v>
      </c>
      <c r="J81" s="9" t="n">
        <f aca="false">H81*I81</f>
        <v>155.01552</v>
      </c>
      <c r="K81" s="3"/>
    </row>
    <row r="82" customFormat="false" ht="19.5" hidden="false" customHeight="false" outlineLevel="0" collapsed="false">
      <c r="A82" s="3" t="s">
        <v>77</v>
      </c>
      <c r="B82" s="3" t="s">
        <v>78</v>
      </c>
      <c r="C82" s="3" t="s">
        <v>185</v>
      </c>
      <c r="D82" s="3" t="s">
        <v>180</v>
      </c>
      <c r="E82" s="3" t="n">
        <v>2057</v>
      </c>
      <c r="F82" s="3" t="n">
        <v>40</v>
      </c>
      <c r="G82" s="3" t="n">
        <v>4</v>
      </c>
      <c r="H82" s="8" t="n">
        <f aca="false">(E82/1000)*(F82/1000)*(G82/1000)*7850</f>
        <v>2.583592</v>
      </c>
      <c r="I82" s="3" t="n">
        <v>4</v>
      </c>
      <c r="J82" s="9" t="n">
        <f aca="false">H82*I82</f>
        <v>10.334368</v>
      </c>
      <c r="K82" s="3"/>
    </row>
    <row r="83" customFormat="false" ht="19.5" hidden="false" customHeight="false" outlineLevel="0" collapsed="false">
      <c r="A83" s="3" t="s">
        <v>77</v>
      </c>
      <c r="B83" s="3" t="s">
        <v>78</v>
      </c>
      <c r="C83" s="3" t="s">
        <v>185</v>
      </c>
      <c r="D83" s="3" t="s">
        <v>9</v>
      </c>
      <c r="E83" s="3" t="n">
        <v>7900</v>
      </c>
      <c r="F83" s="3" t="n">
        <v>320</v>
      </c>
      <c r="G83" s="3" t="n">
        <v>32</v>
      </c>
      <c r="H83" s="8" t="n">
        <f aca="false">(E83/1000)*(F83/1000)*(G83/1000)*7850</f>
        <v>635.0336</v>
      </c>
      <c r="I83" s="3" t="n">
        <v>6</v>
      </c>
      <c r="J83" s="9" t="n">
        <f aca="false">H83*I83</f>
        <v>3810.2016</v>
      </c>
      <c r="K83" s="3"/>
    </row>
    <row r="84" customFormat="false" ht="19.5" hidden="false" customHeight="false" outlineLevel="0" collapsed="false">
      <c r="A84" s="3" t="s">
        <v>77</v>
      </c>
      <c r="B84" s="3" t="s">
        <v>78</v>
      </c>
      <c r="C84" s="3" t="s">
        <v>185</v>
      </c>
      <c r="D84" s="3" t="s">
        <v>9</v>
      </c>
      <c r="E84" s="3" t="n">
        <v>6950</v>
      </c>
      <c r="F84" s="3" t="n">
        <v>320</v>
      </c>
      <c r="G84" s="3" t="n">
        <v>32</v>
      </c>
      <c r="H84" s="8" t="n">
        <f aca="false">(E84/1000)*(F84/1000)*(G84/1000)*7850</f>
        <v>558.6688</v>
      </c>
      <c r="I84" s="3" t="n">
        <v>6</v>
      </c>
      <c r="J84" s="9" t="n">
        <f aca="false">H84*I84</f>
        <v>3352.0128</v>
      </c>
      <c r="K84" s="3"/>
    </row>
    <row r="85" customFormat="false" ht="19.5" hidden="false" customHeight="false" outlineLevel="0" collapsed="false">
      <c r="A85" s="3" t="s">
        <v>77</v>
      </c>
      <c r="B85" s="3" t="s">
        <v>78</v>
      </c>
      <c r="C85" s="3" t="s">
        <v>185</v>
      </c>
      <c r="D85" s="3" t="s">
        <v>9</v>
      </c>
      <c r="E85" s="3" t="n">
        <v>8050</v>
      </c>
      <c r="F85" s="3" t="n">
        <v>2500</v>
      </c>
      <c r="G85" s="3" t="n">
        <v>32</v>
      </c>
      <c r="H85" s="8" t="n">
        <f aca="false">(E85/1000)*(F85/1000)*(G85/1000)*7850</f>
        <v>5055.4</v>
      </c>
      <c r="I85" s="3" t="n">
        <v>1</v>
      </c>
      <c r="J85" s="9" t="n">
        <f aca="false">H85*I85</f>
        <v>5055.4</v>
      </c>
      <c r="K85" s="3"/>
    </row>
    <row r="86" customFormat="false" ht="19.5" hidden="false" customHeight="false" outlineLevel="0" collapsed="false">
      <c r="A86" s="3" t="s">
        <v>77</v>
      </c>
      <c r="B86" s="3" t="s">
        <v>78</v>
      </c>
      <c r="C86" s="3" t="s">
        <v>185</v>
      </c>
      <c r="D86" s="3" t="s">
        <v>8</v>
      </c>
      <c r="E86" s="3" t="n">
        <v>7101</v>
      </c>
      <c r="F86" s="3" t="n">
        <v>2500</v>
      </c>
      <c r="G86" s="3" t="n">
        <v>24</v>
      </c>
      <c r="H86" s="8" t="n">
        <f aca="false">(E86/1000)*(F86/1000)*(G86/1000)*7850</f>
        <v>3344.571</v>
      </c>
      <c r="I86" s="3" t="n">
        <v>1</v>
      </c>
      <c r="J86" s="9" t="n">
        <f aca="false">H86*I86</f>
        <v>3344.571</v>
      </c>
      <c r="K86" s="3"/>
    </row>
    <row r="87" customFormat="false" ht="19.5" hidden="false" customHeight="false" outlineLevel="0" collapsed="false">
      <c r="A87" s="3" t="s">
        <v>77</v>
      </c>
      <c r="B87" s="3" t="s">
        <v>78</v>
      </c>
      <c r="C87" s="3" t="s">
        <v>187</v>
      </c>
      <c r="D87" s="3" t="s">
        <v>8</v>
      </c>
      <c r="E87" s="3" t="n">
        <v>1800</v>
      </c>
      <c r="F87" s="3" t="n">
        <v>1200</v>
      </c>
      <c r="G87" s="3" t="n">
        <v>16</v>
      </c>
      <c r="H87" s="8" t="n">
        <f aca="false">(E87/1000)*(F87/1000)*(G87/1000)*7850</f>
        <v>271.296</v>
      </c>
      <c r="I87" s="3" t="n">
        <v>2</v>
      </c>
      <c r="J87" s="9" t="n">
        <f aca="false">H87*I87</f>
        <v>542.592</v>
      </c>
      <c r="K87" s="3"/>
    </row>
    <row r="88" customFormat="false" ht="19.5" hidden="false" customHeight="false" outlineLevel="0" collapsed="false">
      <c r="A88" s="3" t="s">
        <v>77</v>
      </c>
      <c r="B88" s="3" t="s">
        <v>78</v>
      </c>
      <c r="C88" s="3" t="s">
        <v>193</v>
      </c>
      <c r="D88" s="3" t="s">
        <v>8</v>
      </c>
      <c r="E88" s="3" t="n">
        <v>2057</v>
      </c>
      <c r="F88" s="3" t="n">
        <v>200</v>
      </c>
      <c r="G88" s="3" t="n">
        <v>16</v>
      </c>
      <c r="H88" s="8" t="n">
        <f aca="false">(E88/1000)*(F88/1000)*(G88/1000)*7850</f>
        <v>51.67184</v>
      </c>
      <c r="I88" s="3" t="n">
        <v>3</v>
      </c>
      <c r="J88" s="9" t="n">
        <f aca="false">H88*I88</f>
        <v>155.01552</v>
      </c>
      <c r="K88" s="3"/>
    </row>
    <row r="89" customFormat="false" ht="19.5" hidden="false" customHeight="false" outlineLevel="0" collapsed="false">
      <c r="A89" s="3" t="s">
        <v>77</v>
      </c>
      <c r="B89" s="3" t="s">
        <v>78</v>
      </c>
      <c r="C89" s="3" t="s">
        <v>191</v>
      </c>
      <c r="D89" s="3" t="s">
        <v>8</v>
      </c>
      <c r="E89" s="3" t="n">
        <v>480</v>
      </c>
      <c r="F89" s="3" t="n">
        <v>1000</v>
      </c>
      <c r="G89" s="3" t="n">
        <v>24</v>
      </c>
      <c r="H89" s="8" t="n">
        <f aca="false">(E89/1000)*(F89/1000)*(G89/1000)*7850</f>
        <v>90.432</v>
      </c>
      <c r="I89" s="3" t="n">
        <v>4</v>
      </c>
      <c r="J89" s="9" t="n">
        <f aca="false">H89*I89</f>
        <v>361.728</v>
      </c>
      <c r="K89" s="3"/>
    </row>
    <row r="90" customFormat="false" ht="19.5" hidden="false" customHeight="false" outlineLevel="0" collapsed="false">
      <c r="A90" s="3" t="s">
        <v>77</v>
      </c>
      <c r="B90" s="3" t="s">
        <v>78</v>
      </c>
      <c r="C90" s="3" t="s">
        <v>192</v>
      </c>
      <c r="D90" s="3" t="s">
        <v>8</v>
      </c>
      <c r="E90" s="3" t="n">
        <v>1800</v>
      </c>
      <c r="F90" s="3" t="n">
        <v>606</v>
      </c>
      <c r="G90" s="3" t="n">
        <v>14</v>
      </c>
      <c r="H90" s="8" t="n">
        <f aca="false">(E90/1000)*(F90/1000)*(G90/1000)*7850</f>
        <v>119.87892</v>
      </c>
      <c r="I90" s="3" t="n">
        <v>6</v>
      </c>
      <c r="J90" s="9" t="n">
        <f aca="false">H90*I90</f>
        <v>719.27352</v>
      </c>
      <c r="K90" s="3"/>
    </row>
    <row r="91" customFormat="false" ht="19.5" hidden="false" customHeight="false" outlineLevel="0" collapsed="false">
      <c r="A91" s="3" t="s">
        <v>79</v>
      </c>
      <c r="B91" s="3" t="s">
        <v>80</v>
      </c>
      <c r="C91" s="3" t="s">
        <v>182</v>
      </c>
      <c r="D91" s="3" t="s">
        <v>8</v>
      </c>
      <c r="E91" s="3" t="n">
        <v>1980</v>
      </c>
      <c r="F91" s="3" t="n">
        <v>1200</v>
      </c>
      <c r="G91" s="3" t="n">
        <v>16</v>
      </c>
      <c r="H91" s="8" t="n">
        <f aca="false">(E91/1000)*(F91/1000)*(G91/1000)*7850</f>
        <v>298.4256</v>
      </c>
      <c r="I91" s="3" t="n">
        <v>3</v>
      </c>
      <c r="J91" s="9" t="n">
        <f aca="false">H91*I91</f>
        <v>895.2768</v>
      </c>
      <c r="K91" s="3"/>
    </row>
    <row r="92" customFormat="false" ht="19.5" hidden="false" customHeight="false" outlineLevel="0" collapsed="false">
      <c r="A92" s="3" t="s">
        <v>79</v>
      </c>
      <c r="B92" s="3" t="s">
        <v>80</v>
      </c>
      <c r="C92" s="3" t="s">
        <v>183</v>
      </c>
      <c r="D92" s="3" t="s">
        <v>8</v>
      </c>
      <c r="E92" s="3" t="n">
        <v>1976</v>
      </c>
      <c r="F92" s="3" t="n">
        <v>1200</v>
      </c>
      <c r="G92" s="3" t="n">
        <v>16</v>
      </c>
      <c r="H92" s="8" t="n">
        <f aca="false">(E92/1000)*(F92/1000)*(G92/1000)*7850</f>
        <v>297.82272</v>
      </c>
      <c r="I92" s="3" t="n">
        <v>2</v>
      </c>
      <c r="J92" s="9" t="n">
        <f aca="false">H92*I92</f>
        <v>595.64544</v>
      </c>
      <c r="K92" s="3"/>
    </row>
    <row r="93" customFormat="false" ht="19.5" hidden="false" customHeight="false" outlineLevel="0" collapsed="false">
      <c r="A93" s="3" t="s">
        <v>79</v>
      </c>
      <c r="B93" s="3" t="s">
        <v>80</v>
      </c>
      <c r="C93" s="3" t="s">
        <v>184</v>
      </c>
      <c r="D93" s="3" t="s">
        <v>8</v>
      </c>
      <c r="E93" s="3" t="n">
        <v>2057</v>
      </c>
      <c r="F93" s="3" t="n">
        <v>200</v>
      </c>
      <c r="G93" s="3" t="n">
        <v>16</v>
      </c>
      <c r="H93" s="8" t="n">
        <f aca="false">(E93/1000)*(F93/1000)*(G93/1000)*7850</f>
        <v>51.67184</v>
      </c>
      <c r="I93" s="3" t="n">
        <v>3</v>
      </c>
      <c r="J93" s="9" t="n">
        <f aca="false">H93*I93</f>
        <v>155.01552</v>
      </c>
      <c r="K93" s="3"/>
    </row>
    <row r="94" customFormat="false" ht="19.5" hidden="false" customHeight="false" outlineLevel="0" collapsed="false">
      <c r="A94" s="3" t="s">
        <v>79</v>
      </c>
      <c r="B94" s="3" t="s">
        <v>80</v>
      </c>
      <c r="C94" s="3" t="s">
        <v>185</v>
      </c>
      <c r="D94" s="3" t="s">
        <v>180</v>
      </c>
      <c r="E94" s="3" t="n">
        <v>2057</v>
      </c>
      <c r="F94" s="3" t="n">
        <v>40</v>
      </c>
      <c r="G94" s="3" t="n">
        <v>4</v>
      </c>
      <c r="H94" s="8" t="n">
        <f aca="false">(E94/1000)*(F94/1000)*(G94/1000)*7850</f>
        <v>2.583592</v>
      </c>
      <c r="I94" s="3" t="n">
        <v>4</v>
      </c>
      <c r="J94" s="9" t="n">
        <f aca="false">H94*I94</f>
        <v>10.334368</v>
      </c>
      <c r="K94" s="3"/>
    </row>
    <row r="95" customFormat="false" ht="19.5" hidden="false" customHeight="false" outlineLevel="0" collapsed="false">
      <c r="A95" s="3" t="s">
        <v>79</v>
      </c>
      <c r="B95" s="3" t="s">
        <v>80</v>
      </c>
      <c r="C95" s="3" t="s">
        <v>199</v>
      </c>
      <c r="D95" s="3" t="s">
        <v>8</v>
      </c>
      <c r="E95" s="3" t="n">
        <v>800</v>
      </c>
      <c r="F95" s="3" t="n">
        <v>400</v>
      </c>
      <c r="G95" s="3" t="n">
        <v>16</v>
      </c>
      <c r="H95" s="8" t="n">
        <f aca="false">(E95/1000)*(F95/1000)*(G95/1000)*7850</f>
        <v>40.192</v>
      </c>
      <c r="I95" s="3" t="n">
        <v>4</v>
      </c>
      <c r="J95" s="9" t="n">
        <f aca="false">H95*I95</f>
        <v>160.768</v>
      </c>
      <c r="K95" s="3"/>
    </row>
    <row r="96" customFormat="false" ht="19.5" hidden="false" customHeight="false" outlineLevel="0" collapsed="false">
      <c r="A96" s="3" t="s">
        <v>79</v>
      </c>
      <c r="B96" s="3" t="s">
        <v>80</v>
      </c>
      <c r="C96" s="3" t="s">
        <v>186</v>
      </c>
      <c r="D96" s="3" t="s">
        <v>8</v>
      </c>
      <c r="E96" s="3" t="n">
        <v>1800</v>
      </c>
      <c r="F96" s="3" t="n">
        <v>1200</v>
      </c>
      <c r="G96" s="3" t="n">
        <v>16</v>
      </c>
      <c r="H96" s="8" t="n">
        <f aca="false">(E96/1000)*(F96/1000)*(G96/1000)*7850</f>
        <v>271.296</v>
      </c>
      <c r="I96" s="3" t="n">
        <v>3</v>
      </c>
      <c r="J96" s="9" t="n">
        <f aca="false">H96*I96</f>
        <v>813.888</v>
      </c>
      <c r="K96" s="3"/>
    </row>
    <row r="97" customFormat="false" ht="19.5" hidden="false" customHeight="false" outlineLevel="0" collapsed="false">
      <c r="A97" s="3" t="s">
        <v>83</v>
      </c>
      <c r="B97" s="3" t="s">
        <v>84</v>
      </c>
      <c r="C97" s="3" t="s">
        <v>183</v>
      </c>
      <c r="D97" s="3" t="s">
        <v>8</v>
      </c>
      <c r="E97" s="3" t="n">
        <v>1980</v>
      </c>
      <c r="F97" s="3" t="n">
        <v>1200</v>
      </c>
      <c r="G97" s="3" t="n">
        <v>16</v>
      </c>
      <c r="H97" s="8" t="n">
        <f aca="false">(E97/1000)*(F97/1000)*(G97/1000)*7850</f>
        <v>298.4256</v>
      </c>
      <c r="I97" s="3" t="n">
        <v>2</v>
      </c>
      <c r="J97" s="9" t="n">
        <f aca="false">H97*I97</f>
        <v>596.8512</v>
      </c>
      <c r="K97" s="3"/>
    </row>
    <row r="98" customFormat="false" ht="19.5" hidden="false" customHeight="false" outlineLevel="0" collapsed="false">
      <c r="A98" s="3" t="s">
        <v>83</v>
      </c>
      <c r="B98" s="3" t="s">
        <v>84</v>
      </c>
      <c r="C98" s="3" t="s">
        <v>184</v>
      </c>
      <c r="D98" s="3" t="s">
        <v>8</v>
      </c>
      <c r="E98" s="3" t="n">
        <v>2057</v>
      </c>
      <c r="F98" s="3" t="n">
        <v>200</v>
      </c>
      <c r="G98" s="3" t="n">
        <v>16</v>
      </c>
      <c r="H98" s="8" t="n">
        <f aca="false">(E98/1000)*(F98/1000)*(G98/1000)*7850</f>
        <v>51.67184</v>
      </c>
      <c r="I98" s="3" t="n">
        <v>3</v>
      </c>
      <c r="J98" s="9" t="n">
        <f aca="false">H98*I98</f>
        <v>155.01552</v>
      </c>
      <c r="K98" s="3"/>
    </row>
    <row r="99" customFormat="false" ht="19.5" hidden="false" customHeight="false" outlineLevel="0" collapsed="false">
      <c r="A99" s="3" t="s">
        <v>83</v>
      </c>
      <c r="B99" s="3" t="s">
        <v>84</v>
      </c>
      <c r="C99" s="3" t="s">
        <v>185</v>
      </c>
      <c r="D99" s="3" t="s">
        <v>180</v>
      </c>
      <c r="E99" s="3" t="n">
        <v>2057</v>
      </c>
      <c r="F99" s="3" t="n">
        <v>40</v>
      </c>
      <c r="G99" s="3" t="n">
        <v>4</v>
      </c>
      <c r="H99" s="8" t="n">
        <f aca="false">(E99/1000)*(F99/1000)*(G99/1000)*7850</f>
        <v>2.583592</v>
      </c>
      <c r="I99" s="3" t="n">
        <v>4</v>
      </c>
      <c r="J99" s="9" t="n">
        <f aca="false">H99*I99</f>
        <v>10.334368</v>
      </c>
      <c r="K99" s="3"/>
    </row>
    <row r="100" customFormat="false" ht="19.5" hidden="false" customHeight="false" outlineLevel="0" collapsed="false">
      <c r="A100" s="3" t="s">
        <v>83</v>
      </c>
      <c r="B100" s="3" t="s">
        <v>84</v>
      </c>
      <c r="C100" s="3" t="s">
        <v>199</v>
      </c>
      <c r="D100" s="3" t="s">
        <v>8</v>
      </c>
      <c r="E100" s="3" t="n">
        <v>800</v>
      </c>
      <c r="F100" s="3" t="n">
        <v>400</v>
      </c>
      <c r="G100" s="3" t="n">
        <v>16</v>
      </c>
      <c r="H100" s="8" t="n">
        <f aca="false">(E100/1000)*(F100/1000)*(G100/1000)*7850</f>
        <v>40.192</v>
      </c>
      <c r="I100" s="3" t="n">
        <v>4</v>
      </c>
      <c r="J100" s="9" t="n">
        <f aca="false">H100*I100</f>
        <v>160.768</v>
      </c>
      <c r="K100" s="3"/>
    </row>
    <row r="101" customFormat="false" ht="19.5" hidden="false" customHeight="false" outlineLevel="0" collapsed="false">
      <c r="A101" s="3" t="s">
        <v>83</v>
      </c>
      <c r="B101" s="3" t="s">
        <v>84</v>
      </c>
      <c r="C101" s="3" t="s">
        <v>186</v>
      </c>
      <c r="D101" s="3" t="s">
        <v>8</v>
      </c>
      <c r="E101" s="3" t="n">
        <v>1800</v>
      </c>
      <c r="F101" s="3" t="n">
        <v>1200</v>
      </c>
      <c r="G101" s="3" t="n">
        <v>16</v>
      </c>
      <c r="H101" s="8" t="n">
        <f aca="false">(E101/1000)*(F101/1000)*(G101/1000)*7850</f>
        <v>271.296</v>
      </c>
      <c r="I101" s="3" t="n">
        <v>3</v>
      </c>
      <c r="J101" s="9" t="n">
        <f aca="false">H101*I101</f>
        <v>813.888</v>
      </c>
      <c r="K101" s="3"/>
    </row>
    <row r="102" customFormat="false" ht="19.5" hidden="false" customHeight="false" outlineLevel="0" collapsed="false">
      <c r="A102" s="3" t="s">
        <v>83</v>
      </c>
      <c r="B102" s="3" t="s">
        <v>84</v>
      </c>
      <c r="C102" s="3" t="s">
        <v>187</v>
      </c>
      <c r="D102" s="3" t="s">
        <v>8</v>
      </c>
      <c r="E102" s="3" t="n">
        <v>1800</v>
      </c>
      <c r="F102" s="3" t="n">
        <v>1200</v>
      </c>
      <c r="G102" s="3" t="n">
        <v>16</v>
      </c>
      <c r="H102" s="8" t="n">
        <f aca="false">(E102/1000)*(F102/1000)*(G102/1000)*7850</f>
        <v>271.296</v>
      </c>
      <c r="I102" s="3" t="n">
        <v>2</v>
      </c>
      <c r="J102" s="9" t="n">
        <f aca="false">H102*I102</f>
        <v>542.592</v>
      </c>
      <c r="K102" s="3"/>
    </row>
    <row r="103" customFormat="false" ht="19.5" hidden="false" customHeight="false" outlineLevel="0" collapsed="false">
      <c r="A103" s="3" t="s">
        <v>83</v>
      </c>
      <c r="B103" s="3" t="s">
        <v>84</v>
      </c>
      <c r="C103" s="3" t="s">
        <v>193</v>
      </c>
      <c r="D103" s="3" t="s">
        <v>8</v>
      </c>
      <c r="E103" s="3" t="n">
        <v>2057</v>
      </c>
      <c r="F103" s="3" t="n">
        <v>200</v>
      </c>
      <c r="G103" s="3" t="n">
        <v>16</v>
      </c>
      <c r="H103" s="8" t="n">
        <f aca="false">(E103/1000)*(F103/1000)*(G103/1000)*7850</f>
        <v>51.67184</v>
      </c>
      <c r="I103" s="3" t="n">
        <v>5</v>
      </c>
      <c r="J103" s="9" t="n">
        <f aca="false">H103*I103</f>
        <v>258.3592</v>
      </c>
      <c r="K103" s="3"/>
    </row>
    <row r="104" customFormat="false" ht="19.5" hidden="false" customHeight="false" outlineLevel="0" collapsed="false">
      <c r="A104" s="3" t="s">
        <v>83</v>
      </c>
      <c r="B104" s="3" t="s">
        <v>84</v>
      </c>
      <c r="C104" s="3" t="s">
        <v>188</v>
      </c>
      <c r="D104" s="3" t="s">
        <v>8</v>
      </c>
      <c r="E104" s="3" t="n">
        <v>1980</v>
      </c>
      <c r="F104" s="3" t="n">
        <v>610</v>
      </c>
      <c r="G104" s="3" t="n">
        <v>14</v>
      </c>
      <c r="H104" s="8" t="n">
        <f aca="false">(E104/1000)*(F104/1000)*(G104/1000)*7850</f>
        <v>132.73722</v>
      </c>
      <c r="I104" s="3" t="n">
        <v>6</v>
      </c>
      <c r="J104" s="9" t="n">
        <f aca="false">H104*I104</f>
        <v>796.42332</v>
      </c>
      <c r="K104" s="3"/>
    </row>
    <row r="105" customFormat="false" ht="19.5" hidden="false" customHeight="false" outlineLevel="0" collapsed="false">
      <c r="A105" s="3" t="s">
        <v>83</v>
      </c>
      <c r="B105" s="3" t="s">
        <v>84</v>
      </c>
      <c r="C105" s="3" t="s">
        <v>190</v>
      </c>
      <c r="D105" s="3" t="s">
        <v>8</v>
      </c>
      <c r="E105" s="3" t="n">
        <v>470</v>
      </c>
      <c r="F105" s="3" t="n">
        <v>1000</v>
      </c>
      <c r="G105" s="3" t="n">
        <v>24</v>
      </c>
      <c r="H105" s="8" t="n">
        <f aca="false">(E105/1000)*(F105/1000)*(G105/1000)*7850</f>
        <v>88.548</v>
      </c>
      <c r="I105" s="3" t="n">
        <v>6</v>
      </c>
      <c r="J105" s="9" t="n">
        <f aca="false">H105*I105</f>
        <v>531.288</v>
      </c>
      <c r="K105" s="3"/>
    </row>
    <row r="106" customFormat="false" ht="19.5" hidden="false" customHeight="false" outlineLevel="0" collapsed="false">
      <c r="A106" s="3" t="s">
        <v>83</v>
      </c>
      <c r="B106" s="3" t="s">
        <v>84</v>
      </c>
      <c r="C106" s="3" t="s">
        <v>191</v>
      </c>
      <c r="D106" s="3" t="s">
        <v>8</v>
      </c>
      <c r="E106" s="3" t="n">
        <v>480</v>
      </c>
      <c r="F106" s="3" t="n">
        <v>1000</v>
      </c>
      <c r="G106" s="3" t="n">
        <v>24</v>
      </c>
      <c r="H106" s="8" t="n">
        <f aca="false">(E106/1000)*(F106/1000)*(G106/1000)*7850</f>
        <v>90.432</v>
      </c>
      <c r="I106" s="3" t="n">
        <v>4</v>
      </c>
      <c r="J106" s="9" t="n">
        <f aca="false">H106*I106</f>
        <v>361.728</v>
      </c>
      <c r="K106" s="3"/>
    </row>
    <row r="107" customFormat="false" ht="19.5" hidden="false" customHeight="false" outlineLevel="0" collapsed="false">
      <c r="A107" s="3" t="s">
        <v>83</v>
      </c>
      <c r="B107" s="3" t="s">
        <v>84</v>
      </c>
      <c r="C107" s="3" t="s">
        <v>191</v>
      </c>
      <c r="D107" s="3" t="s">
        <v>8</v>
      </c>
      <c r="E107" s="3" t="n">
        <v>1800</v>
      </c>
      <c r="F107" s="3" t="n">
        <v>606</v>
      </c>
      <c r="G107" s="3" t="n">
        <v>14</v>
      </c>
      <c r="H107" s="8" t="n">
        <f aca="false">(E107/1000)*(F107/1000)*(G107/1000)*7850</f>
        <v>119.87892</v>
      </c>
      <c r="I107" s="3" t="n">
        <v>6</v>
      </c>
      <c r="J107" s="9" t="n">
        <f aca="false">H107*I107</f>
        <v>719.27352</v>
      </c>
      <c r="K107" s="3"/>
    </row>
    <row r="108" customFormat="false" ht="19.5" hidden="false" customHeight="false" outlineLevel="0" collapsed="false">
      <c r="A108" s="3" t="s">
        <v>83</v>
      </c>
      <c r="B108" s="3" t="s">
        <v>84</v>
      </c>
      <c r="C108" s="3" t="s">
        <v>191</v>
      </c>
      <c r="D108" s="3" t="s">
        <v>8</v>
      </c>
      <c r="E108" s="3" t="n">
        <v>1800</v>
      </c>
      <c r="F108" s="3" t="n">
        <v>618</v>
      </c>
      <c r="G108" s="3" t="n">
        <v>14</v>
      </c>
      <c r="H108" s="8" t="n">
        <f aca="false">(E108/1000)*(F108/1000)*(G108/1000)*7850</f>
        <v>122.25276</v>
      </c>
      <c r="I108" s="3" t="n">
        <v>4</v>
      </c>
      <c r="J108" s="9" t="n">
        <f aca="false">H108*I108</f>
        <v>489.01104</v>
      </c>
      <c r="K108" s="3"/>
    </row>
    <row r="109" customFormat="false" ht="19.5" hidden="false" customHeight="false" outlineLevel="0" collapsed="false">
      <c r="A109" s="3" t="s">
        <v>95</v>
      </c>
      <c r="B109" s="3" t="s">
        <v>96</v>
      </c>
      <c r="C109" s="3" t="s">
        <v>182</v>
      </c>
      <c r="D109" s="3" t="s">
        <v>8</v>
      </c>
      <c r="E109" s="3" t="n">
        <v>1980</v>
      </c>
      <c r="F109" s="3" t="n">
        <v>1200</v>
      </c>
      <c r="G109" s="3" t="n">
        <v>16</v>
      </c>
      <c r="H109" s="8" t="n">
        <f aca="false">(E109/1000)*(F109/1000)*(G109/1000)*7850</f>
        <v>298.4256</v>
      </c>
      <c r="I109" s="3" t="n">
        <v>3</v>
      </c>
      <c r="J109" s="9" t="n">
        <f aca="false">H109*I109</f>
        <v>895.2768</v>
      </c>
      <c r="K109" s="3"/>
    </row>
    <row r="110" customFormat="false" ht="19.5" hidden="false" customHeight="false" outlineLevel="0" collapsed="false">
      <c r="A110" s="3" t="s">
        <v>95</v>
      </c>
      <c r="B110" s="3" t="s">
        <v>96</v>
      </c>
      <c r="C110" s="3" t="s">
        <v>183</v>
      </c>
      <c r="D110" s="3" t="s">
        <v>8</v>
      </c>
      <c r="E110" s="3" t="n">
        <v>1980</v>
      </c>
      <c r="F110" s="3" t="n">
        <v>1200</v>
      </c>
      <c r="G110" s="3" t="n">
        <v>16</v>
      </c>
      <c r="H110" s="8" t="n">
        <f aca="false">(E110/1000)*(F110/1000)*(G110/1000)*7850</f>
        <v>298.4256</v>
      </c>
      <c r="I110" s="3" t="n">
        <v>2</v>
      </c>
      <c r="J110" s="9" t="n">
        <f aca="false">H110*I110</f>
        <v>596.8512</v>
      </c>
      <c r="K110" s="3"/>
    </row>
    <row r="111" customFormat="false" ht="19.5" hidden="false" customHeight="false" outlineLevel="0" collapsed="false">
      <c r="A111" s="3" t="s">
        <v>95</v>
      </c>
      <c r="B111" s="3" t="s">
        <v>96</v>
      </c>
      <c r="C111" s="3" t="s">
        <v>184</v>
      </c>
      <c r="D111" s="3" t="s">
        <v>8</v>
      </c>
      <c r="E111" s="3" t="n">
        <v>2057</v>
      </c>
      <c r="F111" s="3" t="n">
        <v>200</v>
      </c>
      <c r="G111" s="3" t="n">
        <v>16</v>
      </c>
      <c r="H111" s="8" t="n">
        <f aca="false">(E111/1000)*(F111/1000)*(G111/1000)*7850</f>
        <v>51.67184</v>
      </c>
      <c r="I111" s="3" t="n">
        <v>3</v>
      </c>
      <c r="J111" s="9" t="n">
        <f aca="false">H111*I111</f>
        <v>155.01552</v>
      </c>
      <c r="K111" s="3"/>
    </row>
    <row r="112" customFormat="false" ht="19.5" hidden="false" customHeight="false" outlineLevel="0" collapsed="false">
      <c r="A112" s="3" t="s">
        <v>95</v>
      </c>
      <c r="B112" s="3" t="s">
        <v>96</v>
      </c>
      <c r="C112" s="3" t="s">
        <v>185</v>
      </c>
      <c r="D112" s="3" t="s">
        <v>180</v>
      </c>
      <c r="E112" s="3" t="n">
        <v>2057</v>
      </c>
      <c r="F112" s="3" t="n">
        <v>40</v>
      </c>
      <c r="G112" s="3" t="n">
        <v>4</v>
      </c>
      <c r="H112" s="8" t="n">
        <f aca="false">(E112/1000)*(F112/1000)*(G112/1000)*7850</f>
        <v>2.583592</v>
      </c>
      <c r="I112" s="3" t="n">
        <v>4</v>
      </c>
      <c r="J112" s="9" t="n">
        <f aca="false">H112*I112</f>
        <v>10.334368</v>
      </c>
      <c r="K112" s="3"/>
    </row>
    <row r="113" customFormat="false" ht="19.5" hidden="false" customHeight="false" outlineLevel="0" collapsed="false">
      <c r="A113" s="3" t="s">
        <v>95</v>
      </c>
      <c r="B113" s="3" t="s">
        <v>96</v>
      </c>
      <c r="C113" s="3" t="s">
        <v>199</v>
      </c>
      <c r="D113" s="3" t="s">
        <v>8</v>
      </c>
      <c r="E113" s="3" t="n">
        <v>800</v>
      </c>
      <c r="F113" s="3" t="n">
        <v>400</v>
      </c>
      <c r="G113" s="3" t="n">
        <v>16</v>
      </c>
      <c r="H113" s="8" t="n">
        <f aca="false">(E113/1000)*(F113/1000)*(G113/1000)*7850</f>
        <v>40.192</v>
      </c>
      <c r="I113" s="3" t="n">
        <v>4</v>
      </c>
      <c r="J113" s="9" t="n">
        <f aca="false">H113*I113</f>
        <v>160.768</v>
      </c>
      <c r="K113" s="3"/>
    </row>
    <row r="114" customFormat="false" ht="19.5" hidden="false" customHeight="false" outlineLevel="0" collapsed="false">
      <c r="A114" s="3" t="s">
        <v>95</v>
      </c>
      <c r="B114" s="3" t="s">
        <v>96</v>
      </c>
      <c r="C114" s="3" t="s">
        <v>187</v>
      </c>
      <c r="D114" s="3" t="s">
        <v>8</v>
      </c>
      <c r="E114" s="3" t="n">
        <v>1800</v>
      </c>
      <c r="F114" s="3" t="n">
        <v>1200</v>
      </c>
      <c r="G114" s="3" t="n">
        <v>16</v>
      </c>
      <c r="H114" s="8" t="n">
        <f aca="false">(E114/1000)*(F114/1000)*(G114/1000)*7850</f>
        <v>271.296</v>
      </c>
      <c r="I114" s="3" t="n">
        <v>2</v>
      </c>
      <c r="J114" s="9" t="n">
        <f aca="false">H114*I114</f>
        <v>542.592</v>
      </c>
      <c r="K114" s="3"/>
    </row>
    <row r="115" customFormat="false" ht="19.5" hidden="false" customHeight="false" outlineLevel="0" collapsed="false">
      <c r="A115" s="3" t="s">
        <v>95</v>
      </c>
      <c r="B115" s="3" t="s">
        <v>96</v>
      </c>
      <c r="C115" s="3" t="s">
        <v>193</v>
      </c>
      <c r="D115" s="3" t="s">
        <v>8</v>
      </c>
      <c r="E115" s="3" t="n">
        <v>2057</v>
      </c>
      <c r="F115" s="3" t="n">
        <v>200</v>
      </c>
      <c r="G115" s="3" t="n">
        <v>16</v>
      </c>
      <c r="H115" s="8" t="n">
        <f aca="false">(E115/1000)*(F115/1000)*(G115/1000)*7850</f>
        <v>51.67184</v>
      </c>
      <c r="I115" s="3" t="n">
        <v>3</v>
      </c>
      <c r="J115" s="9" t="n">
        <f aca="false">H115*I115</f>
        <v>155.01552</v>
      </c>
      <c r="K115" s="3"/>
    </row>
    <row r="116" customFormat="false" ht="19.5" hidden="false" customHeight="false" outlineLevel="0" collapsed="false">
      <c r="A116" s="3" t="s">
        <v>95</v>
      </c>
      <c r="B116" s="3" t="s">
        <v>96</v>
      </c>
      <c r="C116" s="3" t="s">
        <v>188</v>
      </c>
      <c r="D116" s="3" t="s">
        <v>8</v>
      </c>
      <c r="E116" s="3" t="n">
        <v>1980</v>
      </c>
      <c r="F116" s="3" t="n">
        <v>610</v>
      </c>
      <c r="G116" s="3" t="n">
        <v>14</v>
      </c>
      <c r="H116" s="8" t="n">
        <f aca="false">(E116/1000)*(F116/1000)*(G116/1000)*7850</f>
        <v>132.73722</v>
      </c>
      <c r="I116" s="3" t="n">
        <v>6</v>
      </c>
      <c r="J116" s="9" t="n">
        <f aca="false">H116*I116</f>
        <v>796.42332</v>
      </c>
      <c r="K116" s="3"/>
    </row>
    <row r="117" customFormat="false" ht="19.5" hidden="false" customHeight="false" outlineLevel="0" collapsed="false">
      <c r="A117" s="3" t="s">
        <v>95</v>
      </c>
      <c r="B117" s="3" t="s">
        <v>96</v>
      </c>
      <c r="C117" s="3" t="s">
        <v>189</v>
      </c>
      <c r="D117" s="3" t="s">
        <v>8</v>
      </c>
      <c r="E117" s="3" t="n">
        <v>1980</v>
      </c>
      <c r="F117" s="3" t="n">
        <v>622</v>
      </c>
      <c r="G117" s="3" t="n">
        <v>14</v>
      </c>
      <c r="H117" s="8" t="n">
        <f aca="false">(E117/1000)*(F117/1000)*(G117/1000)*7850</f>
        <v>135.348444</v>
      </c>
      <c r="I117" s="3" t="n">
        <v>4</v>
      </c>
      <c r="J117" s="9" t="n">
        <f aca="false">H117*I117</f>
        <v>541.393776</v>
      </c>
      <c r="K117" s="3"/>
    </row>
    <row r="118" customFormat="false" ht="19.5" hidden="false" customHeight="false" outlineLevel="0" collapsed="false">
      <c r="A118" s="3" t="s">
        <v>95</v>
      </c>
      <c r="B118" s="3" t="s">
        <v>96</v>
      </c>
      <c r="C118" s="3" t="s">
        <v>190</v>
      </c>
      <c r="D118" s="3" t="s">
        <v>8</v>
      </c>
      <c r="E118" s="3" t="n">
        <v>470</v>
      </c>
      <c r="F118" s="3" t="n">
        <v>1000</v>
      </c>
      <c r="G118" s="3" t="n">
        <v>24</v>
      </c>
      <c r="H118" s="8" t="n">
        <f aca="false">(E118/1000)*(F118/1000)*(G118/1000)*7850</f>
        <v>88.548</v>
      </c>
      <c r="I118" s="3" t="n">
        <v>6</v>
      </c>
      <c r="J118" s="9" t="n">
        <f aca="false">H118*I118</f>
        <v>531.288</v>
      </c>
      <c r="K118" s="3"/>
    </row>
    <row r="119" customFormat="false" ht="19.5" hidden="false" customHeight="false" outlineLevel="0" collapsed="false">
      <c r="A119" s="3" t="s">
        <v>95</v>
      </c>
      <c r="B119" s="3" t="s">
        <v>96</v>
      </c>
      <c r="C119" s="3" t="s">
        <v>191</v>
      </c>
      <c r="D119" s="3" t="s">
        <v>8</v>
      </c>
      <c r="E119" s="3" t="n">
        <v>480</v>
      </c>
      <c r="F119" s="3" t="n">
        <v>1000</v>
      </c>
      <c r="G119" s="3" t="n">
        <v>24</v>
      </c>
      <c r="H119" s="8" t="n">
        <f aca="false">(E119/1000)*(F119/1000)*(G119/1000)*7850</f>
        <v>90.432</v>
      </c>
      <c r="I119" s="3" t="n">
        <v>4</v>
      </c>
      <c r="J119" s="9" t="n">
        <f aca="false">H119*I119</f>
        <v>361.728</v>
      </c>
      <c r="K119" s="3"/>
    </row>
    <row r="120" customFormat="false" ht="19.5" hidden="false" customHeight="false" outlineLevel="0" collapsed="false">
      <c r="A120" s="3" t="s">
        <v>95</v>
      </c>
      <c r="B120" s="3" t="s">
        <v>96</v>
      </c>
      <c r="C120" s="3" t="s">
        <v>192</v>
      </c>
      <c r="D120" s="3" t="s">
        <v>8</v>
      </c>
      <c r="E120" s="3" t="n">
        <v>1800</v>
      </c>
      <c r="F120" s="3" t="n">
        <v>606</v>
      </c>
      <c r="G120" s="3" t="n">
        <v>14</v>
      </c>
      <c r="H120" s="8" t="n">
        <f aca="false">(E120/1000)*(F120/1000)*(G120/1000)*7850</f>
        <v>119.87892</v>
      </c>
      <c r="I120" s="3" t="n">
        <v>6</v>
      </c>
      <c r="J120" s="9" t="n">
        <f aca="false">H120*I120</f>
        <v>719.27352</v>
      </c>
      <c r="K120" s="3"/>
    </row>
    <row r="121" customFormat="false" ht="19.5" hidden="false" customHeight="false" outlineLevel="0" collapsed="false">
      <c r="A121" s="3" t="s">
        <v>98</v>
      </c>
      <c r="B121" s="3" t="s">
        <v>99</v>
      </c>
      <c r="C121" s="3" t="s">
        <v>182</v>
      </c>
      <c r="D121" s="3" t="s">
        <v>8</v>
      </c>
      <c r="E121" s="3" t="n">
        <v>1980</v>
      </c>
      <c r="F121" s="3" t="n">
        <v>1200</v>
      </c>
      <c r="G121" s="3" t="n">
        <v>16</v>
      </c>
      <c r="H121" s="8" t="n">
        <f aca="false">(E121/1000)*(F121/1000)*(G121/1000)*7850</f>
        <v>298.4256</v>
      </c>
      <c r="I121" s="3" t="n">
        <v>3</v>
      </c>
      <c r="J121" s="9" t="n">
        <f aca="false">H121*I121</f>
        <v>895.2768</v>
      </c>
      <c r="K121" s="3"/>
    </row>
    <row r="122" customFormat="false" ht="19.5" hidden="false" customHeight="false" outlineLevel="0" collapsed="false">
      <c r="A122" s="3" t="s">
        <v>98</v>
      </c>
      <c r="B122" s="3" t="s">
        <v>99</v>
      </c>
      <c r="C122" s="3" t="s">
        <v>183</v>
      </c>
      <c r="D122" s="3" t="s">
        <v>8</v>
      </c>
      <c r="E122" s="3" t="n">
        <v>1980</v>
      </c>
      <c r="F122" s="3" t="n">
        <v>1200</v>
      </c>
      <c r="G122" s="3" t="n">
        <v>16</v>
      </c>
      <c r="H122" s="8" t="n">
        <f aca="false">(E122/1000)*(F122/1000)*(G122/1000)*7850</f>
        <v>298.4256</v>
      </c>
      <c r="I122" s="3" t="n">
        <v>2</v>
      </c>
      <c r="J122" s="9" t="n">
        <f aca="false">H122*I122</f>
        <v>596.8512</v>
      </c>
      <c r="K122" s="3"/>
    </row>
    <row r="123" customFormat="false" ht="19.5" hidden="false" customHeight="false" outlineLevel="0" collapsed="false">
      <c r="A123" s="3" t="s">
        <v>98</v>
      </c>
      <c r="B123" s="3" t="s">
        <v>99</v>
      </c>
      <c r="C123" s="3" t="s">
        <v>184</v>
      </c>
      <c r="D123" s="3" t="s">
        <v>8</v>
      </c>
      <c r="E123" s="3" t="n">
        <v>2057</v>
      </c>
      <c r="F123" s="3" t="n">
        <v>200</v>
      </c>
      <c r="G123" s="3" t="n">
        <v>16</v>
      </c>
      <c r="H123" s="8" t="n">
        <f aca="false">(E123/1000)*(F123/1000)*(G123/1000)*7850</f>
        <v>51.67184</v>
      </c>
      <c r="I123" s="3" t="n">
        <v>3</v>
      </c>
      <c r="J123" s="9" t="n">
        <f aca="false">H123*I123</f>
        <v>155.01552</v>
      </c>
      <c r="K123" s="3"/>
    </row>
    <row r="124" customFormat="false" ht="19.5" hidden="false" customHeight="false" outlineLevel="0" collapsed="false">
      <c r="A124" s="3" t="s">
        <v>98</v>
      </c>
      <c r="B124" s="3" t="s">
        <v>99</v>
      </c>
      <c r="C124" s="3" t="s">
        <v>185</v>
      </c>
      <c r="D124" s="3" t="s">
        <v>180</v>
      </c>
      <c r="E124" s="3" t="n">
        <v>2057</v>
      </c>
      <c r="F124" s="3" t="n">
        <v>40</v>
      </c>
      <c r="G124" s="3" t="n">
        <v>4</v>
      </c>
      <c r="H124" s="8" t="n">
        <f aca="false">(E124/1000)*(F124/1000)*(G124/1000)*7850</f>
        <v>2.583592</v>
      </c>
      <c r="I124" s="3" t="n">
        <v>4</v>
      </c>
      <c r="J124" s="9" t="n">
        <f aca="false">H124*I124</f>
        <v>10.334368</v>
      </c>
      <c r="K124" s="3"/>
    </row>
    <row r="125" customFormat="false" ht="19.5" hidden="false" customHeight="false" outlineLevel="0" collapsed="false">
      <c r="A125" s="3" t="s">
        <v>98</v>
      </c>
      <c r="B125" s="3" t="s">
        <v>99</v>
      </c>
      <c r="C125" s="3" t="s">
        <v>199</v>
      </c>
      <c r="D125" s="3" t="s">
        <v>8</v>
      </c>
      <c r="E125" s="3" t="n">
        <v>800</v>
      </c>
      <c r="F125" s="3" t="n">
        <v>400</v>
      </c>
      <c r="G125" s="3" t="n">
        <v>16</v>
      </c>
      <c r="H125" s="8" t="n">
        <f aca="false">(E125/1000)*(F125/1000)*(G125/1000)*7850</f>
        <v>40.192</v>
      </c>
      <c r="I125" s="3" t="n">
        <v>4</v>
      </c>
      <c r="J125" s="9" t="n">
        <f aca="false">H125*I125</f>
        <v>160.768</v>
      </c>
      <c r="K125" s="3"/>
    </row>
    <row r="126" customFormat="false" ht="19.5" hidden="false" customHeight="false" outlineLevel="0" collapsed="false">
      <c r="A126" s="3" t="s">
        <v>98</v>
      </c>
      <c r="B126" s="3" t="s">
        <v>99</v>
      </c>
      <c r="C126" s="3" t="s">
        <v>186</v>
      </c>
      <c r="D126" s="3" t="s">
        <v>8</v>
      </c>
      <c r="E126" s="3" t="n">
        <v>1800</v>
      </c>
      <c r="F126" s="3" t="n">
        <v>1200</v>
      </c>
      <c r="G126" s="3" t="n">
        <v>16</v>
      </c>
      <c r="H126" s="8" t="n">
        <f aca="false">(E126/1000)*(F126/1000)*(G126/1000)*7850</f>
        <v>271.296</v>
      </c>
      <c r="I126" s="3" t="n">
        <v>3</v>
      </c>
      <c r="J126" s="9" t="n">
        <f aca="false">H126*I126</f>
        <v>813.888</v>
      </c>
      <c r="K126" s="3"/>
    </row>
    <row r="127" customFormat="false" ht="19.5" hidden="false" customHeight="false" outlineLevel="0" collapsed="false">
      <c r="A127" s="3" t="s">
        <v>98</v>
      </c>
      <c r="B127" s="3" t="s">
        <v>99</v>
      </c>
      <c r="C127" s="3" t="s">
        <v>187</v>
      </c>
      <c r="D127" s="3" t="s">
        <v>8</v>
      </c>
      <c r="E127" s="3" t="n">
        <v>1800</v>
      </c>
      <c r="F127" s="3" t="n">
        <v>1200</v>
      </c>
      <c r="G127" s="3" t="n">
        <v>16</v>
      </c>
      <c r="H127" s="8" t="n">
        <f aca="false">(E127/1000)*(F127/1000)*(G127/1000)*7850</f>
        <v>271.296</v>
      </c>
      <c r="I127" s="3" t="n">
        <v>2</v>
      </c>
      <c r="J127" s="9" t="n">
        <f aca="false">H127*I127</f>
        <v>542.592</v>
      </c>
      <c r="K127" s="3"/>
    </row>
    <row r="128" customFormat="false" ht="19.5" hidden="false" customHeight="false" outlineLevel="0" collapsed="false">
      <c r="A128" s="3" t="s">
        <v>98</v>
      </c>
      <c r="B128" s="3" t="s">
        <v>99</v>
      </c>
      <c r="C128" s="3" t="s">
        <v>193</v>
      </c>
      <c r="D128" s="3" t="s">
        <v>8</v>
      </c>
      <c r="E128" s="3" t="n">
        <v>2057</v>
      </c>
      <c r="F128" s="3" t="n">
        <v>200</v>
      </c>
      <c r="G128" s="3" t="n">
        <v>16</v>
      </c>
      <c r="H128" s="8" t="n">
        <f aca="false">(E128/1000)*(F128/1000)*(G128/1000)*7850</f>
        <v>51.67184</v>
      </c>
      <c r="I128" s="3" t="n">
        <v>3</v>
      </c>
      <c r="J128" s="9" t="n">
        <f aca="false">H128*I128</f>
        <v>155.01552</v>
      </c>
      <c r="K128" s="3"/>
    </row>
    <row r="129" customFormat="false" ht="19.5" hidden="false" customHeight="false" outlineLevel="0" collapsed="false">
      <c r="A129" s="3" t="s">
        <v>98</v>
      </c>
      <c r="B129" s="3" t="s">
        <v>99</v>
      </c>
      <c r="C129" s="3" t="s">
        <v>188</v>
      </c>
      <c r="D129" s="3" t="s">
        <v>8</v>
      </c>
      <c r="E129" s="3" t="n">
        <v>1980</v>
      </c>
      <c r="F129" s="3" t="n">
        <v>610</v>
      </c>
      <c r="G129" s="3" t="n">
        <v>14</v>
      </c>
      <c r="H129" s="8" t="n">
        <f aca="false">(E129/1000)*(F129/1000)*(G129/1000)*7850</f>
        <v>132.73722</v>
      </c>
      <c r="I129" s="3" t="n">
        <v>6</v>
      </c>
      <c r="J129" s="9" t="n">
        <f aca="false">H129*I129</f>
        <v>796.42332</v>
      </c>
      <c r="K129" s="3"/>
    </row>
    <row r="130" customFormat="false" ht="19.5" hidden="false" customHeight="false" outlineLevel="0" collapsed="false">
      <c r="A130" s="3" t="s">
        <v>98</v>
      </c>
      <c r="B130" s="3" t="s">
        <v>99</v>
      </c>
      <c r="C130" s="3" t="s">
        <v>189</v>
      </c>
      <c r="D130" s="3" t="s">
        <v>8</v>
      </c>
      <c r="E130" s="3" t="n">
        <v>1980</v>
      </c>
      <c r="F130" s="3" t="n">
        <v>622</v>
      </c>
      <c r="G130" s="3" t="n">
        <v>14</v>
      </c>
      <c r="H130" s="8" t="n">
        <f aca="false">(E130/1000)*(F130/1000)*(G130/1000)*7850</f>
        <v>135.348444</v>
      </c>
      <c r="I130" s="3" t="n">
        <v>4</v>
      </c>
      <c r="J130" s="9" t="n">
        <f aca="false">H130*I130</f>
        <v>541.393776</v>
      </c>
      <c r="K130" s="3"/>
    </row>
    <row r="131" customFormat="false" ht="19.5" hidden="false" customHeight="false" outlineLevel="0" collapsed="false">
      <c r="A131" s="3" t="s">
        <v>98</v>
      </c>
      <c r="B131" s="3" t="s">
        <v>99</v>
      </c>
      <c r="C131" s="3" t="s">
        <v>190</v>
      </c>
      <c r="D131" s="3" t="s">
        <v>8</v>
      </c>
      <c r="E131" s="3" t="n">
        <v>470</v>
      </c>
      <c r="F131" s="3" t="n">
        <v>1000</v>
      </c>
      <c r="G131" s="3" t="n">
        <v>24</v>
      </c>
      <c r="H131" s="8" t="n">
        <f aca="false">(E131/1000)*(F131/1000)*(G131/1000)*7850</f>
        <v>88.548</v>
      </c>
      <c r="I131" s="3" t="n">
        <v>6</v>
      </c>
      <c r="J131" s="9" t="n">
        <f aca="false">H131*I131</f>
        <v>531.288</v>
      </c>
      <c r="K131" s="3"/>
    </row>
    <row r="132" customFormat="false" ht="19.5" hidden="false" customHeight="false" outlineLevel="0" collapsed="false">
      <c r="A132" s="3" t="s">
        <v>98</v>
      </c>
      <c r="B132" s="3" t="s">
        <v>99</v>
      </c>
      <c r="C132" s="3" t="s">
        <v>191</v>
      </c>
      <c r="D132" s="3" t="s">
        <v>8</v>
      </c>
      <c r="E132" s="3" t="n">
        <v>480</v>
      </c>
      <c r="F132" s="3" t="n">
        <v>1000</v>
      </c>
      <c r="G132" s="3" t="n">
        <v>24</v>
      </c>
      <c r="H132" s="8" t="n">
        <f aca="false">(E132/1000)*(F132/1000)*(G132/1000)*7850</f>
        <v>90.432</v>
      </c>
      <c r="I132" s="3" t="n">
        <v>4</v>
      </c>
      <c r="J132" s="9" t="n">
        <f aca="false">H132*I132</f>
        <v>361.728</v>
      </c>
      <c r="K132" s="3"/>
    </row>
    <row r="133" customFormat="false" ht="19.5" hidden="false" customHeight="false" outlineLevel="0" collapsed="false">
      <c r="A133" s="3" t="s">
        <v>98</v>
      </c>
      <c r="B133" s="3" t="s">
        <v>99</v>
      </c>
      <c r="C133" s="3" t="s">
        <v>192</v>
      </c>
      <c r="D133" s="3" t="s">
        <v>8</v>
      </c>
      <c r="E133" s="3" t="n">
        <v>1800</v>
      </c>
      <c r="F133" s="3" t="n">
        <v>606</v>
      </c>
      <c r="G133" s="3" t="n">
        <v>14</v>
      </c>
      <c r="H133" s="8" t="n">
        <f aca="false">(E133/1000)*(F133/1000)*(G133/1000)*7850</f>
        <v>119.87892</v>
      </c>
      <c r="I133" s="3" t="n">
        <v>6</v>
      </c>
      <c r="J133" s="9" t="n">
        <f aca="false">H133*I133</f>
        <v>719.27352</v>
      </c>
      <c r="K133" s="3"/>
    </row>
    <row r="134" customFormat="false" ht="19.5" hidden="false" customHeight="false" outlineLevel="0" collapsed="false">
      <c r="A134" s="3" t="s">
        <v>98</v>
      </c>
      <c r="B134" s="3" t="s">
        <v>99</v>
      </c>
      <c r="C134" s="3" t="s">
        <v>194</v>
      </c>
      <c r="D134" s="3" t="s">
        <v>8</v>
      </c>
      <c r="E134" s="3" t="n">
        <v>1800</v>
      </c>
      <c r="F134" s="3" t="n">
        <v>618</v>
      </c>
      <c r="G134" s="3" t="n">
        <v>14</v>
      </c>
      <c r="H134" s="8" t="n">
        <f aca="false">(E134/1000)*(F134/1000)*(G134/1000)*7850</f>
        <v>122.25276</v>
      </c>
      <c r="I134" s="3" t="n">
        <v>4</v>
      </c>
      <c r="J134" s="9" t="n">
        <f aca="false">H134*I134</f>
        <v>489.01104</v>
      </c>
      <c r="K134" s="3"/>
    </row>
    <row r="135" customFormat="false" ht="19.5" hidden="false" customHeight="false" outlineLevel="0" collapsed="false">
      <c r="A135" s="3" t="s">
        <v>100</v>
      </c>
      <c r="B135" s="3" t="s">
        <v>101</v>
      </c>
      <c r="C135" s="3" t="s">
        <v>182</v>
      </c>
      <c r="D135" s="3" t="s">
        <v>8</v>
      </c>
      <c r="E135" s="3" t="n">
        <v>1980</v>
      </c>
      <c r="F135" s="3" t="n">
        <v>1200</v>
      </c>
      <c r="G135" s="3" t="n">
        <v>16</v>
      </c>
      <c r="H135" s="8" t="n">
        <f aca="false">(E135/1000)*(F135/1000)*(G135/1000)*7850</f>
        <v>298.4256</v>
      </c>
      <c r="I135" s="3" t="n">
        <v>3</v>
      </c>
      <c r="J135" s="9" t="n">
        <f aca="false">H135*I135</f>
        <v>895.2768</v>
      </c>
      <c r="K135" s="3"/>
    </row>
    <row r="136" customFormat="false" ht="19.5" hidden="false" customHeight="false" outlineLevel="0" collapsed="false">
      <c r="A136" s="3" t="s">
        <v>100</v>
      </c>
      <c r="B136" s="3" t="s">
        <v>101</v>
      </c>
      <c r="C136" s="3" t="s">
        <v>183</v>
      </c>
      <c r="D136" s="3" t="s">
        <v>8</v>
      </c>
      <c r="E136" s="3" t="n">
        <v>1980</v>
      </c>
      <c r="F136" s="3" t="n">
        <v>1200</v>
      </c>
      <c r="G136" s="3" t="n">
        <v>16</v>
      </c>
      <c r="H136" s="8" t="n">
        <f aca="false">(E136/1000)*(F136/1000)*(G136/1000)*7850</f>
        <v>298.4256</v>
      </c>
      <c r="I136" s="3" t="n">
        <v>2</v>
      </c>
      <c r="J136" s="9" t="n">
        <f aca="false">H136*I136</f>
        <v>596.8512</v>
      </c>
      <c r="K136" s="3"/>
    </row>
    <row r="137" customFormat="false" ht="19.5" hidden="false" customHeight="false" outlineLevel="0" collapsed="false">
      <c r="A137" s="3" t="s">
        <v>100</v>
      </c>
      <c r="B137" s="3" t="s">
        <v>101</v>
      </c>
      <c r="C137" s="3" t="s">
        <v>185</v>
      </c>
      <c r="D137" s="3" t="s">
        <v>180</v>
      </c>
      <c r="E137" s="3" t="n">
        <v>2057</v>
      </c>
      <c r="F137" s="3" t="n">
        <v>40</v>
      </c>
      <c r="G137" s="3" t="n">
        <v>4</v>
      </c>
      <c r="H137" s="8" t="n">
        <f aca="false">(E137/1000)*(F137/1000)*(G137/1000)*7850</f>
        <v>2.583592</v>
      </c>
      <c r="I137" s="3" t="n">
        <v>4</v>
      </c>
      <c r="J137" s="9" t="n">
        <f aca="false">H137*I137</f>
        <v>10.334368</v>
      </c>
      <c r="K137" s="3"/>
    </row>
    <row r="138" customFormat="false" ht="19.5" hidden="false" customHeight="false" outlineLevel="0" collapsed="false">
      <c r="A138" s="3" t="s">
        <v>100</v>
      </c>
      <c r="B138" s="3" t="s">
        <v>101</v>
      </c>
      <c r="C138" s="3" t="s">
        <v>199</v>
      </c>
      <c r="D138" s="3" t="s">
        <v>8</v>
      </c>
      <c r="E138" s="3" t="n">
        <v>800</v>
      </c>
      <c r="F138" s="3" t="n">
        <v>400</v>
      </c>
      <c r="G138" s="3" t="n">
        <v>16</v>
      </c>
      <c r="H138" s="8" t="n">
        <f aca="false">(E138/1000)*(F138/1000)*(G138/1000)*7850</f>
        <v>40.192</v>
      </c>
      <c r="I138" s="3" t="n">
        <v>4</v>
      </c>
      <c r="J138" s="9" t="n">
        <f aca="false">H138*I138</f>
        <v>160.768</v>
      </c>
      <c r="K138" s="3"/>
    </row>
    <row r="139" customFormat="false" ht="19.5" hidden="false" customHeight="false" outlineLevel="0" collapsed="false">
      <c r="A139" s="3" t="s">
        <v>100</v>
      </c>
      <c r="B139" s="3" t="s">
        <v>101</v>
      </c>
      <c r="C139" s="3" t="s">
        <v>186</v>
      </c>
      <c r="D139" s="3" t="s">
        <v>8</v>
      </c>
      <c r="E139" s="3" t="n">
        <v>1800</v>
      </c>
      <c r="F139" s="3" t="n">
        <v>1200</v>
      </c>
      <c r="G139" s="3" t="n">
        <v>16</v>
      </c>
      <c r="H139" s="8" t="n">
        <f aca="false">(E139/1000)*(F139/1000)*(G139/1000)*7850</f>
        <v>271.296</v>
      </c>
      <c r="I139" s="3" t="n">
        <v>3</v>
      </c>
      <c r="J139" s="9" t="n">
        <f aca="false">H139*I139</f>
        <v>813.888</v>
      </c>
      <c r="K139" s="3"/>
    </row>
    <row r="140" customFormat="false" ht="19.5" hidden="false" customHeight="false" outlineLevel="0" collapsed="false">
      <c r="A140" s="3" t="s">
        <v>100</v>
      </c>
      <c r="B140" s="3" t="s">
        <v>101</v>
      </c>
      <c r="C140" s="3" t="s">
        <v>187</v>
      </c>
      <c r="D140" s="3" t="s">
        <v>8</v>
      </c>
      <c r="E140" s="3" t="n">
        <v>1800</v>
      </c>
      <c r="F140" s="3" t="n">
        <v>1200</v>
      </c>
      <c r="G140" s="3" t="n">
        <v>16</v>
      </c>
      <c r="H140" s="8" t="n">
        <f aca="false">(E140/1000)*(F140/1000)*(G140/1000)*7850</f>
        <v>271.296</v>
      </c>
      <c r="I140" s="3" t="n">
        <v>2</v>
      </c>
      <c r="J140" s="9" t="n">
        <f aca="false">H140*I140</f>
        <v>542.592</v>
      </c>
      <c r="K140" s="3"/>
    </row>
    <row r="141" customFormat="false" ht="19.5" hidden="false" customHeight="false" outlineLevel="0" collapsed="false">
      <c r="A141" s="3" t="s">
        <v>100</v>
      </c>
      <c r="B141" s="3" t="s">
        <v>101</v>
      </c>
      <c r="C141" s="3" t="s">
        <v>188</v>
      </c>
      <c r="D141" s="3" t="s">
        <v>8</v>
      </c>
      <c r="E141" s="3" t="n">
        <v>1980</v>
      </c>
      <c r="F141" s="3" t="n">
        <v>610</v>
      </c>
      <c r="G141" s="3" t="n">
        <v>14</v>
      </c>
      <c r="H141" s="8" t="n">
        <f aca="false">(E141/1000)*(F141/1000)*(G141/1000)*7850</f>
        <v>132.73722</v>
      </c>
      <c r="I141" s="3" t="n">
        <v>6</v>
      </c>
      <c r="J141" s="9" t="n">
        <f aca="false">H141*I141</f>
        <v>796.42332</v>
      </c>
      <c r="K141" s="3"/>
    </row>
    <row r="142" customFormat="false" ht="19.5" hidden="false" customHeight="false" outlineLevel="0" collapsed="false">
      <c r="A142" s="3" t="s">
        <v>100</v>
      </c>
      <c r="B142" s="3" t="s">
        <v>101</v>
      </c>
      <c r="C142" s="3" t="s">
        <v>189</v>
      </c>
      <c r="D142" s="3" t="s">
        <v>8</v>
      </c>
      <c r="E142" s="3" t="n">
        <v>1980</v>
      </c>
      <c r="F142" s="3" t="n">
        <v>622</v>
      </c>
      <c r="G142" s="3" t="n">
        <v>14</v>
      </c>
      <c r="H142" s="8" t="n">
        <f aca="false">(E142/1000)*(F142/1000)*(G142/1000)*7850</f>
        <v>135.348444</v>
      </c>
      <c r="I142" s="3" t="n">
        <v>4</v>
      </c>
      <c r="J142" s="9" t="n">
        <f aca="false">H142*I142</f>
        <v>541.393776</v>
      </c>
      <c r="K142" s="3"/>
    </row>
    <row r="143" customFormat="false" ht="19.5" hidden="false" customHeight="false" outlineLevel="0" collapsed="false">
      <c r="A143" s="3" t="s">
        <v>100</v>
      </c>
      <c r="B143" s="3" t="s">
        <v>101</v>
      </c>
      <c r="C143" s="3" t="s">
        <v>190</v>
      </c>
      <c r="D143" s="3" t="s">
        <v>8</v>
      </c>
      <c r="E143" s="3" t="n">
        <v>470</v>
      </c>
      <c r="F143" s="3" t="n">
        <v>1000</v>
      </c>
      <c r="G143" s="3" t="n">
        <v>24</v>
      </c>
      <c r="H143" s="8" t="n">
        <f aca="false">(E143/1000)*(F143/1000)*(G143/1000)*7850</f>
        <v>88.548</v>
      </c>
      <c r="I143" s="3" t="n">
        <v>6</v>
      </c>
      <c r="J143" s="9" t="n">
        <f aca="false">H143*I143</f>
        <v>531.288</v>
      </c>
      <c r="K143" s="3"/>
    </row>
    <row r="144" customFormat="false" ht="19.5" hidden="false" customHeight="false" outlineLevel="0" collapsed="false">
      <c r="A144" s="3" t="s">
        <v>100</v>
      </c>
      <c r="B144" s="3" t="s">
        <v>101</v>
      </c>
      <c r="C144" s="3" t="s">
        <v>191</v>
      </c>
      <c r="D144" s="3" t="s">
        <v>8</v>
      </c>
      <c r="E144" s="3" t="n">
        <v>480</v>
      </c>
      <c r="F144" s="3" t="n">
        <v>1000</v>
      </c>
      <c r="G144" s="3" t="n">
        <v>24</v>
      </c>
      <c r="H144" s="8" t="n">
        <f aca="false">(E144/1000)*(F144/1000)*(G144/1000)*7850</f>
        <v>90.432</v>
      </c>
      <c r="I144" s="3" t="n">
        <v>4</v>
      </c>
      <c r="J144" s="9" t="n">
        <f aca="false">H144*I144</f>
        <v>361.728</v>
      </c>
      <c r="K144" s="3"/>
    </row>
    <row r="145" customFormat="false" ht="19.5" hidden="false" customHeight="false" outlineLevel="0" collapsed="false">
      <c r="A145" s="3" t="s">
        <v>100</v>
      </c>
      <c r="B145" s="3" t="s">
        <v>101</v>
      </c>
      <c r="C145" s="3" t="s">
        <v>192</v>
      </c>
      <c r="D145" s="3" t="s">
        <v>8</v>
      </c>
      <c r="E145" s="3" t="n">
        <v>1800</v>
      </c>
      <c r="F145" s="3" t="n">
        <v>606</v>
      </c>
      <c r="G145" s="3" t="n">
        <v>14</v>
      </c>
      <c r="H145" s="8" t="n">
        <f aca="false">(E145/1000)*(F145/1000)*(G145/1000)*7850</f>
        <v>119.87892</v>
      </c>
      <c r="I145" s="3" t="n">
        <v>6</v>
      </c>
      <c r="J145" s="9" t="n">
        <f aca="false">H145*I145</f>
        <v>719.27352</v>
      </c>
      <c r="K145" s="3"/>
    </row>
    <row r="146" customFormat="false" ht="19.5" hidden="false" customHeight="false" outlineLevel="0" collapsed="false">
      <c r="A146" s="3" t="s">
        <v>100</v>
      </c>
      <c r="B146" s="3" t="s">
        <v>101</v>
      </c>
      <c r="C146" s="3" t="s">
        <v>194</v>
      </c>
      <c r="D146" s="3" t="s">
        <v>8</v>
      </c>
      <c r="E146" s="3" t="n">
        <v>1800</v>
      </c>
      <c r="F146" s="3" t="n">
        <v>618</v>
      </c>
      <c r="G146" s="3" t="n">
        <v>14</v>
      </c>
      <c r="H146" s="8" t="n">
        <f aca="false">(E146/1000)*(F146/1000)*(G146/1000)*7850</f>
        <v>122.25276</v>
      </c>
      <c r="I146" s="3" t="n">
        <v>4</v>
      </c>
      <c r="J146" s="9" t="n">
        <f aca="false">H146*I146</f>
        <v>489.01104</v>
      </c>
      <c r="K146" s="3"/>
    </row>
    <row r="147" customFormat="false" ht="19.5" hidden="false" customHeight="false" outlineLevel="0" collapsed="false">
      <c r="A147" s="3" t="s">
        <v>105</v>
      </c>
      <c r="B147" s="3" t="s">
        <v>106</v>
      </c>
      <c r="C147" s="3" t="s">
        <v>182</v>
      </c>
      <c r="D147" s="3" t="s">
        <v>8</v>
      </c>
      <c r="E147" s="3" t="n">
        <v>1980</v>
      </c>
      <c r="F147" s="3" t="n">
        <v>1200</v>
      </c>
      <c r="G147" s="3" t="n">
        <v>16</v>
      </c>
      <c r="H147" s="8" t="n">
        <f aca="false">(E147/1000)*(F147/1000)*(G147/1000)*7850</f>
        <v>298.4256</v>
      </c>
      <c r="I147" s="3" t="n">
        <v>3</v>
      </c>
      <c r="J147" s="9" t="n">
        <f aca="false">H147*I147</f>
        <v>895.2768</v>
      </c>
      <c r="K147" s="3"/>
    </row>
    <row r="148" customFormat="false" ht="19.5" hidden="false" customHeight="false" outlineLevel="0" collapsed="false">
      <c r="A148" s="3" t="s">
        <v>105</v>
      </c>
      <c r="B148" s="3" t="s">
        <v>106</v>
      </c>
      <c r="C148" s="3" t="s">
        <v>183</v>
      </c>
      <c r="D148" s="3" t="s">
        <v>8</v>
      </c>
      <c r="E148" s="3" t="n">
        <v>1980</v>
      </c>
      <c r="F148" s="3" t="n">
        <v>1200</v>
      </c>
      <c r="G148" s="3" t="n">
        <v>16</v>
      </c>
      <c r="H148" s="8" t="n">
        <f aca="false">(E148/1000)*(F148/1000)*(G148/1000)*7850</f>
        <v>298.4256</v>
      </c>
      <c r="I148" s="3" t="n">
        <v>2</v>
      </c>
      <c r="J148" s="9" t="n">
        <f aca="false">H148*I148</f>
        <v>596.8512</v>
      </c>
      <c r="K148" s="3"/>
    </row>
    <row r="149" customFormat="false" ht="19.5" hidden="false" customHeight="false" outlineLevel="0" collapsed="false">
      <c r="A149" s="3" t="s">
        <v>105</v>
      </c>
      <c r="B149" s="3" t="s">
        <v>106</v>
      </c>
      <c r="C149" s="3" t="s">
        <v>184</v>
      </c>
      <c r="D149" s="3" t="s">
        <v>8</v>
      </c>
      <c r="E149" s="3" t="n">
        <v>2057</v>
      </c>
      <c r="F149" s="3" t="n">
        <v>200</v>
      </c>
      <c r="G149" s="3" t="n">
        <v>16</v>
      </c>
      <c r="H149" s="8" t="n">
        <f aca="false">(E149/1000)*(F149/1000)*(G149/1000)*7850</f>
        <v>51.67184</v>
      </c>
      <c r="I149" s="3" t="n">
        <v>3</v>
      </c>
      <c r="J149" s="9" t="n">
        <f aca="false">H149*I149</f>
        <v>155.01552</v>
      </c>
      <c r="K149" s="3"/>
    </row>
    <row r="150" customFormat="false" ht="19.5" hidden="false" customHeight="false" outlineLevel="0" collapsed="false">
      <c r="A150" s="3" t="s">
        <v>105</v>
      </c>
      <c r="B150" s="3" t="s">
        <v>106</v>
      </c>
      <c r="C150" s="3" t="s">
        <v>186</v>
      </c>
      <c r="D150" s="3" t="s">
        <v>8</v>
      </c>
      <c r="E150" s="3" t="n">
        <v>1800</v>
      </c>
      <c r="F150" s="3" t="n">
        <v>1200</v>
      </c>
      <c r="G150" s="3" t="n">
        <v>16</v>
      </c>
      <c r="H150" s="8" t="n">
        <f aca="false">(E150/1000)*(F150/1000)*(G150/1000)*7850</f>
        <v>271.296</v>
      </c>
      <c r="I150" s="3" t="n">
        <v>3</v>
      </c>
      <c r="J150" s="9" t="n">
        <f aca="false">H150*I150</f>
        <v>813.888</v>
      </c>
      <c r="K150" s="3"/>
    </row>
    <row r="151" customFormat="false" ht="19.5" hidden="false" customHeight="false" outlineLevel="0" collapsed="false">
      <c r="A151" s="3" t="s">
        <v>105</v>
      </c>
      <c r="B151" s="3" t="s">
        <v>106</v>
      </c>
      <c r="C151" s="3" t="s">
        <v>187</v>
      </c>
      <c r="D151" s="3" t="s">
        <v>8</v>
      </c>
      <c r="E151" s="3" t="n">
        <v>1800</v>
      </c>
      <c r="F151" s="3" t="n">
        <v>1200</v>
      </c>
      <c r="G151" s="3" t="n">
        <v>16</v>
      </c>
      <c r="H151" s="8" t="n">
        <f aca="false">(E151/1000)*(F151/1000)*(G151/1000)*7850</f>
        <v>271.296</v>
      </c>
      <c r="I151" s="3" t="n">
        <v>2</v>
      </c>
      <c r="J151" s="9" t="n">
        <f aca="false">H151*I151</f>
        <v>542.592</v>
      </c>
      <c r="K151" s="3"/>
    </row>
    <row r="152" customFormat="false" ht="19.5" hidden="false" customHeight="false" outlineLevel="0" collapsed="false">
      <c r="A152" s="3" t="s">
        <v>105</v>
      </c>
      <c r="B152" s="3" t="s">
        <v>106</v>
      </c>
      <c r="C152" s="3" t="s">
        <v>193</v>
      </c>
      <c r="D152" s="3" t="s">
        <v>8</v>
      </c>
      <c r="E152" s="3" t="n">
        <v>2057</v>
      </c>
      <c r="F152" s="3" t="n">
        <v>200</v>
      </c>
      <c r="G152" s="3" t="n">
        <v>16</v>
      </c>
      <c r="H152" s="8" t="n">
        <f aca="false">(E152/1000)*(F152/1000)*(G152/1000)*7850</f>
        <v>51.67184</v>
      </c>
      <c r="I152" s="3" t="n">
        <v>3</v>
      </c>
      <c r="J152" s="9" t="n">
        <f aca="false">H152*I152</f>
        <v>155.01552</v>
      </c>
      <c r="K152" s="3"/>
    </row>
    <row r="153" customFormat="false" ht="19.5" hidden="false" customHeight="false" outlineLevel="0" collapsed="false">
      <c r="A153" s="3" t="s">
        <v>105</v>
      </c>
      <c r="B153" s="3" t="s">
        <v>106</v>
      </c>
      <c r="C153" s="3" t="s">
        <v>189</v>
      </c>
      <c r="D153" s="3" t="s">
        <v>8</v>
      </c>
      <c r="E153" s="3" t="n">
        <v>1980</v>
      </c>
      <c r="F153" s="3" t="n">
        <v>622</v>
      </c>
      <c r="G153" s="3" t="n">
        <v>14</v>
      </c>
      <c r="H153" s="8" t="n">
        <f aca="false">(E153/1000)*(F153/1000)*(G153/1000)*7850</f>
        <v>135.348444</v>
      </c>
      <c r="I153" s="3" t="n">
        <v>4</v>
      </c>
      <c r="J153" s="9" t="n">
        <f aca="false">H153*I153</f>
        <v>541.393776</v>
      </c>
      <c r="K153" s="3"/>
    </row>
    <row r="154" customFormat="false" ht="19.5" hidden="false" customHeight="false" outlineLevel="0" collapsed="false">
      <c r="A154" s="3" t="s">
        <v>105</v>
      </c>
      <c r="B154" s="3" t="s">
        <v>106</v>
      </c>
      <c r="C154" s="3" t="s">
        <v>190</v>
      </c>
      <c r="D154" s="3" t="s">
        <v>8</v>
      </c>
      <c r="E154" s="3" t="n">
        <v>470</v>
      </c>
      <c r="F154" s="3" t="n">
        <v>1000</v>
      </c>
      <c r="G154" s="3" t="n">
        <v>24</v>
      </c>
      <c r="H154" s="8" t="n">
        <f aca="false">(E154/1000)*(F154/1000)*(G154/1000)*7850</f>
        <v>88.548</v>
      </c>
      <c r="I154" s="3" t="n">
        <v>6</v>
      </c>
      <c r="J154" s="9" t="n">
        <f aca="false">H154*I154</f>
        <v>531.288</v>
      </c>
      <c r="K154" s="3"/>
    </row>
    <row r="155" customFormat="false" ht="19.5" hidden="false" customHeight="false" outlineLevel="0" collapsed="false">
      <c r="A155" s="3" t="s">
        <v>105</v>
      </c>
      <c r="B155" s="3" t="s">
        <v>106</v>
      </c>
      <c r="C155" s="3" t="s">
        <v>191</v>
      </c>
      <c r="D155" s="3" t="s">
        <v>8</v>
      </c>
      <c r="E155" s="3" t="n">
        <v>480</v>
      </c>
      <c r="F155" s="3" t="n">
        <v>1000</v>
      </c>
      <c r="G155" s="3" t="n">
        <v>24</v>
      </c>
      <c r="H155" s="8" t="n">
        <f aca="false">(E155/1000)*(F155/1000)*(G155/1000)*7850</f>
        <v>90.432</v>
      </c>
      <c r="I155" s="3" t="n">
        <v>4</v>
      </c>
      <c r="J155" s="9" t="n">
        <f aca="false">H155*I155</f>
        <v>361.728</v>
      </c>
      <c r="K155" s="3"/>
    </row>
    <row r="156" customFormat="false" ht="19.5" hidden="false" customHeight="false" outlineLevel="0" collapsed="false">
      <c r="A156" s="3" t="s">
        <v>105</v>
      </c>
      <c r="B156" s="3" t="s">
        <v>106</v>
      </c>
      <c r="C156" s="3" t="s">
        <v>194</v>
      </c>
      <c r="D156" s="3" t="s">
        <v>8</v>
      </c>
      <c r="E156" s="3" t="n">
        <v>1800</v>
      </c>
      <c r="F156" s="3" t="n">
        <v>618</v>
      </c>
      <c r="G156" s="3" t="n">
        <v>14</v>
      </c>
      <c r="H156" s="8" t="n">
        <f aca="false">(E156/1000)*(F156/1000)*(G156/1000)*7850</f>
        <v>122.25276</v>
      </c>
      <c r="I156" s="3" t="n">
        <v>4</v>
      </c>
      <c r="J156" s="9" t="n">
        <f aca="false">H156*I156</f>
        <v>489.01104</v>
      </c>
      <c r="K156" s="3"/>
    </row>
    <row r="157" customFormat="false" ht="19.5" hidden="false" customHeight="false" outlineLevel="0" collapsed="false">
      <c r="A157" s="3" t="s">
        <v>108</v>
      </c>
      <c r="B157" s="3" t="s">
        <v>109</v>
      </c>
      <c r="C157" s="3" t="s">
        <v>182</v>
      </c>
      <c r="D157" s="3" t="s">
        <v>8</v>
      </c>
      <c r="E157" s="3" t="n">
        <v>1960</v>
      </c>
      <c r="F157" s="3" t="n">
        <v>1200</v>
      </c>
      <c r="G157" s="3" t="n">
        <v>16</v>
      </c>
      <c r="H157" s="8" t="n">
        <f aca="false">(E157/1000)*(F157/1000)*(G157/1000)*7850</f>
        <v>295.4112</v>
      </c>
      <c r="I157" s="3" t="n">
        <v>3</v>
      </c>
      <c r="J157" s="9" t="n">
        <f aca="false">H157*I157</f>
        <v>886.2336</v>
      </c>
      <c r="K157" s="3"/>
    </row>
    <row r="158" customFormat="false" ht="19.5" hidden="false" customHeight="false" outlineLevel="0" collapsed="false">
      <c r="A158" s="3" t="s">
        <v>108</v>
      </c>
      <c r="B158" s="3" t="s">
        <v>109</v>
      </c>
      <c r="C158" s="3" t="s">
        <v>183</v>
      </c>
      <c r="D158" s="3" t="s">
        <v>8</v>
      </c>
      <c r="E158" s="3" t="n">
        <v>1976</v>
      </c>
      <c r="F158" s="3" t="n">
        <v>1200</v>
      </c>
      <c r="G158" s="3" t="n">
        <v>16</v>
      </c>
      <c r="H158" s="8" t="n">
        <f aca="false">(E158/1000)*(F158/1000)*(G158/1000)*7850</f>
        <v>297.82272</v>
      </c>
      <c r="I158" s="3" t="n">
        <v>2</v>
      </c>
      <c r="J158" s="9" t="n">
        <f aca="false">H158*I158</f>
        <v>595.64544</v>
      </c>
      <c r="K158" s="3"/>
    </row>
    <row r="159" customFormat="false" ht="19.5" hidden="false" customHeight="false" outlineLevel="0" collapsed="false">
      <c r="A159" s="3" t="s">
        <v>108</v>
      </c>
      <c r="B159" s="3" t="s">
        <v>109</v>
      </c>
      <c r="C159" s="3" t="s">
        <v>184</v>
      </c>
      <c r="D159" s="3" t="s">
        <v>8</v>
      </c>
      <c r="E159" s="3" t="n">
        <v>2057</v>
      </c>
      <c r="F159" s="3" t="n">
        <v>200</v>
      </c>
      <c r="G159" s="3" t="n">
        <v>16</v>
      </c>
      <c r="H159" s="8" t="n">
        <f aca="false">(E159/1000)*(F159/1000)*(G159/1000)*7850</f>
        <v>51.67184</v>
      </c>
      <c r="I159" s="3" t="n">
        <v>3</v>
      </c>
      <c r="J159" s="9" t="n">
        <f aca="false">H159*I159</f>
        <v>155.01552</v>
      </c>
      <c r="K159" s="3"/>
    </row>
    <row r="160" customFormat="false" ht="19.5" hidden="false" customHeight="false" outlineLevel="0" collapsed="false">
      <c r="A160" s="3" t="s">
        <v>108</v>
      </c>
      <c r="B160" s="3" t="s">
        <v>109</v>
      </c>
      <c r="C160" s="3" t="s">
        <v>185</v>
      </c>
      <c r="D160" s="3" t="s">
        <v>180</v>
      </c>
      <c r="E160" s="3" t="n">
        <v>2057</v>
      </c>
      <c r="F160" s="3" t="n">
        <v>40</v>
      </c>
      <c r="G160" s="3" t="n">
        <v>4</v>
      </c>
      <c r="H160" s="8" t="n">
        <f aca="false">(E160/1000)*(F160/1000)*(G160/1000)*7850</f>
        <v>2.583592</v>
      </c>
      <c r="I160" s="3" t="n">
        <v>4</v>
      </c>
      <c r="J160" s="9" t="n">
        <f aca="false">H160*I160</f>
        <v>10.334368</v>
      </c>
      <c r="K160" s="3"/>
    </row>
    <row r="161" customFormat="false" ht="19.5" hidden="false" customHeight="false" outlineLevel="0" collapsed="false">
      <c r="A161" s="3" t="s">
        <v>108</v>
      </c>
      <c r="B161" s="3" t="s">
        <v>109</v>
      </c>
      <c r="C161" s="3" t="s">
        <v>199</v>
      </c>
      <c r="D161" s="3" t="s">
        <v>8</v>
      </c>
      <c r="E161" s="3" t="n">
        <v>800</v>
      </c>
      <c r="F161" s="3" t="n">
        <v>400</v>
      </c>
      <c r="G161" s="3" t="n">
        <v>16</v>
      </c>
      <c r="H161" s="8" t="n">
        <f aca="false">(E161/1000)*(F161/1000)*(G161/1000)*7850</f>
        <v>40.192</v>
      </c>
      <c r="I161" s="3" t="n">
        <v>4</v>
      </c>
      <c r="J161" s="9" t="n">
        <f aca="false">H161*I161</f>
        <v>160.768</v>
      </c>
      <c r="K161" s="3"/>
    </row>
    <row r="162" customFormat="false" ht="19.5" hidden="false" customHeight="false" outlineLevel="0" collapsed="false">
      <c r="A162" s="3" t="s">
        <v>108</v>
      </c>
      <c r="B162" s="3" t="s">
        <v>109</v>
      </c>
      <c r="C162" s="3" t="s">
        <v>199</v>
      </c>
      <c r="D162" s="3" t="s">
        <v>9</v>
      </c>
      <c r="E162" s="3" t="n">
        <v>7900</v>
      </c>
      <c r="F162" s="3" t="n">
        <v>320</v>
      </c>
      <c r="G162" s="3" t="n">
        <v>32</v>
      </c>
      <c r="H162" s="8" t="n">
        <f aca="false">(E162/1000)*(F162/1000)*(G162/1000)*7850</f>
        <v>635.0336</v>
      </c>
      <c r="I162" s="3" t="n">
        <v>1</v>
      </c>
      <c r="J162" s="9" t="n">
        <f aca="false">H162*I162</f>
        <v>635.0336</v>
      </c>
      <c r="K162" s="3"/>
    </row>
    <row r="163" customFormat="false" ht="19.5" hidden="false" customHeight="false" outlineLevel="0" collapsed="false">
      <c r="A163" s="3" t="s">
        <v>108</v>
      </c>
      <c r="B163" s="3" t="s">
        <v>109</v>
      </c>
      <c r="C163" s="3" t="s">
        <v>199</v>
      </c>
      <c r="D163" s="3" t="s">
        <v>8</v>
      </c>
      <c r="E163" s="3" t="n">
        <v>7100</v>
      </c>
      <c r="F163" s="3" t="n">
        <v>280</v>
      </c>
      <c r="G163" s="3" t="n">
        <v>24</v>
      </c>
      <c r="H163" s="8" t="n">
        <f aca="false">(E163/1000)*(F163/1000)*(G163/1000)*7850</f>
        <v>374.5392</v>
      </c>
      <c r="I163" s="3" t="n">
        <v>6</v>
      </c>
      <c r="J163" s="9" t="n">
        <f aca="false">H163*I163</f>
        <v>2247.2352</v>
      </c>
      <c r="K163" s="3"/>
    </row>
    <row r="164" customFormat="false" ht="19.5" hidden="false" customHeight="false" outlineLevel="0" collapsed="false">
      <c r="A164" s="3" t="s">
        <v>108</v>
      </c>
      <c r="B164" s="3" t="s">
        <v>109</v>
      </c>
      <c r="C164" s="3" t="s">
        <v>199</v>
      </c>
      <c r="D164" s="3" t="s">
        <v>8</v>
      </c>
      <c r="E164" s="3" t="n">
        <v>7900</v>
      </c>
      <c r="F164" s="3" t="n">
        <v>2500</v>
      </c>
      <c r="G164" s="3" t="n">
        <v>24</v>
      </c>
      <c r="H164" s="8" t="n">
        <f aca="false">(E164/1000)*(F164/1000)*(G164/1000)*7850</f>
        <v>3720.9</v>
      </c>
      <c r="I164" s="3" t="n">
        <v>1</v>
      </c>
      <c r="J164" s="9" t="n">
        <f aca="false">H164*I164</f>
        <v>3720.9</v>
      </c>
      <c r="K164" s="3"/>
    </row>
    <row r="165" customFormat="false" ht="19.5" hidden="false" customHeight="false" outlineLevel="0" collapsed="false">
      <c r="A165" s="3" t="s">
        <v>108</v>
      </c>
      <c r="B165" s="3" t="s">
        <v>109</v>
      </c>
      <c r="C165" s="3" t="s">
        <v>199</v>
      </c>
      <c r="D165" s="3" t="s">
        <v>8</v>
      </c>
      <c r="E165" s="3" t="n">
        <v>7100</v>
      </c>
      <c r="F165" s="3" t="n">
        <v>2500</v>
      </c>
      <c r="G165" s="3" t="n">
        <v>24</v>
      </c>
      <c r="H165" s="8" t="n">
        <f aca="false">(E165/1000)*(F165/1000)*(G165/1000)*7850</f>
        <v>3344.1</v>
      </c>
      <c r="I165" s="3" t="n">
        <v>1</v>
      </c>
      <c r="J165" s="9" t="n">
        <f aca="false">H165*I165</f>
        <v>3344.1</v>
      </c>
      <c r="K165" s="3"/>
    </row>
    <row r="166" customFormat="false" ht="19.5" hidden="false" customHeight="false" outlineLevel="0" collapsed="false">
      <c r="A166" s="3" t="s">
        <v>108</v>
      </c>
      <c r="B166" s="3" t="s">
        <v>109</v>
      </c>
      <c r="C166" s="3" t="s">
        <v>186</v>
      </c>
      <c r="D166" s="3" t="s">
        <v>8</v>
      </c>
      <c r="E166" s="3" t="n">
        <v>1800</v>
      </c>
      <c r="F166" s="3" t="n">
        <v>1200</v>
      </c>
      <c r="G166" s="3" t="n">
        <v>16</v>
      </c>
      <c r="H166" s="8" t="n">
        <f aca="false">(E166/1000)*(F166/1000)*(G166/1000)*7850</f>
        <v>271.296</v>
      </c>
      <c r="I166" s="3" t="n">
        <v>3</v>
      </c>
      <c r="J166" s="9" t="n">
        <f aca="false">H166*I166</f>
        <v>813.888</v>
      </c>
      <c r="K166" s="3"/>
    </row>
    <row r="167" customFormat="false" ht="19.5" hidden="false" customHeight="false" outlineLevel="0" collapsed="false">
      <c r="A167" s="3" t="s">
        <v>108</v>
      </c>
      <c r="B167" s="3" t="s">
        <v>109</v>
      </c>
      <c r="C167" s="3" t="s">
        <v>187</v>
      </c>
      <c r="D167" s="3" t="s">
        <v>8</v>
      </c>
      <c r="E167" s="3" t="n">
        <v>1800</v>
      </c>
      <c r="F167" s="3" t="n">
        <v>1200</v>
      </c>
      <c r="G167" s="3" t="n">
        <v>16</v>
      </c>
      <c r="H167" s="8" t="n">
        <f aca="false">(E167/1000)*(F167/1000)*(G167/1000)*7850</f>
        <v>271.296</v>
      </c>
      <c r="I167" s="3" t="n">
        <v>2</v>
      </c>
      <c r="J167" s="9" t="n">
        <f aca="false">H167*I167</f>
        <v>542.592</v>
      </c>
      <c r="K167" s="3"/>
    </row>
    <row r="168" customFormat="false" ht="19.5" hidden="false" customHeight="false" outlineLevel="0" collapsed="false">
      <c r="A168" s="3" t="s">
        <v>108</v>
      </c>
      <c r="B168" s="3" t="s">
        <v>109</v>
      </c>
      <c r="C168" s="3" t="s">
        <v>193</v>
      </c>
      <c r="D168" s="3" t="s">
        <v>8</v>
      </c>
      <c r="E168" s="3" t="n">
        <v>2057</v>
      </c>
      <c r="F168" s="3" t="n">
        <v>200</v>
      </c>
      <c r="G168" s="3" t="n">
        <v>16</v>
      </c>
      <c r="H168" s="8" t="n">
        <f aca="false">(E168/1000)*(F168/1000)*(G168/1000)*7850</f>
        <v>51.67184</v>
      </c>
      <c r="I168" s="3" t="n">
        <v>5</v>
      </c>
      <c r="J168" s="9" t="n">
        <f aca="false">H168*I168</f>
        <v>258.3592</v>
      </c>
      <c r="K168" s="3"/>
    </row>
    <row r="169" customFormat="false" ht="19.5" hidden="false" customHeight="false" outlineLevel="0" collapsed="false">
      <c r="A169" s="3" t="s">
        <v>108</v>
      </c>
      <c r="B169" s="3" t="s">
        <v>109</v>
      </c>
      <c r="C169" s="3" t="s">
        <v>193</v>
      </c>
      <c r="D169" s="3" t="s">
        <v>8</v>
      </c>
      <c r="E169" s="3" t="n">
        <v>7900</v>
      </c>
      <c r="F169" s="3" t="n">
        <v>280</v>
      </c>
      <c r="G169" s="3" t="n">
        <v>24</v>
      </c>
      <c r="H169" s="8" t="n">
        <f aca="false">(E169/1000)*(F169/1000)*(G169/1000)*7850</f>
        <v>416.7408</v>
      </c>
      <c r="I169" s="3" t="n">
        <v>4</v>
      </c>
      <c r="J169" s="9" t="n">
        <f aca="false">H169*I169</f>
        <v>1666.9632</v>
      </c>
      <c r="K169" s="3"/>
    </row>
    <row r="170" customFormat="false" ht="19.5" hidden="false" customHeight="false" outlineLevel="0" collapsed="false">
      <c r="A170" s="3" t="s">
        <v>108</v>
      </c>
      <c r="B170" s="3" t="s">
        <v>109</v>
      </c>
      <c r="C170" s="3" t="s">
        <v>193</v>
      </c>
      <c r="D170" s="3" t="s">
        <v>8</v>
      </c>
      <c r="E170" s="3" t="n">
        <v>7100</v>
      </c>
      <c r="F170" s="3" t="n">
        <v>320</v>
      </c>
      <c r="G170" s="3" t="n">
        <v>32</v>
      </c>
      <c r="H170" s="8" t="n">
        <f aca="false">(E170/1000)*(F170/1000)*(G170/1000)*7850</f>
        <v>570.7264</v>
      </c>
      <c r="I170" s="3" t="n">
        <v>4</v>
      </c>
      <c r="J170" s="9" t="n">
        <f aca="false">H170*I170</f>
        <v>2282.9056</v>
      </c>
      <c r="K170" s="3"/>
    </row>
    <row r="171" customFormat="false" ht="19.5" hidden="false" customHeight="false" outlineLevel="0" collapsed="false">
      <c r="A171" s="3" t="s">
        <v>108</v>
      </c>
      <c r="B171" s="3" t="s">
        <v>109</v>
      </c>
      <c r="C171" s="3" t="s">
        <v>193</v>
      </c>
      <c r="D171" s="3" t="s">
        <v>8</v>
      </c>
      <c r="E171" s="3" t="n">
        <v>15000</v>
      </c>
      <c r="F171" s="3" t="n">
        <v>170</v>
      </c>
      <c r="G171" s="3" t="n">
        <v>14</v>
      </c>
      <c r="H171" s="8" t="n">
        <f aca="false">(E171/1000)*(F171/1000)*(G171/1000)*7850</f>
        <v>280.245</v>
      </c>
      <c r="I171" s="3" t="n">
        <v>2</v>
      </c>
      <c r="J171" s="9" t="n">
        <f aca="false">H171*I171</f>
        <v>560.49</v>
      </c>
      <c r="K171" s="3"/>
    </row>
    <row r="172" customFormat="false" ht="19.5" hidden="false" customHeight="false" outlineLevel="0" collapsed="false">
      <c r="A172" s="3" t="s">
        <v>108</v>
      </c>
      <c r="B172" s="3" t="s">
        <v>109</v>
      </c>
      <c r="C172" s="3" t="s">
        <v>188</v>
      </c>
      <c r="D172" s="3" t="s">
        <v>8</v>
      </c>
      <c r="E172" s="3" t="n">
        <v>1960</v>
      </c>
      <c r="F172" s="3" t="n">
        <v>602</v>
      </c>
      <c r="G172" s="3" t="n">
        <v>14</v>
      </c>
      <c r="H172" s="8" t="n">
        <f aca="false">(E172/1000)*(F172/1000)*(G172/1000)*7850</f>
        <v>129.673208</v>
      </c>
      <c r="I172" s="3" t="n">
        <v>6</v>
      </c>
      <c r="J172" s="9" t="n">
        <f aca="false">H172*I172</f>
        <v>778.039248</v>
      </c>
      <c r="K172" s="3"/>
    </row>
    <row r="173" customFormat="false" ht="19.5" hidden="false" customHeight="false" outlineLevel="0" collapsed="false">
      <c r="A173" s="3" t="s">
        <v>108</v>
      </c>
      <c r="B173" s="3" t="s">
        <v>109</v>
      </c>
      <c r="C173" s="3" t="s">
        <v>190</v>
      </c>
      <c r="D173" s="3" t="s">
        <v>8</v>
      </c>
      <c r="E173" s="3" t="n">
        <v>470</v>
      </c>
      <c r="F173" s="3" t="n">
        <v>1000</v>
      </c>
      <c r="G173" s="3" t="n">
        <v>24</v>
      </c>
      <c r="H173" s="8" t="n">
        <f aca="false">(E173/1000)*(F173/1000)*(G173/1000)*7850</f>
        <v>88.548</v>
      </c>
      <c r="I173" s="3" t="n">
        <v>6</v>
      </c>
      <c r="J173" s="9" t="n">
        <f aca="false">H173*I173</f>
        <v>531.288</v>
      </c>
      <c r="K173" s="3"/>
    </row>
    <row r="174" customFormat="false" ht="19.5" hidden="false" customHeight="false" outlineLevel="0" collapsed="false">
      <c r="A174" s="3" t="s">
        <v>108</v>
      </c>
      <c r="B174" s="3" t="s">
        <v>109</v>
      </c>
      <c r="C174" s="3" t="s">
        <v>192</v>
      </c>
      <c r="D174" s="3" t="s">
        <v>8</v>
      </c>
      <c r="E174" s="3" t="n">
        <v>1800</v>
      </c>
      <c r="F174" s="3" t="n">
        <v>606</v>
      </c>
      <c r="G174" s="3" t="n">
        <v>14</v>
      </c>
      <c r="H174" s="8" t="n">
        <f aca="false">(E174/1000)*(F174/1000)*(G174/1000)*7850</f>
        <v>119.87892</v>
      </c>
      <c r="I174" s="3" t="n">
        <v>6</v>
      </c>
      <c r="J174" s="9" t="n">
        <f aca="false">H174*I174</f>
        <v>719.27352</v>
      </c>
      <c r="K174" s="3"/>
    </row>
    <row r="175" customFormat="false" ht="19.5" hidden="false" customHeight="false" outlineLevel="0" collapsed="false">
      <c r="A175" s="3" t="s">
        <v>108</v>
      </c>
      <c r="B175" s="3" t="s">
        <v>109</v>
      </c>
      <c r="C175" s="3" t="s">
        <v>194</v>
      </c>
      <c r="D175" s="3" t="s">
        <v>8</v>
      </c>
      <c r="E175" s="3" t="n">
        <v>1800</v>
      </c>
      <c r="F175" s="3" t="n">
        <v>618</v>
      </c>
      <c r="G175" s="3" t="n">
        <v>14</v>
      </c>
      <c r="H175" s="8" t="n">
        <f aca="false">(E175/1000)*(F175/1000)*(G175/1000)*7850</f>
        <v>122.25276</v>
      </c>
      <c r="I175" s="3" t="n">
        <v>4</v>
      </c>
      <c r="J175" s="9" t="n">
        <f aca="false">H175*I175</f>
        <v>489.01104</v>
      </c>
      <c r="K175" s="3"/>
    </row>
    <row r="176" customFormat="false" ht="19.5" hidden="false" customHeight="false" outlineLevel="0" collapsed="false">
      <c r="A176" s="3" t="s">
        <v>110</v>
      </c>
      <c r="B176" s="3" t="s">
        <v>111</v>
      </c>
      <c r="C176" s="3" t="s">
        <v>182</v>
      </c>
      <c r="D176" s="3" t="s">
        <v>9</v>
      </c>
      <c r="E176" s="3" t="n">
        <v>1960</v>
      </c>
      <c r="F176" s="3" t="n">
        <v>1200</v>
      </c>
      <c r="G176" s="3" t="n">
        <v>16</v>
      </c>
      <c r="H176" s="8" t="n">
        <f aca="false">(E176/1000)*(F176/1000)*(G176/1000)*7850</f>
        <v>295.4112</v>
      </c>
      <c r="I176" s="3" t="n">
        <v>3</v>
      </c>
      <c r="J176" s="9" t="n">
        <f aca="false">H176*I176</f>
        <v>886.2336</v>
      </c>
      <c r="K176" s="3"/>
    </row>
    <row r="177" customFormat="false" ht="19.5" hidden="false" customHeight="false" outlineLevel="0" collapsed="false">
      <c r="A177" s="3" t="s">
        <v>110</v>
      </c>
      <c r="B177" s="3" t="s">
        <v>111</v>
      </c>
      <c r="C177" s="3" t="s">
        <v>183</v>
      </c>
      <c r="D177" s="3" t="s">
        <v>9</v>
      </c>
      <c r="E177" s="3" t="n">
        <v>1960</v>
      </c>
      <c r="F177" s="3" t="n">
        <v>1200</v>
      </c>
      <c r="G177" s="3" t="n">
        <v>16</v>
      </c>
      <c r="H177" s="8" t="n">
        <f aca="false">(E177/1000)*(F177/1000)*(G177/1000)*7850</f>
        <v>295.4112</v>
      </c>
      <c r="I177" s="3" t="n">
        <v>2</v>
      </c>
      <c r="J177" s="9" t="n">
        <f aca="false">H177*I177</f>
        <v>590.8224</v>
      </c>
      <c r="K177" s="3"/>
    </row>
    <row r="178" customFormat="false" ht="19.5" hidden="false" customHeight="false" outlineLevel="0" collapsed="false">
      <c r="A178" s="3" t="s">
        <v>110</v>
      </c>
      <c r="B178" s="3" t="s">
        <v>111</v>
      </c>
      <c r="C178" s="3" t="s">
        <v>184</v>
      </c>
      <c r="D178" s="3" t="s">
        <v>9</v>
      </c>
      <c r="E178" s="3" t="n">
        <v>2057</v>
      </c>
      <c r="F178" s="3" t="n">
        <v>200</v>
      </c>
      <c r="G178" s="3" t="n">
        <v>16</v>
      </c>
      <c r="H178" s="8" t="n">
        <f aca="false">(E178/1000)*(F178/1000)*(G178/1000)*7850</f>
        <v>51.67184</v>
      </c>
      <c r="I178" s="3" t="n">
        <v>3</v>
      </c>
      <c r="J178" s="9" t="n">
        <f aca="false">H178*I178</f>
        <v>155.01552</v>
      </c>
      <c r="K178" s="3"/>
    </row>
    <row r="179" customFormat="false" ht="19.5" hidden="false" customHeight="false" outlineLevel="0" collapsed="false">
      <c r="A179" s="3" t="s">
        <v>110</v>
      </c>
      <c r="B179" s="3" t="s">
        <v>111</v>
      </c>
      <c r="C179" s="3" t="s">
        <v>185</v>
      </c>
      <c r="D179" s="3" t="s">
        <v>180</v>
      </c>
      <c r="E179" s="3" t="n">
        <v>2057</v>
      </c>
      <c r="F179" s="3" t="n">
        <v>40</v>
      </c>
      <c r="G179" s="3" t="n">
        <v>4</v>
      </c>
      <c r="H179" s="8" t="n">
        <f aca="false">(E179/1000)*(F179/1000)*(G179/1000)*7850</f>
        <v>2.583592</v>
      </c>
      <c r="I179" s="3" t="n">
        <v>4</v>
      </c>
      <c r="J179" s="9" t="n">
        <f aca="false">H179*I179</f>
        <v>10.334368</v>
      </c>
      <c r="K179" s="3"/>
    </row>
    <row r="180" customFormat="false" ht="19.5" hidden="false" customHeight="false" outlineLevel="0" collapsed="false">
      <c r="A180" s="3" t="s">
        <v>110</v>
      </c>
      <c r="B180" s="3" t="s">
        <v>111</v>
      </c>
      <c r="C180" s="3" t="s">
        <v>199</v>
      </c>
      <c r="D180" s="3" t="s">
        <v>9</v>
      </c>
      <c r="E180" s="3" t="n">
        <v>800</v>
      </c>
      <c r="F180" s="3" t="n">
        <v>400</v>
      </c>
      <c r="G180" s="3" t="n">
        <v>16</v>
      </c>
      <c r="H180" s="8" t="n">
        <f aca="false">(E180/1000)*(F180/1000)*(G180/1000)*7850</f>
        <v>40.192</v>
      </c>
      <c r="I180" s="3" t="n">
        <v>4</v>
      </c>
      <c r="J180" s="9" t="n">
        <f aca="false">H180*I180</f>
        <v>160.768</v>
      </c>
      <c r="K180" s="3"/>
    </row>
    <row r="181" customFormat="false" ht="19.5" hidden="false" customHeight="false" outlineLevel="0" collapsed="false">
      <c r="A181" s="3" t="s">
        <v>110</v>
      </c>
      <c r="B181" s="3" t="s">
        <v>111</v>
      </c>
      <c r="C181" s="3" t="s">
        <v>186</v>
      </c>
      <c r="D181" s="3" t="s">
        <v>9</v>
      </c>
      <c r="E181" s="3" t="n">
        <v>1800</v>
      </c>
      <c r="F181" s="3" t="n">
        <v>1200</v>
      </c>
      <c r="G181" s="3" t="n">
        <v>16</v>
      </c>
      <c r="H181" s="8" t="n">
        <f aca="false">(E181/1000)*(F181/1000)*(G181/1000)*7850</f>
        <v>271.296</v>
      </c>
      <c r="I181" s="3" t="n">
        <v>3</v>
      </c>
      <c r="J181" s="9" t="n">
        <f aca="false">H181*I181</f>
        <v>813.888</v>
      </c>
      <c r="K181" s="3"/>
    </row>
    <row r="182" customFormat="false" ht="19.5" hidden="false" customHeight="false" outlineLevel="0" collapsed="false">
      <c r="A182" s="3" t="s">
        <v>110</v>
      </c>
      <c r="B182" s="3" t="s">
        <v>111</v>
      </c>
      <c r="C182" s="3" t="s">
        <v>187</v>
      </c>
      <c r="D182" s="3" t="s">
        <v>9</v>
      </c>
      <c r="E182" s="3" t="n">
        <v>1800</v>
      </c>
      <c r="F182" s="3" t="n">
        <v>1200</v>
      </c>
      <c r="G182" s="3" t="n">
        <v>16</v>
      </c>
      <c r="H182" s="8" t="n">
        <f aca="false">(E182/1000)*(F182/1000)*(G182/1000)*7850</f>
        <v>271.296</v>
      </c>
      <c r="I182" s="3" t="n">
        <v>2</v>
      </c>
      <c r="J182" s="9" t="n">
        <f aca="false">H182*I182</f>
        <v>542.592</v>
      </c>
      <c r="K182" s="3"/>
    </row>
    <row r="183" customFormat="false" ht="19.5" hidden="false" customHeight="false" outlineLevel="0" collapsed="false">
      <c r="A183" s="3" t="s">
        <v>110</v>
      </c>
      <c r="B183" s="3" t="s">
        <v>111</v>
      </c>
      <c r="C183" s="3" t="s">
        <v>193</v>
      </c>
      <c r="D183" s="3" t="s">
        <v>9</v>
      </c>
      <c r="E183" s="3" t="n">
        <v>2057</v>
      </c>
      <c r="F183" s="3" t="n">
        <v>200</v>
      </c>
      <c r="G183" s="3" t="n">
        <v>16</v>
      </c>
      <c r="H183" s="8" t="n">
        <f aca="false">(E183/1000)*(F183/1000)*(G183/1000)*7850</f>
        <v>51.67184</v>
      </c>
      <c r="I183" s="3" t="n">
        <v>3</v>
      </c>
      <c r="J183" s="9" t="n">
        <f aca="false">H183*I183</f>
        <v>155.01552</v>
      </c>
      <c r="K183" s="3"/>
    </row>
    <row r="184" customFormat="false" ht="19.5" hidden="false" customHeight="false" outlineLevel="0" collapsed="false">
      <c r="A184" s="3" t="s">
        <v>110</v>
      </c>
      <c r="B184" s="3" t="s">
        <v>111</v>
      </c>
      <c r="C184" s="3" t="s">
        <v>193</v>
      </c>
      <c r="D184" s="3" t="s">
        <v>9</v>
      </c>
      <c r="E184" s="3" t="n">
        <v>7900</v>
      </c>
      <c r="F184" s="3" t="n">
        <v>320</v>
      </c>
      <c r="G184" s="3" t="n">
        <v>32</v>
      </c>
      <c r="H184" s="8" t="n">
        <f aca="false">(E184/1000)*(F184/1000)*(G184/1000)*7850</f>
        <v>635.0336</v>
      </c>
      <c r="I184" s="3" t="n">
        <v>4</v>
      </c>
      <c r="J184" s="9" t="n">
        <f aca="false">H184*I184</f>
        <v>2540.1344</v>
      </c>
      <c r="K184" s="3"/>
    </row>
    <row r="185" customFormat="false" ht="19.5" hidden="false" customHeight="false" outlineLevel="0" collapsed="false">
      <c r="A185" s="3" t="s">
        <v>110</v>
      </c>
      <c r="B185" s="3" t="s">
        <v>111</v>
      </c>
      <c r="C185" s="3" t="s">
        <v>193</v>
      </c>
      <c r="D185" s="3" t="s">
        <v>9</v>
      </c>
      <c r="E185" s="3" t="n">
        <v>7100</v>
      </c>
      <c r="F185" s="3" t="n">
        <v>320</v>
      </c>
      <c r="G185" s="3" t="n">
        <v>32</v>
      </c>
      <c r="H185" s="8" t="n">
        <f aca="false">(E185/1000)*(F185/1000)*(G185/1000)*7850</f>
        <v>570.7264</v>
      </c>
      <c r="I185" s="3" t="n">
        <v>4</v>
      </c>
      <c r="J185" s="9" t="n">
        <f aca="false">H185*I185</f>
        <v>2282.9056</v>
      </c>
      <c r="K185" s="3"/>
    </row>
    <row r="186" customFormat="false" ht="19.5" hidden="false" customHeight="false" outlineLevel="0" collapsed="false">
      <c r="A186" s="3" t="s">
        <v>110</v>
      </c>
      <c r="B186" s="3" t="s">
        <v>111</v>
      </c>
      <c r="C186" s="3" t="s">
        <v>193</v>
      </c>
      <c r="D186" s="3" t="s">
        <v>9</v>
      </c>
      <c r="E186" s="3" t="n">
        <v>15000</v>
      </c>
      <c r="F186" s="3" t="n">
        <v>170</v>
      </c>
      <c r="G186" s="3" t="n">
        <v>14</v>
      </c>
      <c r="H186" s="8" t="n">
        <f aca="false">(E186/1000)*(F186/1000)*(G186/1000)*7850</f>
        <v>280.245</v>
      </c>
      <c r="I186" s="3" t="n">
        <v>2</v>
      </c>
      <c r="J186" s="9" t="n">
        <f aca="false">H186*I186</f>
        <v>560.49</v>
      </c>
      <c r="K186" s="3"/>
    </row>
    <row r="187" customFormat="false" ht="19.5" hidden="false" customHeight="false" outlineLevel="0" collapsed="false">
      <c r="A187" s="3" t="s">
        <v>110</v>
      </c>
      <c r="B187" s="3" t="s">
        <v>111</v>
      </c>
      <c r="C187" s="3" t="s">
        <v>189</v>
      </c>
      <c r="D187" s="3" t="s">
        <v>8</v>
      </c>
      <c r="E187" s="3" t="n">
        <v>1960</v>
      </c>
      <c r="F187" s="3" t="n">
        <v>602</v>
      </c>
      <c r="G187" s="3" t="n">
        <v>14</v>
      </c>
      <c r="H187" s="8" t="n">
        <f aca="false">(E187/1000)*(F187/1000)*(G187/1000)*7850</f>
        <v>129.673208</v>
      </c>
      <c r="I187" s="3" t="n">
        <v>4</v>
      </c>
      <c r="J187" s="9" t="n">
        <f aca="false">H187*I187</f>
        <v>518.692832</v>
      </c>
      <c r="K187" s="3"/>
    </row>
    <row r="188" customFormat="false" ht="19.5" hidden="false" customHeight="false" outlineLevel="0" collapsed="false">
      <c r="A188" s="3" t="s">
        <v>110</v>
      </c>
      <c r="B188" s="3" t="s">
        <v>111</v>
      </c>
      <c r="C188" s="3" t="s">
        <v>190</v>
      </c>
      <c r="D188" s="3" t="s">
        <v>8</v>
      </c>
      <c r="E188" s="3" t="n">
        <v>470</v>
      </c>
      <c r="F188" s="3" t="n">
        <v>1000</v>
      </c>
      <c r="G188" s="3" t="n">
        <v>24</v>
      </c>
      <c r="H188" s="8" t="n">
        <f aca="false">(E188/1000)*(F188/1000)*(G188/1000)*7850</f>
        <v>88.548</v>
      </c>
      <c r="I188" s="3" t="n">
        <v>6</v>
      </c>
      <c r="J188" s="9" t="n">
        <f aca="false">H188*I188</f>
        <v>531.288</v>
      </c>
      <c r="K188" s="3"/>
    </row>
    <row r="189" customFormat="false" ht="19.5" hidden="false" customHeight="false" outlineLevel="0" collapsed="false">
      <c r="A189" s="3" t="s">
        <v>110</v>
      </c>
      <c r="B189" s="3" t="s">
        <v>111</v>
      </c>
      <c r="C189" s="3" t="s">
        <v>191</v>
      </c>
      <c r="D189" s="3" t="s">
        <v>8</v>
      </c>
      <c r="E189" s="3" t="n">
        <v>480</v>
      </c>
      <c r="F189" s="3" t="n">
        <v>1000</v>
      </c>
      <c r="G189" s="3" t="n">
        <v>24</v>
      </c>
      <c r="H189" s="8" t="n">
        <f aca="false">(E189/1000)*(F189/1000)*(G189/1000)*7850</f>
        <v>90.432</v>
      </c>
      <c r="I189" s="3" t="n">
        <v>4</v>
      </c>
      <c r="J189" s="9" t="n">
        <f aca="false">H189*I189</f>
        <v>361.728</v>
      </c>
      <c r="K189" s="3"/>
    </row>
    <row r="190" customFormat="false" ht="19.5" hidden="false" customHeight="false" outlineLevel="0" collapsed="false">
      <c r="A190" s="3" t="s">
        <v>110</v>
      </c>
      <c r="B190" s="3" t="s">
        <v>111</v>
      </c>
      <c r="C190" s="3" t="s">
        <v>194</v>
      </c>
      <c r="D190" s="3" t="s">
        <v>8</v>
      </c>
      <c r="E190" s="3" t="n">
        <v>1800</v>
      </c>
      <c r="F190" s="3" t="n">
        <v>606</v>
      </c>
      <c r="G190" s="3" t="n">
        <v>14</v>
      </c>
      <c r="H190" s="8" t="n">
        <f aca="false">(E190/1000)*(F190/1000)*(G190/1000)*7850</f>
        <v>119.87892</v>
      </c>
      <c r="I190" s="3" t="n">
        <v>4</v>
      </c>
      <c r="J190" s="9" t="n">
        <f aca="false">H190*I190</f>
        <v>479.51568</v>
      </c>
      <c r="K190" s="3"/>
    </row>
    <row r="191" customFormat="false" ht="19.5" hidden="false" customHeight="false" outlineLevel="0" collapsed="false">
      <c r="A191" s="3" t="s">
        <v>112</v>
      </c>
      <c r="B191" s="3" t="s">
        <v>113</v>
      </c>
      <c r="C191" s="3" t="s">
        <v>182</v>
      </c>
      <c r="D191" s="3" t="s">
        <v>9</v>
      </c>
      <c r="E191" s="3" t="n">
        <v>1960</v>
      </c>
      <c r="F191" s="3" t="n">
        <v>1200</v>
      </c>
      <c r="G191" s="3" t="n">
        <v>16</v>
      </c>
      <c r="H191" s="8" t="n">
        <f aca="false">(E191/1000)*(F191/1000)*(G191/1000)*7850</f>
        <v>295.4112</v>
      </c>
      <c r="I191" s="3" t="n">
        <v>1</v>
      </c>
      <c r="J191" s="9" t="n">
        <f aca="false">H191*I191</f>
        <v>295.4112</v>
      </c>
      <c r="K191" s="3"/>
    </row>
    <row r="192" customFormat="false" ht="19.5" hidden="false" customHeight="false" outlineLevel="0" collapsed="false">
      <c r="A192" s="3" t="s">
        <v>112</v>
      </c>
      <c r="B192" s="3" t="s">
        <v>113</v>
      </c>
      <c r="C192" s="3" t="s">
        <v>184</v>
      </c>
      <c r="D192" s="3" t="s">
        <v>9</v>
      </c>
      <c r="E192" s="3" t="n">
        <v>2057</v>
      </c>
      <c r="F192" s="3" t="n">
        <v>200</v>
      </c>
      <c r="G192" s="3" t="n">
        <v>16</v>
      </c>
      <c r="H192" s="8" t="n">
        <f aca="false">(E192/1000)*(F192/1000)*(G192/1000)*7850</f>
        <v>51.67184</v>
      </c>
      <c r="I192" s="3" t="n">
        <v>3</v>
      </c>
      <c r="J192" s="9" t="n">
        <f aca="false">H192*I192</f>
        <v>155.01552</v>
      </c>
      <c r="K192" s="3"/>
    </row>
    <row r="193" customFormat="false" ht="19.5" hidden="false" customHeight="false" outlineLevel="0" collapsed="false">
      <c r="A193" s="3" t="s">
        <v>112</v>
      </c>
      <c r="B193" s="3" t="s">
        <v>113</v>
      </c>
      <c r="C193" s="3" t="s">
        <v>185</v>
      </c>
      <c r="D193" s="3" t="s">
        <v>180</v>
      </c>
      <c r="E193" s="3" t="n">
        <v>2057</v>
      </c>
      <c r="F193" s="3" t="n">
        <v>40</v>
      </c>
      <c r="G193" s="3" t="n">
        <v>4</v>
      </c>
      <c r="H193" s="8" t="n">
        <f aca="false">(E193/1000)*(F193/1000)*(G193/1000)*7850</f>
        <v>2.583592</v>
      </c>
      <c r="I193" s="3" t="n">
        <v>4</v>
      </c>
      <c r="J193" s="9" t="n">
        <f aca="false">H193*I193</f>
        <v>10.334368</v>
      </c>
      <c r="K193" s="3"/>
    </row>
    <row r="194" customFormat="false" ht="19.5" hidden="false" customHeight="false" outlineLevel="0" collapsed="false">
      <c r="A194" s="3" t="s">
        <v>112</v>
      </c>
      <c r="B194" s="3" t="s">
        <v>113</v>
      </c>
      <c r="C194" s="3" t="s">
        <v>199</v>
      </c>
      <c r="D194" s="3" t="s">
        <v>9</v>
      </c>
      <c r="E194" s="3" t="n">
        <v>800</v>
      </c>
      <c r="F194" s="3" t="n">
        <v>400</v>
      </c>
      <c r="G194" s="3" t="n">
        <v>16</v>
      </c>
      <c r="H194" s="8" t="n">
        <f aca="false">(E194/1000)*(F194/1000)*(G194/1000)*7850</f>
        <v>40.192</v>
      </c>
      <c r="I194" s="3" t="n">
        <v>4</v>
      </c>
      <c r="J194" s="9" t="n">
        <f aca="false">H194*I194</f>
        <v>160.768</v>
      </c>
      <c r="K194" s="3"/>
    </row>
    <row r="195" customFormat="false" ht="19.5" hidden="false" customHeight="false" outlineLevel="0" collapsed="false">
      <c r="A195" s="3" t="s">
        <v>112</v>
      </c>
      <c r="B195" s="3" t="s">
        <v>113</v>
      </c>
      <c r="C195" s="3" t="s">
        <v>186</v>
      </c>
      <c r="D195" s="3" t="s">
        <v>9</v>
      </c>
      <c r="E195" s="3" t="n">
        <v>1800</v>
      </c>
      <c r="F195" s="3" t="n">
        <v>1200</v>
      </c>
      <c r="G195" s="3" t="n">
        <v>16</v>
      </c>
      <c r="H195" s="8" t="n">
        <f aca="false">(E195/1000)*(F195/1000)*(G195/1000)*7850</f>
        <v>271.296</v>
      </c>
      <c r="I195" s="3" t="n">
        <v>3</v>
      </c>
      <c r="J195" s="9" t="n">
        <f aca="false">H195*I195</f>
        <v>813.888</v>
      </c>
      <c r="K195" s="3"/>
    </row>
    <row r="196" customFormat="false" ht="19.5" hidden="false" customHeight="false" outlineLevel="0" collapsed="false">
      <c r="A196" s="3" t="s">
        <v>112</v>
      </c>
      <c r="B196" s="3" t="s">
        <v>113</v>
      </c>
      <c r="C196" s="3" t="s">
        <v>193</v>
      </c>
      <c r="D196" s="3" t="s">
        <v>9</v>
      </c>
      <c r="E196" s="3" t="n">
        <v>2057</v>
      </c>
      <c r="F196" s="3" t="n">
        <v>200</v>
      </c>
      <c r="G196" s="3" t="n">
        <v>16</v>
      </c>
      <c r="H196" s="8" t="n">
        <f aca="false">(E196/1000)*(F196/1000)*(G196/1000)*7850</f>
        <v>51.67184</v>
      </c>
      <c r="I196" s="3" t="n">
        <v>3</v>
      </c>
      <c r="J196" s="9" t="n">
        <f aca="false">H196*I196</f>
        <v>155.01552</v>
      </c>
      <c r="K196" s="3"/>
    </row>
    <row r="197" customFormat="false" ht="19.5" hidden="false" customHeight="false" outlineLevel="0" collapsed="false">
      <c r="A197" s="3" t="s">
        <v>112</v>
      </c>
      <c r="B197" s="3" t="s">
        <v>113</v>
      </c>
      <c r="C197" s="3" t="s">
        <v>189</v>
      </c>
      <c r="D197" s="3" t="s">
        <v>8</v>
      </c>
      <c r="E197" s="3" t="n">
        <v>1960</v>
      </c>
      <c r="F197" s="3" t="n">
        <v>602</v>
      </c>
      <c r="G197" s="3" t="n">
        <v>14</v>
      </c>
      <c r="H197" s="8" t="n">
        <f aca="false">(E197/1000)*(F197/1000)*(G197/1000)*7850</f>
        <v>129.673208</v>
      </c>
      <c r="I197" s="3" t="n">
        <v>4</v>
      </c>
      <c r="J197" s="9" t="n">
        <f aca="false">H197*I197</f>
        <v>518.692832</v>
      </c>
      <c r="K197" s="3"/>
    </row>
    <row r="198" customFormat="false" ht="19.5" hidden="false" customHeight="false" outlineLevel="0" collapsed="false">
      <c r="A198" s="3" t="s">
        <v>112</v>
      </c>
      <c r="B198" s="3" t="s">
        <v>113</v>
      </c>
      <c r="C198" s="3" t="s">
        <v>190</v>
      </c>
      <c r="D198" s="3" t="s">
        <v>8</v>
      </c>
      <c r="E198" s="3" t="n">
        <v>470</v>
      </c>
      <c r="F198" s="3" t="n">
        <v>1000</v>
      </c>
      <c r="G198" s="3" t="n">
        <v>24</v>
      </c>
      <c r="H198" s="8" t="n">
        <f aca="false">(E198/1000)*(F198/1000)*(G198/1000)*7850</f>
        <v>88.548</v>
      </c>
      <c r="I198" s="3" t="n">
        <v>6</v>
      </c>
      <c r="J198" s="9" t="n">
        <f aca="false">H198*I198</f>
        <v>531.288</v>
      </c>
      <c r="K198" s="3"/>
    </row>
    <row r="199" customFormat="false" ht="19.5" hidden="false" customHeight="false" outlineLevel="0" collapsed="false">
      <c r="A199" s="3" t="s">
        <v>112</v>
      </c>
      <c r="B199" s="3" t="s">
        <v>113</v>
      </c>
      <c r="C199" s="3" t="s">
        <v>191</v>
      </c>
      <c r="D199" s="3" t="s">
        <v>8</v>
      </c>
      <c r="E199" s="3" t="n">
        <v>480</v>
      </c>
      <c r="F199" s="3" t="n">
        <v>1000</v>
      </c>
      <c r="G199" s="3" t="n">
        <v>24</v>
      </c>
      <c r="H199" s="8" t="n">
        <f aca="false">(E199/1000)*(F199/1000)*(G199/1000)*7850</f>
        <v>90.432</v>
      </c>
      <c r="I199" s="3" t="n">
        <v>4</v>
      </c>
      <c r="J199" s="9" t="n">
        <f aca="false">H199*I199</f>
        <v>361.728</v>
      </c>
      <c r="K199" s="3"/>
    </row>
    <row r="200" customFormat="false" ht="19.5" hidden="false" customHeight="false" outlineLevel="0" collapsed="false">
      <c r="A200" s="3" t="s">
        <v>112</v>
      </c>
      <c r="B200" s="3" t="s">
        <v>113</v>
      </c>
      <c r="C200" s="3" t="s">
        <v>192</v>
      </c>
      <c r="D200" s="3" t="s">
        <v>8</v>
      </c>
      <c r="E200" s="3" t="n">
        <v>1800</v>
      </c>
      <c r="F200" s="3" t="n">
        <v>606</v>
      </c>
      <c r="G200" s="3" t="n">
        <v>14</v>
      </c>
      <c r="H200" s="8" t="n">
        <f aca="false">(E200/1000)*(F200/1000)*(G200/1000)*7850</f>
        <v>119.87892</v>
      </c>
      <c r="I200" s="3" t="n">
        <v>4</v>
      </c>
      <c r="J200" s="9" t="n">
        <f aca="false">H200*I200</f>
        <v>479.51568</v>
      </c>
      <c r="K200" s="3"/>
    </row>
    <row r="201" customFormat="false" ht="19.5" hidden="false" customHeight="false" outlineLevel="0" collapsed="false">
      <c r="A201" s="3" t="s">
        <v>112</v>
      </c>
      <c r="B201" s="3" t="s">
        <v>113</v>
      </c>
      <c r="C201" s="3" t="s">
        <v>195</v>
      </c>
      <c r="D201" s="3" t="s">
        <v>9</v>
      </c>
      <c r="E201" s="3" t="n">
        <v>1800</v>
      </c>
      <c r="F201" s="3" t="n">
        <v>1200</v>
      </c>
      <c r="G201" s="3" t="n">
        <v>32</v>
      </c>
      <c r="H201" s="8" t="n">
        <f aca="false">(E201/1000)*(F201/1000)*(G201/1000)*7850</f>
        <v>542.592</v>
      </c>
      <c r="I201" s="3" t="n">
        <v>5</v>
      </c>
      <c r="J201" s="9" t="n">
        <f aca="false">H201*I201</f>
        <v>2712.96</v>
      </c>
      <c r="K201" s="3"/>
    </row>
    <row r="202" customFormat="false" ht="19.5" hidden="false" customHeight="false" outlineLevel="0" collapsed="false">
      <c r="A202" s="3" t="s">
        <v>112</v>
      </c>
      <c r="B202" s="3" t="s">
        <v>113</v>
      </c>
      <c r="C202" s="3" t="s">
        <v>196</v>
      </c>
      <c r="D202" s="3" t="s">
        <v>9</v>
      </c>
      <c r="E202" s="3" t="n">
        <v>1800</v>
      </c>
      <c r="F202" s="3" t="n">
        <v>602</v>
      </c>
      <c r="G202" s="3" t="n">
        <v>44</v>
      </c>
      <c r="H202" s="8" t="n">
        <f aca="false">(E202/1000)*(F202/1000)*(G202/1000)*7850</f>
        <v>374.27544</v>
      </c>
      <c r="I202" s="3" t="n">
        <v>6</v>
      </c>
      <c r="J202" s="9" t="n">
        <f aca="false">H202*I202</f>
        <v>2245.65264</v>
      </c>
      <c r="K202" s="3"/>
    </row>
    <row r="203" customFormat="false" ht="19.5" hidden="false" customHeight="false" outlineLevel="0" collapsed="false">
      <c r="A203" s="3" t="s">
        <v>112</v>
      </c>
      <c r="B203" s="3" t="s">
        <v>113</v>
      </c>
      <c r="C203" s="3" t="s">
        <v>197</v>
      </c>
      <c r="D203" s="3" t="s">
        <v>9</v>
      </c>
      <c r="E203" s="3" t="n">
        <v>2800</v>
      </c>
      <c r="F203" s="3" t="n">
        <v>2650</v>
      </c>
      <c r="G203" s="3" t="n">
        <v>80</v>
      </c>
      <c r="H203" s="8" t="n">
        <f aca="false">(E203/1000)*(F203/1000)*(G203/1000)*7850</f>
        <v>4659.76</v>
      </c>
      <c r="I203" s="3" t="n">
        <v>1</v>
      </c>
      <c r="J203" s="9" t="n">
        <f aca="false">H203*I203</f>
        <v>4659.76</v>
      </c>
      <c r="K203" s="3"/>
    </row>
    <row r="204" customFormat="false" ht="19.5" hidden="false" customHeight="false" outlineLevel="0" collapsed="false">
      <c r="A204" s="3" t="s">
        <v>112</v>
      </c>
      <c r="B204" s="3" t="s">
        <v>113</v>
      </c>
      <c r="C204" s="3" t="s">
        <v>197</v>
      </c>
      <c r="D204" s="3" t="s">
        <v>9</v>
      </c>
      <c r="E204" s="3" t="n">
        <v>1350</v>
      </c>
      <c r="F204" s="3" t="n">
        <v>570</v>
      </c>
      <c r="G204" s="3" t="n">
        <v>32</v>
      </c>
      <c r="H204" s="8" t="n">
        <f aca="false">(E204/1000)*(F204/1000)*(G204/1000)*7850</f>
        <v>193.2984</v>
      </c>
      <c r="I204" s="3" t="n">
        <v>4</v>
      </c>
      <c r="J204" s="9" t="n">
        <f aca="false">H204*I204</f>
        <v>773.1936</v>
      </c>
      <c r="K204" s="3"/>
    </row>
    <row r="205" customFormat="false" ht="19.5" hidden="false" customHeight="false" outlineLevel="0" collapsed="false">
      <c r="A205" s="3" t="s">
        <v>114</v>
      </c>
      <c r="B205" s="3" t="s">
        <v>115</v>
      </c>
      <c r="C205" s="3" t="s">
        <v>183</v>
      </c>
      <c r="D205" s="3" t="s">
        <v>9</v>
      </c>
      <c r="E205" s="3" t="n">
        <v>1960</v>
      </c>
      <c r="F205" s="3" t="n">
        <v>1200</v>
      </c>
      <c r="G205" s="3" t="n">
        <v>16</v>
      </c>
      <c r="H205" s="8" t="n">
        <f aca="false">(E205/1000)*(F205/1000)*(G205/1000)*7850</f>
        <v>295.4112</v>
      </c>
      <c r="I205" s="3" t="n">
        <v>2</v>
      </c>
      <c r="J205" s="9" t="n">
        <f aca="false">H205*I205</f>
        <v>590.8224</v>
      </c>
      <c r="K205" s="3"/>
    </row>
    <row r="206" customFormat="false" ht="19.5" hidden="false" customHeight="false" outlineLevel="0" collapsed="false">
      <c r="A206" s="3" t="s">
        <v>114</v>
      </c>
      <c r="B206" s="3" t="s">
        <v>115</v>
      </c>
      <c r="C206" s="3" t="s">
        <v>185</v>
      </c>
      <c r="D206" s="3" t="s">
        <v>180</v>
      </c>
      <c r="E206" s="3" t="n">
        <v>2057</v>
      </c>
      <c r="F206" s="3" t="n">
        <v>40</v>
      </c>
      <c r="G206" s="3" t="n">
        <v>4</v>
      </c>
      <c r="H206" s="8" t="n">
        <f aca="false">(E206/1000)*(F206/1000)*(G206/1000)*7850</f>
        <v>2.583592</v>
      </c>
      <c r="I206" s="3" t="n">
        <v>4</v>
      </c>
      <c r="J206" s="9" t="n">
        <f aca="false">H206*I206</f>
        <v>10.334368</v>
      </c>
      <c r="K206" s="3"/>
    </row>
    <row r="207" customFormat="false" ht="19.5" hidden="false" customHeight="false" outlineLevel="0" collapsed="false">
      <c r="A207" s="3" t="s">
        <v>114</v>
      </c>
      <c r="B207" s="3" t="s">
        <v>115</v>
      </c>
      <c r="C207" s="3" t="s">
        <v>199</v>
      </c>
      <c r="D207" s="3" t="s">
        <v>9</v>
      </c>
      <c r="E207" s="3" t="n">
        <v>800</v>
      </c>
      <c r="F207" s="3" t="n">
        <v>400</v>
      </c>
      <c r="G207" s="3" t="n">
        <v>16</v>
      </c>
      <c r="H207" s="8" t="n">
        <f aca="false">(E207/1000)*(F207/1000)*(G207/1000)*7850</f>
        <v>40.192</v>
      </c>
      <c r="I207" s="3" t="n">
        <v>4</v>
      </c>
      <c r="J207" s="9" t="n">
        <f aca="false">H207*I207</f>
        <v>160.768</v>
      </c>
      <c r="K207" s="3"/>
    </row>
    <row r="208" customFormat="false" ht="19.5" hidden="false" customHeight="false" outlineLevel="0" collapsed="false">
      <c r="A208" s="3" t="s">
        <v>114</v>
      </c>
      <c r="B208" s="3" t="s">
        <v>115</v>
      </c>
      <c r="C208" s="3" t="s">
        <v>187</v>
      </c>
      <c r="D208" s="3" t="s">
        <v>8</v>
      </c>
      <c r="E208" s="3" t="n">
        <v>1800</v>
      </c>
      <c r="F208" s="3" t="n">
        <v>1200</v>
      </c>
      <c r="G208" s="3" t="n">
        <v>16</v>
      </c>
      <c r="H208" s="8" t="n">
        <f aca="false">(E208/1000)*(F208/1000)*(G208/1000)*7850</f>
        <v>271.296</v>
      </c>
      <c r="I208" s="3" t="n">
        <v>2</v>
      </c>
      <c r="J208" s="9" t="n">
        <f aca="false">H208*I208</f>
        <v>542.592</v>
      </c>
      <c r="K208" s="3"/>
    </row>
    <row r="209" customFormat="false" ht="19.5" hidden="false" customHeight="false" outlineLevel="0" collapsed="false">
      <c r="A209" s="3" t="s">
        <v>114</v>
      </c>
      <c r="B209" s="3" t="s">
        <v>115</v>
      </c>
      <c r="C209" s="3" t="s">
        <v>193</v>
      </c>
      <c r="D209" s="3" t="s">
        <v>8</v>
      </c>
      <c r="E209" s="3" t="n">
        <v>2057</v>
      </c>
      <c r="F209" s="3" t="n">
        <v>200</v>
      </c>
      <c r="G209" s="3" t="n">
        <v>16</v>
      </c>
      <c r="H209" s="8" t="n">
        <f aca="false">(E209/1000)*(F209/1000)*(G209/1000)*7850</f>
        <v>51.67184</v>
      </c>
      <c r="I209" s="3" t="n">
        <v>3</v>
      </c>
      <c r="J209" s="9" t="n">
        <f aca="false">H209*I209</f>
        <v>155.01552</v>
      </c>
      <c r="K209" s="3"/>
    </row>
    <row r="210" customFormat="false" ht="19.5" hidden="false" customHeight="false" outlineLevel="0" collapsed="false">
      <c r="A210" s="3" t="s">
        <v>114</v>
      </c>
      <c r="B210" s="3" t="s">
        <v>115</v>
      </c>
      <c r="C210" s="3" t="s">
        <v>189</v>
      </c>
      <c r="D210" s="3" t="s">
        <v>8</v>
      </c>
      <c r="E210" s="3" t="n">
        <v>1960</v>
      </c>
      <c r="F210" s="3" t="n">
        <v>602</v>
      </c>
      <c r="G210" s="3" t="n">
        <v>14</v>
      </c>
      <c r="H210" s="8" t="n">
        <f aca="false">(E210/1000)*(F210/1000)*(G210/1000)*7850</f>
        <v>129.673208</v>
      </c>
      <c r="I210" s="3" t="n">
        <v>4</v>
      </c>
      <c r="J210" s="9" t="n">
        <f aca="false">H210*I210</f>
        <v>518.692832</v>
      </c>
      <c r="K210" s="3"/>
    </row>
    <row r="211" customFormat="false" ht="19.5" hidden="false" customHeight="false" outlineLevel="0" collapsed="false">
      <c r="A211" s="3" t="s">
        <v>114</v>
      </c>
      <c r="B211" s="3" t="s">
        <v>115</v>
      </c>
      <c r="C211" s="3" t="s">
        <v>190</v>
      </c>
      <c r="D211" s="3" t="s">
        <v>8</v>
      </c>
      <c r="E211" s="3" t="n">
        <v>470</v>
      </c>
      <c r="F211" s="3" t="n">
        <v>1000</v>
      </c>
      <c r="G211" s="3" t="n">
        <v>24</v>
      </c>
      <c r="H211" s="8" t="n">
        <f aca="false">(E211/1000)*(F211/1000)*(G211/1000)*7850</f>
        <v>88.548</v>
      </c>
      <c r="I211" s="3" t="n">
        <v>6</v>
      </c>
      <c r="J211" s="9" t="n">
        <f aca="false">H211*I211</f>
        <v>531.288</v>
      </c>
      <c r="K211" s="3"/>
    </row>
    <row r="212" customFormat="false" ht="19.5" hidden="false" customHeight="false" outlineLevel="0" collapsed="false">
      <c r="A212" s="3" t="s">
        <v>114</v>
      </c>
      <c r="B212" s="3" t="s">
        <v>115</v>
      </c>
      <c r="C212" s="3" t="s">
        <v>192</v>
      </c>
      <c r="D212" s="3" t="s">
        <v>8</v>
      </c>
      <c r="E212" s="3" t="n">
        <v>1800</v>
      </c>
      <c r="F212" s="3" t="n">
        <v>602</v>
      </c>
      <c r="G212" s="3" t="n">
        <v>14</v>
      </c>
      <c r="H212" s="8" t="n">
        <f aca="false">(E212/1000)*(F212/1000)*(G212/1000)*7850</f>
        <v>119.08764</v>
      </c>
      <c r="I212" s="3" t="n">
        <v>6</v>
      </c>
      <c r="J212" s="9" t="n">
        <f aca="false">H212*I212</f>
        <v>714.52584</v>
      </c>
      <c r="K212" s="3"/>
    </row>
    <row r="213" customFormat="false" ht="19.5" hidden="false" customHeight="false" outlineLevel="0" collapsed="false">
      <c r="A213" s="3" t="s">
        <v>114</v>
      </c>
      <c r="B213" s="3" t="s">
        <v>115</v>
      </c>
      <c r="C213" s="3" t="s">
        <v>194</v>
      </c>
      <c r="D213" s="3" t="s">
        <v>8</v>
      </c>
      <c r="E213" s="3" t="n">
        <v>1800</v>
      </c>
      <c r="F213" s="3" t="n">
        <v>618</v>
      </c>
      <c r="G213" s="3" t="n">
        <v>14</v>
      </c>
      <c r="H213" s="8" t="n">
        <f aca="false">(E213/1000)*(F213/1000)*(G213/1000)*7850</f>
        <v>122.25276</v>
      </c>
      <c r="I213" s="3" t="n">
        <v>4</v>
      </c>
      <c r="J213" s="9" t="n">
        <f aca="false">H213*I213</f>
        <v>489.01104</v>
      </c>
      <c r="K213" s="3"/>
    </row>
    <row r="214" customFormat="false" ht="19.5" hidden="false" customHeight="false" outlineLevel="0" collapsed="false">
      <c r="A214" s="3" t="s">
        <v>116</v>
      </c>
      <c r="B214" s="3" t="s">
        <v>117</v>
      </c>
      <c r="C214" s="3" t="s">
        <v>182</v>
      </c>
      <c r="D214" s="3" t="s">
        <v>8</v>
      </c>
      <c r="E214" s="3" t="n">
        <v>7300</v>
      </c>
      <c r="F214" s="3" t="n">
        <v>2048</v>
      </c>
      <c r="G214" s="3" t="n">
        <v>32</v>
      </c>
      <c r="H214" s="8" t="n">
        <f aca="false">(E214/1000)*(F214/1000)*(G214/1000)*7850</f>
        <v>3755.54048</v>
      </c>
      <c r="I214" s="3" t="n">
        <v>2</v>
      </c>
      <c r="J214" s="9" t="n">
        <f aca="false">H214*I214</f>
        <v>7511.08096</v>
      </c>
      <c r="K214" s="3"/>
    </row>
    <row r="215" customFormat="false" ht="19.5" hidden="false" customHeight="false" outlineLevel="0" collapsed="false">
      <c r="A215" s="3" t="s">
        <v>116</v>
      </c>
      <c r="B215" s="3" t="s">
        <v>117</v>
      </c>
      <c r="C215" s="3" t="s">
        <v>183</v>
      </c>
      <c r="D215" s="3" t="s">
        <v>8</v>
      </c>
      <c r="E215" s="3" t="n">
        <v>1976</v>
      </c>
      <c r="F215" s="3" t="n">
        <v>1200</v>
      </c>
      <c r="G215" s="3" t="n">
        <v>16</v>
      </c>
      <c r="H215" s="8" t="n">
        <f aca="false">(E215/1000)*(F215/1000)*(G215/1000)*7850</f>
        <v>297.82272</v>
      </c>
      <c r="I215" s="3" t="n">
        <v>2</v>
      </c>
      <c r="J215" s="9" t="n">
        <f aca="false">H215*I215</f>
        <v>595.64544</v>
      </c>
      <c r="K215" s="3"/>
    </row>
    <row r="216" customFormat="false" ht="19.5" hidden="false" customHeight="false" outlineLevel="0" collapsed="false">
      <c r="A216" s="3" t="s">
        <v>116</v>
      </c>
      <c r="B216" s="3" t="s">
        <v>117</v>
      </c>
      <c r="C216" s="3" t="s">
        <v>184</v>
      </c>
      <c r="D216" s="3" t="s">
        <v>8</v>
      </c>
      <c r="E216" s="3" t="n">
        <v>2057</v>
      </c>
      <c r="F216" s="3" t="n">
        <v>200</v>
      </c>
      <c r="G216" s="3" t="n">
        <v>16</v>
      </c>
      <c r="H216" s="8" t="n">
        <f aca="false">(E216/1000)*(F216/1000)*(G216/1000)*7850</f>
        <v>51.67184</v>
      </c>
      <c r="I216" s="3" t="n">
        <v>3</v>
      </c>
      <c r="J216" s="9" t="n">
        <f aca="false">H216*I216</f>
        <v>155.01552</v>
      </c>
      <c r="K216" s="3"/>
    </row>
    <row r="217" customFormat="false" ht="19.5" hidden="false" customHeight="false" outlineLevel="0" collapsed="false">
      <c r="A217" s="3" t="s">
        <v>116</v>
      </c>
      <c r="B217" s="3" t="s">
        <v>117</v>
      </c>
      <c r="C217" s="3" t="s">
        <v>185</v>
      </c>
      <c r="D217" s="3" t="s">
        <v>180</v>
      </c>
      <c r="E217" s="3" t="n">
        <v>2057</v>
      </c>
      <c r="F217" s="3" t="n">
        <v>40</v>
      </c>
      <c r="G217" s="3" t="n">
        <v>4</v>
      </c>
      <c r="H217" s="8" t="n">
        <f aca="false">(E217/1000)*(F217/1000)*(G217/1000)*7850</f>
        <v>2.583592</v>
      </c>
      <c r="I217" s="3" t="n">
        <v>4</v>
      </c>
      <c r="J217" s="9" t="n">
        <f aca="false">H217*I217</f>
        <v>10.334368</v>
      </c>
      <c r="K217" s="3"/>
    </row>
    <row r="218" customFormat="false" ht="19.5" hidden="false" customHeight="false" outlineLevel="0" collapsed="false">
      <c r="A218" s="3" t="s">
        <v>116</v>
      </c>
      <c r="B218" s="3" t="s">
        <v>117</v>
      </c>
      <c r="C218" s="3" t="s">
        <v>199</v>
      </c>
      <c r="D218" s="3" t="s">
        <v>8</v>
      </c>
      <c r="E218" s="3" t="n">
        <v>800</v>
      </c>
      <c r="F218" s="3" t="n">
        <v>400</v>
      </c>
      <c r="G218" s="3" t="n">
        <v>16</v>
      </c>
      <c r="H218" s="8" t="n">
        <f aca="false">(E218/1000)*(F218/1000)*(G218/1000)*7850</f>
        <v>40.192</v>
      </c>
      <c r="I218" s="3" t="n">
        <v>4</v>
      </c>
      <c r="J218" s="9" t="n">
        <f aca="false">H218*I218</f>
        <v>160.768</v>
      </c>
      <c r="K218" s="3"/>
    </row>
    <row r="219" customFormat="false" ht="19.5" hidden="false" customHeight="false" outlineLevel="0" collapsed="false">
      <c r="A219" s="3" t="s">
        <v>116</v>
      </c>
      <c r="B219" s="3" t="s">
        <v>117</v>
      </c>
      <c r="C219" s="3" t="s">
        <v>186</v>
      </c>
      <c r="D219" s="3" t="s">
        <v>8</v>
      </c>
      <c r="E219" s="3" t="n">
        <v>1800</v>
      </c>
      <c r="F219" s="3" t="n">
        <v>1200</v>
      </c>
      <c r="G219" s="3" t="n">
        <v>16</v>
      </c>
      <c r="H219" s="8" t="n">
        <f aca="false">(E219/1000)*(F219/1000)*(G219/1000)*7850</f>
        <v>271.296</v>
      </c>
      <c r="I219" s="3" t="n">
        <v>3</v>
      </c>
      <c r="J219" s="9" t="n">
        <f aca="false">H219*I219</f>
        <v>813.888</v>
      </c>
      <c r="K219" s="3"/>
    </row>
    <row r="220" customFormat="false" ht="19.5" hidden="false" customHeight="false" outlineLevel="0" collapsed="false">
      <c r="A220" s="3" t="s">
        <v>116</v>
      </c>
      <c r="B220" s="3" t="s">
        <v>117</v>
      </c>
      <c r="C220" s="3" t="s">
        <v>187</v>
      </c>
      <c r="D220" s="3" t="s">
        <v>8</v>
      </c>
      <c r="E220" s="3" t="n">
        <v>1800</v>
      </c>
      <c r="F220" s="3" t="n">
        <v>1200</v>
      </c>
      <c r="G220" s="3" t="n">
        <v>16</v>
      </c>
      <c r="H220" s="8" t="n">
        <f aca="false">(E220/1000)*(F220/1000)*(G220/1000)*7850</f>
        <v>271.296</v>
      </c>
      <c r="I220" s="3" t="n">
        <v>2</v>
      </c>
      <c r="J220" s="9" t="n">
        <f aca="false">H220*I220</f>
        <v>542.592</v>
      </c>
      <c r="K220" s="3"/>
    </row>
    <row r="221" customFormat="false" ht="19.5" hidden="false" customHeight="false" outlineLevel="0" collapsed="false">
      <c r="A221" s="3" t="s">
        <v>116</v>
      </c>
      <c r="B221" s="3" t="s">
        <v>117</v>
      </c>
      <c r="C221" s="3" t="s">
        <v>193</v>
      </c>
      <c r="D221" s="3" t="s">
        <v>8</v>
      </c>
      <c r="E221" s="3" t="n">
        <v>2057</v>
      </c>
      <c r="F221" s="3" t="n">
        <v>200</v>
      </c>
      <c r="G221" s="3" t="n">
        <v>16</v>
      </c>
      <c r="H221" s="8" t="n">
        <f aca="false">(E221/1000)*(F221/1000)*(G221/1000)*7850</f>
        <v>51.67184</v>
      </c>
      <c r="I221" s="3" t="n">
        <v>5</v>
      </c>
      <c r="J221" s="9" t="n">
        <f aca="false">H221*I221</f>
        <v>258.3592</v>
      </c>
      <c r="K221" s="3"/>
    </row>
    <row r="222" customFormat="false" ht="19.5" hidden="false" customHeight="false" outlineLevel="0" collapsed="false">
      <c r="A222" s="3" t="s">
        <v>116</v>
      </c>
      <c r="B222" s="3" t="s">
        <v>117</v>
      </c>
      <c r="C222" s="3" t="s">
        <v>188</v>
      </c>
      <c r="D222" s="3" t="s">
        <v>8</v>
      </c>
      <c r="E222" s="3" t="n">
        <v>1980</v>
      </c>
      <c r="F222" s="3" t="n">
        <v>610</v>
      </c>
      <c r="G222" s="3" t="n">
        <v>14</v>
      </c>
      <c r="H222" s="8" t="n">
        <f aca="false">(E222/1000)*(F222/1000)*(G222/1000)*7850</f>
        <v>132.73722</v>
      </c>
      <c r="I222" s="3" t="n">
        <v>6</v>
      </c>
      <c r="J222" s="9" t="n">
        <f aca="false">H222*I222</f>
        <v>796.42332</v>
      </c>
      <c r="K222" s="3"/>
    </row>
    <row r="223" customFormat="false" ht="19.5" hidden="false" customHeight="false" outlineLevel="0" collapsed="false">
      <c r="A223" s="3" t="s">
        <v>116</v>
      </c>
      <c r="B223" s="3" t="s">
        <v>117</v>
      </c>
      <c r="C223" s="3" t="s">
        <v>189</v>
      </c>
      <c r="D223" s="3" t="s">
        <v>8</v>
      </c>
      <c r="E223" s="3" t="n">
        <v>1976</v>
      </c>
      <c r="F223" s="3" t="n">
        <v>618</v>
      </c>
      <c r="G223" s="3" t="n">
        <v>14</v>
      </c>
      <c r="H223" s="8" t="n">
        <f aca="false">(E223/1000)*(F223/1000)*(G223/1000)*7850</f>
        <v>134.2063632</v>
      </c>
      <c r="I223" s="3" t="n">
        <v>4</v>
      </c>
      <c r="J223" s="9" t="n">
        <f aca="false">H223*I223</f>
        <v>536.8254528</v>
      </c>
      <c r="K223" s="3"/>
    </row>
    <row r="224" customFormat="false" ht="19.5" hidden="false" customHeight="false" outlineLevel="0" collapsed="false">
      <c r="A224" s="3" t="s">
        <v>116</v>
      </c>
      <c r="B224" s="3" t="s">
        <v>117</v>
      </c>
      <c r="C224" s="3" t="s">
        <v>190</v>
      </c>
      <c r="D224" s="3" t="s">
        <v>8</v>
      </c>
      <c r="E224" s="3" t="n">
        <v>470</v>
      </c>
      <c r="F224" s="3" t="n">
        <v>1000</v>
      </c>
      <c r="G224" s="3" t="n">
        <v>24</v>
      </c>
      <c r="H224" s="8" t="n">
        <f aca="false">(E224/1000)*(F224/1000)*(G224/1000)*7850</f>
        <v>88.548</v>
      </c>
      <c r="I224" s="3" t="n">
        <v>1</v>
      </c>
      <c r="J224" s="9" t="n">
        <f aca="false">H224*I224</f>
        <v>88.548</v>
      </c>
      <c r="K224" s="3"/>
    </row>
    <row r="225" customFormat="false" ht="19.5" hidden="false" customHeight="false" outlineLevel="0" collapsed="false">
      <c r="A225" s="3" t="s">
        <v>116</v>
      </c>
      <c r="B225" s="3" t="s">
        <v>117</v>
      </c>
      <c r="C225" s="3" t="s">
        <v>194</v>
      </c>
      <c r="D225" s="3" t="s">
        <v>8</v>
      </c>
      <c r="E225" s="3" t="n">
        <v>1800</v>
      </c>
      <c r="F225" s="3" t="n">
        <v>626</v>
      </c>
      <c r="G225" s="3" t="n">
        <v>14</v>
      </c>
      <c r="H225" s="8" t="n">
        <f aca="false">(E225/1000)*(F225/1000)*(G225/1000)*7850</f>
        <v>123.83532</v>
      </c>
      <c r="I225" s="3" t="n">
        <v>4</v>
      </c>
      <c r="J225" s="9" t="n">
        <f aca="false">H225*I225</f>
        <v>495.34128</v>
      </c>
      <c r="K225" s="3"/>
    </row>
    <row r="226" customFormat="false" ht="19.5" hidden="false" customHeight="false" outlineLevel="0" collapsed="false">
      <c r="A226" s="3" t="s">
        <v>118</v>
      </c>
      <c r="B226" s="3" t="s">
        <v>119</v>
      </c>
      <c r="C226" s="3" t="s">
        <v>182</v>
      </c>
      <c r="D226" s="3" t="s">
        <v>8</v>
      </c>
      <c r="E226" s="3" t="n">
        <v>1980</v>
      </c>
      <c r="F226" s="3" t="n">
        <v>1200</v>
      </c>
      <c r="G226" s="3" t="n">
        <v>16</v>
      </c>
      <c r="H226" s="8" t="n">
        <f aca="false">(E226/1000)*(F226/1000)*(G226/1000)*7850</f>
        <v>298.4256</v>
      </c>
      <c r="I226" s="3" t="n">
        <v>3</v>
      </c>
      <c r="J226" s="9" t="n">
        <f aca="false">H226*I226</f>
        <v>895.2768</v>
      </c>
      <c r="K226" s="3"/>
    </row>
    <row r="227" customFormat="false" ht="19.5" hidden="false" customHeight="false" outlineLevel="0" collapsed="false">
      <c r="A227" s="3" t="s">
        <v>118</v>
      </c>
      <c r="B227" s="3" t="s">
        <v>119</v>
      </c>
      <c r="C227" s="3" t="s">
        <v>183</v>
      </c>
      <c r="D227" s="3" t="s">
        <v>8</v>
      </c>
      <c r="E227" s="3" t="n">
        <v>1980</v>
      </c>
      <c r="F227" s="3" t="n">
        <v>1200</v>
      </c>
      <c r="G227" s="3" t="n">
        <v>16</v>
      </c>
      <c r="H227" s="8" t="n">
        <f aca="false">(E227/1000)*(F227/1000)*(G227/1000)*7850</f>
        <v>298.4256</v>
      </c>
      <c r="I227" s="3" t="n">
        <v>2</v>
      </c>
      <c r="J227" s="9" t="n">
        <f aca="false">H227*I227</f>
        <v>596.8512</v>
      </c>
      <c r="K227" s="3"/>
    </row>
    <row r="228" customFormat="false" ht="19.5" hidden="false" customHeight="false" outlineLevel="0" collapsed="false">
      <c r="A228" s="3" t="s">
        <v>118</v>
      </c>
      <c r="B228" s="3" t="s">
        <v>119</v>
      </c>
      <c r="C228" s="3" t="s">
        <v>184</v>
      </c>
      <c r="D228" s="3" t="s">
        <v>8</v>
      </c>
      <c r="E228" s="3" t="n">
        <v>2057</v>
      </c>
      <c r="F228" s="3" t="n">
        <v>200</v>
      </c>
      <c r="G228" s="3" t="n">
        <v>16</v>
      </c>
      <c r="H228" s="8" t="n">
        <f aca="false">(E228/1000)*(F228/1000)*(G228/1000)*7850</f>
        <v>51.67184</v>
      </c>
      <c r="I228" s="3" t="n">
        <v>3</v>
      </c>
      <c r="J228" s="9" t="n">
        <f aca="false">H228*I228</f>
        <v>155.01552</v>
      </c>
      <c r="K228" s="3"/>
    </row>
    <row r="229" customFormat="false" ht="19.5" hidden="false" customHeight="false" outlineLevel="0" collapsed="false">
      <c r="A229" s="3" t="s">
        <v>118</v>
      </c>
      <c r="B229" s="3" t="s">
        <v>119</v>
      </c>
      <c r="C229" s="3" t="s">
        <v>184</v>
      </c>
      <c r="D229" s="3" t="s">
        <v>180</v>
      </c>
      <c r="E229" s="3" t="n">
        <v>4113</v>
      </c>
      <c r="F229" s="3" t="n">
        <v>40</v>
      </c>
      <c r="G229" s="3" t="n">
        <v>4</v>
      </c>
      <c r="H229" s="8" t="n">
        <f aca="false">(E229/1000)*(F229/1000)*(G229/1000)*7850</f>
        <v>5.165928</v>
      </c>
      <c r="I229" s="3" t="n">
        <v>4</v>
      </c>
      <c r="J229" s="9" t="n">
        <f aca="false">H229*I229</f>
        <v>20.663712</v>
      </c>
      <c r="K229" s="3"/>
    </row>
    <row r="230" customFormat="false" ht="19.5" hidden="false" customHeight="false" outlineLevel="0" collapsed="false">
      <c r="A230" s="3" t="s">
        <v>118</v>
      </c>
      <c r="B230" s="3" t="s">
        <v>119</v>
      </c>
      <c r="C230" s="3" t="s">
        <v>184</v>
      </c>
      <c r="D230" s="3" t="s">
        <v>8</v>
      </c>
      <c r="E230" s="3" t="n">
        <v>800</v>
      </c>
      <c r="F230" s="3" t="n">
        <v>400</v>
      </c>
      <c r="G230" s="3" t="n">
        <v>16</v>
      </c>
      <c r="H230" s="8" t="n">
        <f aca="false">(E230/1000)*(F230/1000)*(G230/1000)*7850</f>
        <v>40.192</v>
      </c>
      <c r="I230" s="3" t="n">
        <v>4</v>
      </c>
      <c r="J230" s="9" t="n">
        <f aca="false">H230*I230</f>
        <v>160.768</v>
      </c>
      <c r="K230" s="3"/>
    </row>
    <row r="231" customFormat="false" ht="19.5" hidden="false" customHeight="false" outlineLevel="0" collapsed="false">
      <c r="A231" s="3" t="s">
        <v>118</v>
      </c>
      <c r="B231" s="3" t="s">
        <v>119</v>
      </c>
      <c r="C231" s="3" t="s">
        <v>184</v>
      </c>
      <c r="D231" s="3" t="s">
        <v>8</v>
      </c>
      <c r="E231" s="3" t="n">
        <v>7900</v>
      </c>
      <c r="F231" s="3" t="n">
        <v>240</v>
      </c>
      <c r="G231" s="3" t="n">
        <v>20</v>
      </c>
      <c r="H231" s="8" t="n">
        <f aca="false">(E231/1000)*(F231/1000)*(G231/1000)*7850</f>
        <v>297.672</v>
      </c>
      <c r="I231" s="3" t="n">
        <v>6</v>
      </c>
      <c r="J231" s="9" t="n">
        <f aca="false">H231*I231</f>
        <v>1786.032</v>
      </c>
      <c r="K231" s="3"/>
    </row>
    <row r="232" customFormat="false" ht="19.5" hidden="false" customHeight="false" outlineLevel="0" collapsed="false">
      <c r="A232" s="3" t="s">
        <v>118</v>
      </c>
      <c r="B232" s="3" t="s">
        <v>119</v>
      </c>
      <c r="C232" s="3" t="s">
        <v>184</v>
      </c>
      <c r="D232" s="3" t="s">
        <v>8</v>
      </c>
      <c r="E232" s="3" t="n">
        <v>7100</v>
      </c>
      <c r="F232" s="3" t="n">
        <v>240</v>
      </c>
      <c r="G232" s="3" t="n">
        <v>20</v>
      </c>
      <c r="H232" s="8" t="n">
        <f aca="false">(E232/1000)*(F232/1000)*(G232/1000)*7850</f>
        <v>267.528</v>
      </c>
      <c r="I232" s="3" t="n">
        <v>6</v>
      </c>
      <c r="J232" s="9" t="n">
        <f aca="false">H232*I232</f>
        <v>1605.168</v>
      </c>
      <c r="K232" s="3"/>
    </row>
    <row r="233" customFormat="false" ht="19.5" hidden="false" customHeight="false" outlineLevel="0" collapsed="false">
      <c r="A233" s="3" t="s">
        <v>118</v>
      </c>
      <c r="B233" s="3" t="s">
        <v>119</v>
      </c>
      <c r="C233" s="3" t="s">
        <v>184</v>
      </c>
      <c r="D233" s="3" t="s">
        <v>8</v>
      </c>
      <c r="E233" s="3" t="n">
        <v>7900</v>
      </c>
      <c r="F233" s="3" t="n">
        <v>2500</v>
      </c>
      <c r="G233" s="3" t="n">
        <v>20</v>
      </c>
      <c r="H233" s="8" t="n">
        <f aca="false">(E233/1000)*(F233/1000)*(G233/1000)*7850</f>
        <v>3100.75</v>
      </c>
      <c r="I233" s="3" t="n">
        <v>1</v>
      </c>
      <c r="J233" s="9" t="n">
        <f aca="false">H233*I233</f>
        <v>3100.75</v>
      </c>
      <c r="K233" s="3"/>
    </row>
    <row r="234" customFormat="false" ht="19.5" hidden="false" customHeight="false" outlineLevel="0" collapsed="false">
      <c r="A234" s="3" t="s">
        <v>118</v>
      </c>
      <c r="B234" s="3" t="s">
        <v>119</v>
      </c>
      <c r="C234" s="3" t="s">
        <v>186</v>
      </c>
      <c r="D234" s="3" t="s">
        <v>8</v>
      </c>
      <c r="E234" s="3" t="n">
        <v>1800</v>
      </c>
      <c r="F234" s="3" t="n">
        <v>1200</v>
      </c>
      <c r="G234" s="3" t="n">
        <v>16</v>
      </c>
      <c r="H234" s="8" t="n">
        <f aca="false">(E234/1000)*(F234/1000)*(G234/1000)*7850</f>
        <v>271.296</v>
      </c>
      <c r="I234" s="3" t="n">
        <v>3</v>
      </c>
      <c r="J234" s="9" t="n">
        <f aca="false">H234*I234</f>
        <v>813.888</v>
      </c>
      <c r="K234" s="3"/>
    </row>
    <row r="235" customFormat="false" ht="19.5" hidden="false" customHeight="false" outlineLevel="0" collapsed="false">
      <c r="A235" s="3" t="s">
        <v>118</v>
      </c>
      <c r="B235" s="3" t="s">
        <v>119</v>
      </c>
      <c r="C235" s="3" t="s">
        <v>187</v>
      </c>
      <c r="D235" s="3" t="s">
        <v>8</v>
      </c>
      <c r="E235" s="3" t="n">
        <v>1800</v>
      </c>
      <c r="F235" s="3" t="n">
        <v>1200</v>
      </c>
      <c r="G235" s="3" t="n">
        <v>16</v>
      </c>
      <c r="H235" s="8" t="n">
        <f aca="false">(E235/1000)*(F235/1000)*(G235/1000)*7850</f>
        <v>271.296</v>
      </c>
      <c r="I235" s="3" t="n">
        <v>2</v>
      </c>
      <c r="J235" s="9" t="n">
        <f aca="false">H235*I235</f>
        <v>542.592</v>
      </c>
      <c r="K235" s="3"/>
    </row>
    <row r="236" customFormat="false" ht="19.5" hidden="false" customHeight="false" outlineLevel="0" collapsed="false">
      <c r="A236" s="3" t="s">
        <v>118</v>
      </c>
      <c r="B236" s="3" t="s">
        <v>119</v>
      </c>
      <c r="C236" s="3" t="s">
        <v>193</v>
      </c>
      <c r="D236" s="3" t="s">
        <v>8</v>
      </c>
      <c r="E236" s="3" t="n">
        <v>2057</v>
      </c>
      <c r="F236" s="3" t="n">
        <v>200</v>
      </c>
      <c r="G236" s="3" t="n">
        <v>16</v>
      </c>
      <c r="H236" s="8" t="n">
        <f aca="false">(E236/1000)*(F236/1000)*(G236/1000)*7850</f>
        <v>51.67184</v>
      </c>
      <c r="I236" s="3" t="n">
        <v>5</v>
      </c>
      <c r="J236" s="9" t="n">
        <f aca="false">H236*I236</f>
        <v>258.3592</v>
      </c>
      <c r="K236" s="3"/>
    </row>
    <row r="237" customFormat="false" ht="19.5" hidden="false" customHeight="false" outlineLevel="0" collapsed="false">
      <c r="A237" s="3" t="s">
        <v>118</v>
      </c>
      <c r="B237" s="3" t="s">
        <v>119</v>
      </c>
      <c r="C237" s="3" t="s">
        <v>188</v>
      </c>
      <c r="D237" s="3" t="s">
        <v>8</v>
      </c>
      <c r="E237" s="3" t="n">
        <v>1980</v>
      </c>
      <c r="F237" s="3" t="n">
        <v>610</v>
      </c>
      <c r="G237" s="3" t="n">
        <v>14</v>
      </c>
      <c r="H237" s="8" t="n">
        <f aca="false">(E237/1000)*(F237/1000)*(G237/1000)*7850</f>
        <v>132.73722</v>
      </c>
      <c r="I237" s="3" t="n">
        <v>6</v>
      </c>
      <c r="J237" s="9" t="n">
        <f aca="false">H237*I237</f>
        <v>796.42332</v>
      </c>
      <c r="K237" s="3"/>
    </row>
    <row r="238" customFormat="false" ht="19.5" hidden="false" customHeight="false" outlineLevel="0" collapsed="false">
      <c r="A238" s="3" t="s">
        <v>118</v>
      </c>
      <c r="B238" s="3" t="s">
        <v>119</v>
      </c>
      <c r="C238" s="3" t="s">
        <v>189</v>
      </c>
      <c r="D238" s="3" t="s">
        <v>8</v>
      </c>
      <c r="E238" s="3" t="n">
        <v>1980</v>
      </c>
      <c r="F238" s="3" t="n">
        <v>630</v>
      </c>
      <c r="G238" s="3" t="n">
        <v>14</v>
      </c>
      <c r="H238" s="8" t="n">
        <f aca="false">(E238/1000)*(F238/1000)*(G238/1000)*7850</f>
        <v>137.08926</v>
      </c>
      <c r="I238" s="3" t="n">
        <v>4</v>
      </c>
      <c r="J238" s="9" t="n">
        <f aca="false">H238*I238</f>
        <v>548.35704</v>
      </c>
      <c r="K238" s="3"/>
    </row>
    <row r="239" customFormat="false" ht="19.5" hidden="false" customHeight="false" outlineLevel="0" collapsed="false">
      <c r="A239" s="3" t="s">
        <v>118</v>
      </c>
      <c r="B239" s="3" t="s">
        <v>119</v>
      </c>
      <c r="C239" s="3" t="s">
        <v>190</v>
      </c>
      <c r="D239" s="3" t="s">
        <v>8</v>
      </c>
      <c r="E239" s="3" t="n">
        <v>470</v>
      </c>
      <c r="F239" s="3" t="n">
        <v>1000</v>
      </c>
      <c r="G239" s="3" t="n">
        <v>24</v>
      </c>
      <c r="H239" s="8" t="n">
        <f aca="false">(E239/1000)*(F239/1000)*(G239/1000)*7850</f>
        <v>88.548</v>
      </c>
      <c r="I239" s="3" t="n">
        <v>6</v>
      </c>
      <c r="J239" s="9" t="n">
        <f aca="false">H239*I239</f>
        <v>531.288</v>
      </c>
      <c r="K239" s="3"/>
    </row>
    <row r="240" customFormat="false" ht="19.5" hidden="false" customHeight="false" outlineLevel="0" collapsed="false">
      <c r="A240" s="3" t="s">
        <v>118</v>
      </c>
      <c r="B240" s="3" t="s">
        <v>119</v>
      </c>
      <c r="C240" s="3" t="s">
        <v>191</v>
      </c>
      <c r="D240" s="3" t="s">
        <v>8</v>
      </c>
      <c r="E240" s="3" t="n">
        <v>480</v>
      </c>
      <c r="F240" s="3" t="n">
        <v>1000</v>
      </c>
      <c r="G240" s="3" t="n">
        <v>24</v>
      </c>
      <c r="H240" s="8" t="n">
        <f aca="false">(E240/1000)*(F240/1000)*(G240/1000)*7850</f>
        <v>90.432</v>
      </c>
      <c r="I240" s="3" t="n">
        <v>4</v>
      </c>
      <c r="J240" s="9" t="n">
        <f aca="false">H240*I240</f>
        <v>361.728</v>
      </c>
      <c r="K240" s="3"/>
    </row>
    <row r="241" customFormat="false" ht="19.5" hidden="false" customHeight="false" outlineLevel="0" collapsed="false">
      <c r="A241" s="3" t="s">
        <v>118</v>
      </c>
      <c r="B241" s="3" t="s">
        <v>119</v>
      </c>
      <c r="C241" s="3" t="s">
        <v>192</v>
      </c>
      <c r="D241" s="3" t="s">
        <v>8</v>
      </c>
      <c r="E241" s="3" t="n">
        <v>1800</v>
      </c>
      <c r="F241" s="3" t="n">
        <v>610</v>
      </c>
      <c r="G241" s="3" t="n">
        <v>14</v>
      </c>
      <c r="H241" s="8" t="n">
        <f aca="false">(E241/1000)*(F241/1000)*(G241/1000)*7850</f>
        <v>120.6702</v>
      </c>
      <c r="I241" s="3" t="n">
        <v>6</v>
      </c>
      <c r="J241" s="9" t="n">
        <f aca="false">H241*I241</f>
        <v>724.0212</v>
      </c>
      <c r="K241" s="3"/>
    </row>
    <row r="242" customFormat="false" ht="19.5" hidden="false" customHeight="false" outlineLevel="0" collapsed="false">
      <c r="A242" s="3" t="s">
        <v>118</v>
      </c>
      <c r="B242" s="3" t="s">
        <v>119</v>
      </c>
      <c r="C242" s="3" t="s">
        <v>194</v>
      </c>
      <c r="D242" s="3" t="s">
        <v>8</v>
      </c>
      <c r="E242" s="3" t="n">
        <v>1800</v>
      </c>
      <c r="F242" s="3" t="n">
        <v>626</v>
      </c>
      <c r="G242" s="3" t="n">
        <v>14</v>
      </c>
      <c r="H242" s="8" t="n">
        <f aca="false">(E242/1000)*(F242/1000)*(G242/1000)*7850</f>
        <v>123.83532</v>
      </c>
      <c r="I242" s="3" t="n">
        <v>4</v>
      </c>
      <c r="J242" s="9" t="n">
        <f aca="false">H242*I242</f>
        <v>495.34128</v>
      </c>
      <c r="K242" s="3"/>
    </row>
    <row r="243" customFormat="false" ht="19.5" hidden="false" customHeight="false" outlineLevel="0" collapsed="false">
      <c r="A243" s="3" t="s">
        <v>120</v>
      </c>
      <c r="B243" s="3" t="s">
        <v>121</v>
      </c>
      <c r="C243" s="3" t="s">
        <v>182</v>
      </c>
      <c r="D243" s="3" t="s">
        <v>8</v>
      </c>
      <c r="E243" s="3" t="n">
        <v>1980</v>
      </c>
      <c r="F243" s="3" t="n">
        <v>1200</v>
      </c>
      <c r="G243" s="3" t="n">
        <v>16</v>
      </c>
      <c r="H243" s="8" t="n">
        <f aca="false">(E243/1000)*(F243/1000)*(G243/1000)*7850</f>
        <v>298.4256</v>
      </c>
      <c r="I243" s="3" t="n">
        <v>3</v>
      </c>
      <c r="J243" s="9" t="n">
        <f aca="false">H243*I243</f>
        <v>895.2768</v>
      </c>
      <c r="K243" s="3"/>
    </row>
    <row r="244" customFormat="false" ht="19.5" hidden="false" customHeight="false" outlineLevel="0" collapsed="false">
      <c r="A244" s="3" t="s">
        <v>120</v>
      </c>
      <c r="B244" s="3" t="s">
        <v>121</v>
      </c>
      <c r="C244" s="3" t="s">
        <v>183</v>
      </c>
      <c r="D244" s="3" t="s">
        <v>8</v>
      </c>
      <c r="E244" s="3" t="n">
        <v>1980</v>
      </c>
      <c r="F244" s="3" t="n">
        <v>1200</v>
      </c>
      <c r="G244" s="3" t="n">
        <v>16</v>
      </c>
      <c r="H244" s="8" t="n">
        <f aca="false">(E244/1000)*(F244/1000)*(G244/1000)*7850</f>
        <v>298.4256</v>
      </c>
      <c r="I244" s="3" t="n">
        <v>3</v>
      </c>
      <c r="J244" s="9" t="n">
        <f aca="false">H244*I244</f>
        <v>895.2768</v>
      </c>
      <c r="K244" s="3"/>
    </row>
    <row r="245" customFormat="false" ht="19.5" hidden="false" customHeight="false" outlineLevel="0" collapsed="false">
      <c r="A245" s="3" t="s">
        <v>120</v>
      </c>
      <c r="B245" s="3" t="s">
        <v>121</v>
      </c>
      <c r="C245" s="3" t="s">
        <v>184</v>
      </c>
      <c r="D245" s="3" t="s">
        <v>8</v>
      </c>
      <c r="E245" s="3" t="n">
        <v>2057</v>
      </c>
      <c r="F245" s="3" t="n">
        <v>200</v>
      </c>
      <c r="G245" s="3" t="n">
        <v>16</v>
      </c>
      <c r="H245" s="8" t="n">
        <f aca="false">(E245/1000)*(F245/1000)*(G245/1000)*7850</f>
        <v>51.67184</v>
      </c>
      <c r="I245" s="3" t="n">
        <v>4</v>
      </c>
      <c r="J245" s="9" t="n">
        <f aca="false">H245*I245</f>
        <v>206.68736</v>
      </c>
      <c r="K245" s="3"/>
    </row>
    <row r="246" customFormat="false" ht="19.5" hidden="false" customHeight="false" outlineLevel="0" collapsed="false">
      <c r="A246" s="3" t="s">
        <v>120</v>
      </c>
      <c r="B246" s="3" t="s">
        <v>121</v>
      </c>
      <c r="C246" s="3" t="s">
        <v>185</v>
      </c>
      <c r="D246" s="3" t="s">
        <v>180</v>
      </c>
      <c r="E246" s="3" t="n">
        <v>2057</v>
      </c>
      <c r="F246" s="3" t="n">
        <v>40</v>
      </c>
      <c r="G246" s="3" t="n">
        <v>4</v>
      </c>
      <c r="H246" s="8" t="n">
        <f aca="false">(E246/1000)*(F246/1000)*(G246/1000)*7850</f>
        <v>2.583592</v>
      </c>
      <c r="I246" s="3" t="n">
        <v>4</v>
      </c>
      <c r="J246" s="9" t="n">
        <f aca="false">H246*I246</f>
        <v>10.334368</v>
      </c>
      <c r="K246" s="3"/>
    </row>
    <row r="247" customFormat="false" ht="19.5" hidden="false" customHeight="false" outlineLevel="0" collapsed="false">
      <c r="A247" s="3" t="s">
        <v>120</v>
      </c>
      <c r="B247" s="3" t="s">
        <v>121</v>
      </c>
      <c r="C247" s="3" t="s">
        <v>199</v>
      </c>
      <c r="D247" s="3" t="s">
        <v>8</v>
      </c>
      <c r="E247" s="3" t="n">
        <v>800</v>
      </c>
      <c r="F247" s="3" t="n">
        <v>400</v>
      </c>
      <c r="G247" s="3" t="n">
        <v>16</v>
      </c>
      <c r="H247" s="8" t="n">
        <f aca="false">(E247/1000)*(F247/1000)*(G247/1000)*7850</f>
        <v>40.192</v>
      </c>
      <c r="I247" s="3" t="n">
        <v>4</v>
      </c>
      <c r="J247" s="9" t="n">
        <f aca="false">H247*I247</f>
        <v>160.768</v>
      </c>
      <c r="K247" s="3"/>
    </row>
    <row r="248" customFormat="false" ht="19.5" hidden="false" customHeight="false" outlineLevel="0" collapsed="false">
      <c r="A248" s="3" t="s">
        <v>120</v>
      </c>
      <c r="B248" s="3" t="s">
        <v>121</v>
      </c>
      <c r="C248" s="3" t="s">
        <v>186</v>
      </c>
      <c r="D248" s="3" t="s">
        <v>8</v>
      </c>
      <c r="E248" s="3" t="n">
        <v>1800</v>
      </c>
      <c r="F248" s="3" t="n">
        <v>1200</v>
      </c>
      <c r="G248" s="3" t="n">
        <v>16</v>
      </c>
      <c r="H248" s="8" t="n">
        <f aca="false">(E248/1000)*(F248/1000)*(G248/1000)*7850</f>
        <v>271.296</v>
      </c>
      <c r="I248" s="3" t="n">
        <v>3</v>
      </c>
      <c r="J248" s="9" t="n">
        <f aca="false">H248*I248</f>
        <v>813.888</v>
      </c>
      <c r="K248" s="3"/>
    </row>
    <row r="249" customFormat="false" ht="19.5" hidden="false" customHeight="false" outlineLevel="0" collapsed="false">
      <c r="A249" s="3" t="s">
        <v>120</v>
      </c>
      <c r="B249" s="3" t="s">
        <v>121</v>
      </c>
      <c r="C249" s="3" t="s">
        <v>187</v>
      </c>
      <c r="D249" s="3" t="s">
        <v>8</v>
      </c>
      <c r="E249" s="3" t="n">
        <v>1800</v>
      </c>
      <c r="F249" s="3" t="n">
        <v>1200</v>
      </c>
      <c r="G249" s="3" t="n">
        <v>16</v>
      </c>
      <c r="H249" s="8" t="n">
        <f aca="false">(E249/1000)*(F249/1000)*(G249/1000)*7850</f>
        <v>271.296</v>
      </c>
      <c r="I249" s="3" t="n">
        <v>2</v>
      </c>
      <c r="J249" s="9" t="n">
        <f aca="false">H249*I249</f>
        <v>542.592</v>
      </c>
      <c r="K249" s="3"/>
    </row>
    <row r="250" customFormat="false" ht="19.5" hidden="false" customHeight="false" outlineLevel="0" collapsed="false">
      <c r="A250" s="3" t="s">
        <v>120</v>
      </c>
      <c r="B250" s="3" t="s">
        <v>121</v>
      </c>
      <c r="C250" s="3" t="s">
        <v>193</v>
      </c>
      <c r="D250" s="3" t="s">
        <v>8</v>
      </c>
      <c r="E250" s="3" t="n">
        <v>2057</v>
      </c>
      <c r="F250" s="3" t="n">
        <v>200</v>
      </c>
      <c r="G250" s="3" t="n">
        <v>16</v>
      </c>
      <c r="H250" s="8" t="n">
        <f aca="false">(E250/1000)*(F250/1000)*(G250/1000)*7850</f>
        <v>51.67184</v>
      </c>
      <c r="I250" s="3" t="n">
        <v>3</v>
      </c>
      <c r="J250" s="9" t="n">
        <f aca="false">H250*I250</f>
        <v>155.01552</v>
      </c>
      <c r="K250" s="3"/>
    </row>
    <row r="251" customFormat="false" ht="19.5" hidden="false" customHeight="false" outlineLevel="0" collapsed="false">
      <c r="A251" s="3" t="s">
        <v>120</v>
      </c>
      <c r="B251" s="3" t="s">
        <v>121</v>
      </c>
      <c r="C251" s="3" t="s">
        <v>188</v>
      </c>
      <c r="D251" s="3" t="s">
        <v>8</v>
      </c>
      <c r="E251" s="3" t="n">
        <v>1980</v>
      </c>
      <c r="F251" s="3" t="n">
        <v>610</v>
      </c>
      <c r="G251" s="3" t="n">
        <v>14</v>
      </c>
      <c r="H251" s="8" t="n">
        <f aca="false">(E251/1000)*(F251/1000)*(G251/1000)*7850</f>
        <v>132.73722</v>
      </c>
      <c r="I251" s="3" t="n">
        <v>6</v>
      </c>
      <c r="J251" s="9" t="n">
        <f aca="false">H251*I251</f>
        <v>796.42332</v>
      </c>
      <c r="K251" s="3"/>
    </row>
    <row r="252" customFormat="false" ht="19.5" hidden="false" customHeight="false" outlineLevel="0" collapsed="false">
      <c r="A252" s="3" t="s">
        <v>120</v>
      </c>
      <c r="B252" s="3" t="s">
        <v>121</v>
      </c>
      <c r="C252" s="3" t="s">
        <v>189</v>
      </c>
      <c r="D252" s="3" t="s">
        <v>8</v>
      </c>
      <c r="E252" s="3" t="n">
        <v>1980</v>
      </c>
      <c r="F252" s="3" t="n">
        <v>630</v>
      </c>
      <c r="G252" s="3" t="n">
        <v>14</v>
      </c>
      <c r="H252" s="8" t="n">
        <f aca="false">(E252/1000)*(F252/1000)*(G252/1000)*7850</f>
        <v>137.08926</v>
      </c>
      <c r="I252" s="3" t="n">
        <v>6</v>
      </c>
      <c r="J252" s="9" t="n">
        <f aca="false">H252*I252</f>
        <v>822.53556</v>
      </c>
      <c r="K252" s="3"/>
    </row>
    <row r="253" customFormat="false" ht="19.5" hidden="false" customHeight="false" outlineLevel="0" collapsed="false">
      <c r="A253" s="3" t="s">
        <v>120</v>
      </c>
      <c r="B253" s="3" t="s">
        <v>121</v>
      </c>
      <c r="C253" s="3" t="s">
        <v>190</v>
      </c>
      <c r="D253" s="3" t="s">
        <v>8</v>
      </c>
      <c r="E253" s="3" t="n">
        <v>470</v>
      </c>
      <c r="F253" s="3" t="n">
        <v>1000</v>
      </c>
      <c r="G253" s="3" t="n">
        <v>24</v>
      </c>
      <c r="H253" s="8" t="n">
        <f aca="false">(E253/1000)*(F253/1000)*(G253/1000)*7850</f>
        <v>88.548</v>
      </c>
      <c r="I253" s="3" t="n">
        <v>6</v>
      </c>
      <c r="J253" s="9" t="n">
        <f aca="false">H253*I253</f>
        <v>531.288</v>
      </c>
      <c r="K253" s="3"/>
    </row>
    <row r="254" customFormat="false" ht="19.5" hidden="false" customHeight="false" outlineLevel="0" collapsed="false">
      <c r="A254" s="3" t="s">
        <v>120</v>
      </c>
      <c r="B254" s="3" t="s">
        <v>121</v>
      </c>
      <c r="C254" s="3" t="s">
        <v>191</v>
      </c>
      <c r="D254" s="3" t="s">
        <v>8</v>
      </c>
      <c r="E254" s="3" t="n">
        <v>480</v>
      </c>
      <c r="F254" s="3" t="n">
        <v>1000</v>
      </c>
      <c r="G254" s="3" t="n">
        <v>24</v>
      </c>
      <c r="H254" s="8" t="n">
        <f aca="false">(E254/1000)*(F254/1000)*(G254/1000)*7850</f>
        <v>90.432</v>
      </c>
      <c r="I254" s="3" t="n">
        <v>6</v>
      </c>
      <c r="J254" s="9" t="n">
        <f aca="false">H254*I254</f>
        <v>542.592</v>
      </c>
      <c r="K254" s="3"/>
    </row>
    <row r="255" customFormat="false" ht="19.5" hidden="false" customHeight="false" outlineLevel="0" collapsed="false">
      <c r="A255" s="3" t="s">
        <v>120</v>
      </c>
      <c r="B255" s="3" t="s">
        <v>121</v>
      </c>
      <c r="C255" s="3" t="s">
        <v>192</v>
      </c>
      <c r="D255" s="3" t="s">
        <v>8</v>
      </c>
      <c r="E255" s="3" t="n">
        <v>1800</v>
      </c>
      <c r="F255" s="3" t="n">
        <v>610</v>
      </c>
      <c r="G255" s="3" t="n">
        <v>14</v>
      </c>
      <c r="H255" s="8" t="n">
        <f aca="false">(E255/1000)*(F255/1000)*(G255/1000)*7850</f>
        <v>120.6702</v>
      </c>
      <c r="I255" s="3" t="n">
        <v>6</v>
      </c>
      <c r="J255" s="9" t="n">
        <f aca="false">H255*I255</f>
        <v>724.0212</v>
      </c>
      <c r="K255" s="3"/>
    </row>
    <row r="256" customFormat="false" ht="19.5" hidden="false" customHeight="false" outlineLevel="0" collapsed="false">
      <c r="A256" s="3" t="s">
        <v>120</v>
      </c>
      <c r="B256" s="3" t="s">
        <v>121</v>
      </c>
      <c r="C256" s="3" t="s">
        <v>194</v>
      </c>
      <c r="D256" s="3" t="s">
        <v>8</v>
      </c>
      <c r="E256" s="3" t="n">
        <v>1800</v>
      </c>
      <c r="F256" s="3" t="n">
        <v>626</v>
      </c>
      <c r="G256" s="3" t="n">
        <v>14</v>
      </c>
      <c r="H256" s="8" t="n">
        <f aca="false">(E256/1000)*(F256/1000)*(G256/1000)*7850</f>
        <v>123.83532</v>
      </c>
      <c r="I256" s="3" t="n">
        <v>4</v>
      </c>
      <c r="J256" s="9" t="n">
        <f aca="false">H256*I256</f>
        <v>495.34128</v>
      </c>
      <c r="K256" s="3"/>
    </row>
    <row r="257" customFormat="false" ht="19.5" hidden="false" customHeight="false" outlineLevel="0" collapsed="false">
      <c r="A257" s="3" t="s">
        <v>122</v>
      </c>
      <c r="B257" s="3" t="s">
        <v>123</v>
      </c>
      <c r="C257" s="3" t="s">
        <v>182</v>
      </c>
      <c r="D257" s="3" t="s">
        <v>8</v>
      </c>
      <c r="E257" s="3" t="n">
        <v>1980</v>
      </c>
      <c r="F257" s="3" t="n">
        <v>1200</v>
      </c>
      <c r="G257" s="3" t="n">
        <v>16</v>
      </c>
      <c r="H257" s="8" t="n">
        <f aca="false">(E257/1000)*(F257/1000)*(G257/1000)*7850</f>
        <v>298.4256</v>
      </c>
      <c r="I257" s="3" t="n">
        <v>9</v>
      </c>
      <c r="J257" s="9" t="n">
        <f aca="false">H257*I257</f>
        <v>2685.8304</v>
      </c>
      <c r="K257" s="3"/>
    </row>
    <row r="258" customFormat="false" ht="19.5" hidden="false" customHeight="false" outlineLevel="0" collapsed="false">
      <c r="A258" s="3" t="s">
        <v>122</v>
      </c>
      <c r="B258" s="3" t="s">
        <v>123</v>
      </c>
      <c r="C258" s="3" t="s">
        <v>184</v>
      </c>
      <c r="D258" s="3" t="s">
        <v>8</v>
      </c>
      <c r="E258" s="3" t="n">
        <v>2057</v>
      </c>
      <c r="F258" s="3" t="n">
        <v>200</v>
      </c>
      <c r="G258" s="3" t="n">
        <v>16</v>
      </c>
      <c r="H258" s="8" t="n">
        <f aca="false">(E258/1000)*(F258/1000)*(G258/1000)*7850</f>
        <v>51.67184</v>
      </c>
      <c r="I258" s="3" t="n">
        <v>10</v>
      </c>
      <c r="J258" s="9" t="n">
        <f aca="false">H258*I258</f>
        <v>516.7184</v>
      </c>
      <c r="K258" s="3"/>
    </row>
    <row r="259" customFormat="false" ht="19.5" hidden="false" customHeight="false" outlineLevel="0" collapsed="false">
      <c r="A259" s="3" t="s">
        <v>122</v>
      </c>
      <c r="B259" s="3" t="s">
        <v>123</v>
      </c>
      <c r="C259" s="3" t="s">
        <v>185</v>
      </c>
      <c r="D259" s="3" t="s">
        <v>180</v>
      </c>
      <c r="E259" s="3" t="n">
        <v>2057</v>
      </c>
      <c r="F259" s="3" t="n">
        <v>40</v>
      </c>
      <c r="G259" s="3" t="n">
        <v>4</v>
      </c>
      <c r="H259" s="8" t="n">
        <f aca="false">(E259/1000)*(F259/1000)*(G259/1000)*7850</f>
        <v>2.583592</v>
      </c>
      <c r="I259" s="3" t="n">
        <v>4</v>
      </c>
      <c r="J259" s="9" t="n">
        <f aca="false">H259*I259</f>
        <v>10.334368</v>
      </c>
      <c r="K259" s="3"/>
    </row>
    <row r="260" customFormat="false" ht="19.5" hidden="false" customHeight="false" outlineLevel="0" collapsed="false">
      <c r="A260" s="3" t="s">
        <v>122</v>
      </c>
      <c r="B260" s="3" t="s">
        <v>123</v>
      </c>
      <c r="C260" s="3" t="s">
        <v>186</v>
      </c>
      <c r="D260" s="3" t="s">
        <v>8</v>
      </c>
      <c r="E260" s="3" t="n">
        <v>1800</v>
      </c>
      <c r="F260" s="3" t="n">
        <v>1200</v>
      </c>
      <c r="G260" s="3" t="n">
        <v>16</v>
      </c>
      <c r="H260" s="8" t="n">
        <f aca="false">(E260/1000)*(F260/1000)*(G260/1000)*7850</f>
        <v>271.296</v>
      </c>
      <c r="I260" s="3" t="n">
        <v>7</v>
      </c>
      <c r="J260" s="9" t="n">
        <f aca="false">H260*I260</f>
        <v>1899.072</v>
      </c>
      <c r="K260" s="3"/>
    </row>
    <row r="261" customFormat="false" ht="19.5" hidden="false" customHeight="false" outlineLevel="0" collapsed="false">
      <c r="A261" s="3" t="s">
        <v>122</v>
      </c>
      <c r="B261" s="3" t="s">
        <v>123</v>
      </c>
      <c r="C261" s="3" t="s">
        <v>185</v>
      </c>
      <c r="D261" s="3" t="s">
        <v>8</v>
      </c>
      <c r="E261" s="3" t="n">
        <v>4113</v>
      </c>
      <c r="F261" s="3" t="n">
        <v>40</v>
      </c>
      <c r="G261" s="3" t="n">
        <v>4</v>
      </c>
      <c r="H261" s="8" t="n">
        <f aca="false">(E261/1000)*(F261/1000)*(G261/1000)*7850</f>
        <v>5.165928</v>
      </c>
      <c r="I261" s="3" t="n">
        <v>1</v>
      </c>
      <c r="J261" s="9" t="n">
        <f aca="false">H261*I261</f>
        <v>5.165928</v>
      </c>
      <c r="K261" s="3"/>
    </row>
    <row r="262" customFormat="false" ht="19.5" hidden="false" customHeight="false" outlineLevel="0" collapsed="false">
      <c r="A262" s="3" t="s">
        <v>135</v>
      </c>
      <c r="B262" s="3" t="s">
        <v>136</v>
      </c>
      <c r="C262" s="3" t="s">
        <v>182</v>
      </c>
      <c r="D262" s="3" t="s">
        <v>8</v>
      </c>
      <c r="E262" s="3" t="n">
        <v>1580</v>
      </c>
      <c r="F262" s="3" t="n">
        <v>1200</v>
      </c>
      <c r="G262" s="3" t="n">
        <v>16</v>
      </c>
      <c r="H262" s="8" t="n">
        <f aca="false">(E262/1000)*(F262/1000)*(G262/1000)*7850</f>
        <v>238.1376</v>
      </c>
      <c r="I262" s="3" t="n">
        <v>3</v>
      </c>
      <c r="J262" s="9" t="n">
        <f aca="false">H262*I262</f>
        <v>714.4128</v>
      </c>
      <c r="K262" s="3"/>
    </row>
    <row r="263" customFormat="false" ht="19.5" hidden="false" customHeight="false" outlineLevel="0" collapsed="false">
      <c r="A263" s="3" t="s">
        <v>135</v>
      </c>
      <c r="B263" s="3" t="s">
        <v>136</v>
      </c>
      <c r="C263" s="3" t="s">
        <v>183</v>
      </c>
      <c r="D263" s="3" t="s">
        <v>8</v>
      </c>
      <c r="E263" s="3" t="n">
        <v>1580</v>
      </c>
      <c r="F263" s="3" t="n">
        <v>1200</v>
      </c>
      <c r="G263" s="3" t="n">
        <v>16</v>
      </c>
      <c r="H263" s="8" t="n">
        <f aca="false">(E263/1000)*(F263/1000)*(G263/1000)*7850</f>
        <v>238.1376</v>
      </c>
      <c r="I263" s="3" t="n">
        <v>3</v>
      </c>
      <c r="J263" s="9" t="n">
        <f aca="false">H263*I263</f>
        <v>714.4128</v>
      </c>
      <c r="K263" s="3"/>
    </row>
    <row r="264" customFormat="false" ht="19.5" hidden="false" customHeight="false" outlineLevel="0" collapsed="false">
      <c r="A264" s="3" t="s">
        <v>135</v>
      </c>
      <c r="B264" s="3" t="s">
        <v>136</v>
      </c>
      <c r="C264" s="3" t="s">
        <v>184</v>
      </c>
      <c r="D264" s="3" t="s">
        <v>8</v>
      </c>
      <c r="E264" s="3" t="n">
        <v>2057</v>
      </c>
      <c r="F264" s="3" t="n">
        <v>200</v>
      </c>
      <c r="G264" s="3" t="n">
        <v>16</v>
      </c>
      <c r="H264" s="8" t="n">
        <f aca="false">(E264/1000)*(F264/1000)*(G264/1000)*7850</f>
        <v>51.67184</v>
      </c>
      <c r="I264" s="3" t="n">
        <v>4</v>
      </c>
      <c r="J264" s="9" t="n">
        <f aca="false">H264*I264</f>
        <v>206.68736</v>
      </c>
      <c r="K264" s="3"/>
    </row>
    <row r="265" customFormat="false" ht="19.5" hidden="false" customHeight="false" outlineLevel="0" collapsed="false">
      <c r="A265" s="3" t="s">
        <v>135</v>
      </c>
      <c r="B265" s="3" t="s">
        <v>136</v>
      </c>
      <c r="C265" s="3" t="s">
        <v>184</v>
      </c>
      <c r="D265" s="3" t="s">
        <v>8</v>
      </c>
      <c r="E265" s="3" t="n">
        <v>1782</v>
      </c>
      <c r="F265" s="3" t="n">
        <v>40</v>
      </c>
      <c r="G265" s="3" t="n">
        <v>4</v>
      </c>
      <c r="H265" s="8" t="n">
        <f aca="false">(E265/1000)*(F265/1000)*(G265/1000)*7850</f>
        <v>2.238192</v>
      </c>
      <c r="I265" s="3" t="n">
        <v>4</v>
      </c>
      <c r="J265" s="9" t="n">
        <f aca="false">H265*I265</f>
        <v>8.952768</v>
      </c>
      <c r="K265" s="3"/>
    </row>
    <row r="266" customFormat="false" ht="19.5" hidden="false" customHeight="false" outlineLevel="0" collapsed="false">
      <c r="A266" s="3" t="s">
        <v>135</v>
      </c>
      <c r="B266" s="3" t="s">
        <v>136</v>
      </c>
      <c r="C266" s="3" t="s">
        <v>184</v>
      </c>
      <c r="D266" s="3" t="s">
        <v>8</v>
      </c>
      <c r="E266" s="3" t="n">
        <v>10351</v>
      </c>
      <c r="F266" s="3" t="n">
        <v>240</v>
      </c>
      <c r="G266" s="3" t="n">
        <v>20</v>
      </c>
      <c r="H266" s="8" t="n">
        <f aca="false">(E266/1000)*(F266/1000)*(G266/1000)*7850</f>
        <v>390.02568</v>
      </c>
      <c r="I266" s="3" t="n">
        <v>1</v>
      </c>
      <c r="J266" s="9" t="n">
        <f aca="false">H266*I266</f>
        <v>390.02568</v>
      </c>
      <c r="K266" s="3"/>
    </row>
    <row r="267" customFormat="false" ht="19.5" hidden="false" customHeight="false" outlineLevel="0" collapsed="false">
      <c r="A267" s="3" t="s">
        <v>135</v>
      </c>
      <c r="B267" s="3" t="s">
        <v>136</v>
      </c>
      <c r="C267" s="3" t="s">
        <v>184</v>
      </c>
      <c r="D267" s="3" t="s">
        <v>8</v>
      </c>
      <c r="E267" s="3" t="n">
        <v>7650</v>
      </c>
      <c r="F267" s="3" t="n">
        <v>240</v>
      </c>
      <c r="G267" s="3" t="n">
        <v>20</v>
      </c>
      <c r="H267" s="8" t="n">
        <f aca="false">(E267/1000)*(F267/1000)*(G267/1000)*7850</f>
        <v>288.252</v>
      </c>
      <c r="I267" s="3" t="n">
        <v>4</v>
      </c>
      <c r="J267" s="9" t="n">
        <f aca="false">H267*I267</f>
        <v>1153.008</v>
      </c>
      <c r="K267" s="3"/>
    </row>
    <row r="268" customFormat="false" ht="19.5" hidden="false" customHeight="false" outlineLevel="0" collapsed="false">
      <c r="A268" s="3" t="s">
        <v>135</v>
      </c>
      <c r="B268" s="3" t="s">
        <v>136</v>
      </c>
      <c r="C268" s="3" t="s">
        <v>184</v>
      </c>
      <c r="D268" s="3" t="s">
        <v>8</v>
      </c>
      <c r="E268" s="3" t="n">
        <v>13300</v>
      </c>
      <c r="F268" s="3" t="n">
        <v>240</v>
      </c>
      <c r="G268" s="3" t="n">
        <v>20</v>
      </c>
      <c r="H268" s="8" t="n">
        <f aca="false">(E268/1000)*(F268/1000)*(G268/1000)*7850</f>
        <v>501.144</v>
      </c>
      <c r="I268" s="3" t="n">
        <v>1</v>
      </c>
      <c r="J268" s="9" t="n">
        <f aca="false">H268*I268</f>
        <v>501.144</v>
      </c>
      <c r="K268" s="3"/>
    </row>
    <row r="269" customFormat="false" ht="19.5" hidden="false" customHeight="false" outlineLevel="0" collapsed="false">
      <c r="A269" s="3" t="s">
        <v>135</v>
      </c>
      <c r="B269" s="3" t="s">
        <v>136</v>
      </c>
      <c r="C269" s="3" t="s">
        <v>184</v>
      </c>
      <c r="D269" s="3" t="s">
        <v>8</v>
      </c>
      <c r="E269" s="3" t="n">
        <v>4790</v>
      </c>
      <c r="F269" s="3" t="n">
        <v>1850</v>
      </c>
      <c r="G269" s="3" t="n">
        <v>20</v>
      </c>
      <c r="H269" s="8" t="n">
        <f aca="false">(E269/1000)*(F269/1000)*(G269/1000)*7850</f>
        <v>1391.2555</v>
      </c>
      <c r="I269" s="3" t="n">
        <v>1</v>
      </c>
      <c r="J269" s="9" t="n">
        <f aca="false">H269*I269</f>
        <v>1391.2555</v>
      </c>
      <c r="K269" s="3"/>
    </row>
    <row r="270" customFormat="false" ht="19.5" hidden="false" customHeight="false" outlineLevel="0" collapsed="false">
      <c r="A270" s="3" t="s">
        <v>135</v>
      </c>
      <c r="B270" s="3" t="s">
        <v>136</v>
      </c>
      <c r="C270" s="3" t="s">
        <v>184</v>
      </c>
      <c r="D270" s="3" t="s">
        <v>8</v>
      </c>
      <c r="E270" s="3" t="n">
        <v>10105</v>
      </c>
      <c r="F270" s="3" t="n">
        <v>1850</v>
      </c>
      <c r="G270" s="3" t="n">
        <v>20</v>
      </c>
      <c r="H270" s="8" t="n">
        <f aca="false">(E270/1000)*(F270/1000)*(G270/1000)*7850</f>
        <v>2934.99725</v>
      </c>
      <c r="I270" s="3" t="n">
        <v>1</v>
      </c>
      <c r="J270" s="9" t="n">
        <f aca="false">H270*I270</f>
        <v>2934.99725</v>
      </c>
      <c r="K270" s="3"/>
    </row>
    <row r="271" customFormat="false" ht="19.5" hidden="false" customHeight="false" outlineLevel="0" collapsed="false">
      <c r="A271" s="3" t="s">
        <v>135</v>
      </c>
      <c r="B271" s="3" t="s">
        <v>136</v>
      </c>
      <c r="C271" s="3" t="s">
        <v>186</v>
      </c>
      <c r="D271" s="3" t="s">
        <v>8</v>
      </c>
      <c r="E271" s="3" t="n">
        <v>1450</v>
      </c>
      <c r="F271" s="3" t="n">
        <v>1200</v>
      </c>
      <c r="G271" s="3" t="n">
        <v>16</v>
      </c>
      <c r="H271" s="8" t="n">
        <f aca="false">(E271/1000)*(F271/1000)*(G271/1000)*7850</f>
        <v>218.544</v>
      </c>
      <c r="I271" s="3" t="n">
        <v>1</v>
      </c>
      <c r="J271" s="9" t="n">
        <f aca="false">H271*I271</f>
        <v>218.544</v>
      </c>
      <c r="K271" s="3"/>
    </row>
    <row r="272" customFormat="false" ht="19.5" hidden="false" customHeight="false" outlineLevel="0" collapsed="false">
      <c r="A272" s="3" t="s">
        <v>135</v>
      </c>
      <c r="B272" s="3" t="s">
        <v>136</v>
      </c>
      <c r="C272" s="3" t="s">
        <v>193</v>
      </c>
      <c r="D272" s="3" t="s">
        <v>8</v>
      </c>
      <c r="E272" s="3" t="n">
        <v>2057</v>
      </c>
      <c r="F272" s="3" t="n">
        <v>200</v>
      </c>
      <c r="G272" s="3" t="n">
        <v>16</v>
      </c>
      <c r="H272" s="8" t="n">
        <f aca="false">(E272/1000)*(F272/1000)*(G272/1000)*7850</f>
        <v>51.67184</v>
      </c>
      <c r="I272" s="3" t="n">
        <v>2</v>
      </c>
      <c r="J272" s="9" t="n">
        <f aca="false">H272*I272</f>
        <v>103.34368</v>
      </c>
      <c r="K272" s="3"/>
    </row>
    <row r="273" customFormat="false" ht="19.5" hidden="false" customHeight="false" outlineLevel="0" collapsed="false">
      <c r="A273" s="3" t="s">
        <v>137</v>
      </c>
      <c r="B273" s="3" t="s">
        <v>138</v>
      </c>
      <c r="C273" s="3" t="s">
        <v>182</v>
      </c>
      <c r="D273" s="3" t="s">
        <v>8</v>
      </c>
      <c r="E273" s="3" t="n">
        <v>1580</v>
      </c>
      <c r="F273" s="3" t="n">
        <v>1200</v>
      </c>
      <c r="G273" s="3" t="n">
        <v>16</v>
      </c>
      <c r="H273" s="8" t="n">
        <f aca="false">(E273/1000)*(F273/1000)*(G273/1000)*7850</f>
        <v>238.1376</v>
      </c>
      <c r="I273" s="3" t="n">
        <v>3</v>
      </c>
      <c r="J273" s="9" t="n">
        <f aca="false">H273*I273</f>
        <v>714.4128</v>
      </c>
      <c r="K273" s="3"/>
    </row>
    <row r="274" customFormat="false" ht="19.5" hidden="false" customHeight="false" outlineLevel="0" collapsed="false">
      <c r="A274" s="3" t="s">
        <v>137</v>
      </c>
      <c r="B274" s="3" t="s">
        <v>138</v>
      </c>
      <c r="C274" s="3" t="s">
        <v>183</v>
      </c>
      <c r="D274" s="3" t="s">
        <v>8</v>
      </c>
      <c r="E274" s="3" t="n">
        <v>1580</v>
      </c>
      <c r="F274" s="3" t="n">
        <v>1200</v>
      </c>
      <c r="G274" s="3" t="n">
        <v>16</v>
      </c>
      <c r="H274" s="8" t="n">
        <f aca="false">(E274/1000)*(F274/1000)*(G274/1000)*7850</f>
        <v>238.1376</v>
      </c>
      <c r="I274" s="3" t="n">
        <v>3</v>
      </c>
      <c r="J274" s="9" t="n">
        <f aca="false">H274*I274</f>
        <v>714.4128</v>
      </c>
      <c r="K274" s="3"/>
    </row>
    <row r="275" customFormat="false" ht="19.5" hidden="false" customHeight="false" outlineLevel="0" collapsed="false">
      <c r="A275" s="3" t="s">
        <v>137</v>
      </c>
      <c r="B275" s="3" t="s">
        <v>138</v>
      </c>
      <c r="C275" s="3" t="s">
        <v>183</v>
      </c>
      <c r="D275" s="3" t="s">
        <v>8</v>
      </c>
      <c r="E275" s="3" t="n">
        <v>2057</v>
      </c>
      <c r="F275" s="3" t="n">
        <v>200</v>
      </c>
      <c r="G275" s="3" t="n">
        <v>16</v>
      </c>
      <c r="H275" s="8" t="n">
        <f aca="false">(E275/1000)*(F275/1000)*(G275/1000)*7850</f>
        <v>51.67184</v>
      </c>
      <c r="I275" s="3" t="n">
        <v>4</v>
      </c>
      <c r="J275" s="9" t="n">
        <f aca="false">H275*I275</f>
        <v>206.68736</v>
      </c>
      <c r="K275" s="3"/>
    </row>
    <row r="276" customFormat="false" ht="19.5" hidden="false" customHeight="false" outlineLevel="0" collapsed="false">
      <c r="A276" s="3" t="s">
        <v>137</v>
      </c>
      <c r="B276" s="3" t="s">
        <v>138</v>
      </c>
      <c r="C276" s="3" t="s">
        <v>183</v>
      </c>
      <c r="D276" s="3" t="s">
        <v>8</v>
      </c>
      <c r="E276" s="3" t="n">
        <v>1782</v>
      </c>
      <c r="F276" s="3" t="n">
        <v>40</v>
      </c>
      <c r="G276" s="3" t="n">
        <v>4</v>
      </c>
      <c r="H276" s="8" t="n">
        <f aca="false">(E276/1000)*(F276/1000)*(G276/1000)*7850</f>
        <v>2.238192</v>
      </c>
      <c r="I276" s="3" t="n">
        <v>4</v>
      </c>
      <c r="J276" s="9" t="n">
        <f aca="false">H276*I276</f>
        <v>8.952768</v>
      </c>
      <c r="K276" s="3"/>
    </row>
    <row r="277" customFormat="false" ht="19.5" hidden="false" customHeight="false" outlineLevel="0" collapsed="false">
      <c r="A277" s="3" t="s">
        <v>137</v>
      </c>
      <c r="B277" s="3" t="s">
        <v>138</v>
      </c>
      <c r="C277" s="3" t="s">
        <v>183</v>
      </c>
      <c r="D277" s="3" t="s">
        <v>8</v>
      </c>
      <c r="E277" s="3" t="n">
        <v>7902</v>
      </c>
      <c r="F277" s="3" t="n">
        <v>1850</v>
      </c>
      <c r="G277" s="3" t="n">
        <v>20</v>
      </c>
      <c r="H277" s="8" t="n">
        <f aca="false">(E277/1000)*(F277/1000)*(G277/1000)*7850</f>
        <v>2295.1359</v>
      </c>
      <c r="I277" s="3" t="n">
        <v>1</v>
      </c>
      <c r="J277" s="9" t="n">
        <f aca="false">H277*I277</f>
        <v>2295.1359</v>
      </c>
      <c r="K277" s="3"/>
    </row>
    <row r="278" customFormat="false" ht="19.5" hidden="false" customHeight="false" outlineLevel="0" collapsed="false">
      <c r="A278" s="3" t="s">
        <v>137</v>
      </c>
      <c r="B278" s="3" t="s">
        <v>138</v>
      </c>
      <c r="C278" s="3" t="s">
        <v>186</v>
      </c>
      <c r="D278" s="3" t="s">
        <v>8</v>
      </c>
      <c r="E278" s="3" t="n">
        <v>1450</v>
      </c>
      <c r="F278" s="3" t="n">
        <v>1200</v>
      </c>
      <c r="G278" s="3" t="n">
        <v>16</v>
      </c>
      <c r="H278" s="8" t="n">
        <f aca="false">(E278/1000)*(F278/1000)*(G278/1000)*7850</f>
        <v>218.544</v>
      </c>
      <c r="I278" s="3" t="n">
        <v>3</v>
      </c>
      <c r="J278" s="9" t="n">
        <f aca="false">H278*I278</f>
        <v>655.632</v>
      </c>
      <c r="K278" s="3"/>
    </row>
    <row r="279" customFormat="false" ht="19.5" hidden="false" customHeight="false" outlineLevel="0" collapsed="false">
      <c r="A279" s="3" t="s">
        <v>137</v>
      </c>
      <c r="B279" s="3" t="s">
        <v>138</v>
      </c>
      <c r="C279" s="3" t="s">
        <v>193</v>
      </c>
      <c r="D279" s="3" t="s">
        <v>8</v>
      </c>
      <c r="E279" s="3" t="n">
        <v>1657</v>
      </c>
      <c r="F279" s="3" t="n">
        <v>200</v>
      </c>
      <c r="G279" s="3" t="n">
        <v>16</v>
      </c>
      <c r="H279" s="8" t="n">
        <f aca="false">(E279/1000)*(F279/1000)*(G279/1000)*7850</f>
        <v>41.62384</v>
      </c>
      <c r="I279" s="3" t="n">
        <v>4</v>
      </c>
      <c r="J279" s="9" t="n">
        <f aca="false">H279*I279</f>
        <v>166.49536</v>
      </c>
      <c r="K279" s="3"/>
    </row>
    <row r="280" customFormat="false" ht="19.5" hidden="false" customHeight="false" outlineLevel="0" collapsed="false">
      <c r="A280" s="3" t="s">
        <v>139</v>
      </c>
      <c r="B280" s="3" t="s">
        <v>140</v>
      </c>
      <c r="C280" s="3" t="s">
        <v>182</v>
      </c>
      <c r="D280" s="3" t="s">
        <v>8</v>
      </c>
      <c r="E280" s="3" t="n">
        <v>1580</v>
      </c>
      <c r="F280" s="3" t="n">
        <v>1200</v>
      </c>
      <c r="G280" s="3" t="n">
        <v>16</v>
      </c>
      <c r="H280" s="8" t="n">
        <f aca="false">(E280/1000)*(F280/1000)*(G280/1000)*7850</f>
        <v>238.1376</v>
      </c>
      <c r="I280" s="3" t="n">
        <v>3</v>
      </c>
      <c r="J280" s="9" t="n">
        <f aca="false">H280*I280</f>
        <v>714.4128</v>
      </c>
      <c r="K280" s="3"/>
    </row>
    <row r="281" customFormat="false" ht="19.5" hidden="false" customHeight="false" outlineLevel="0" collapsed="false">
      <c r="A281" s="3" t="s">
        <v>139</v>
      </c>
      <c r="B281" s="3" t="s">
        <v>140</v>
      </c>
      <c r="C281" s="3" t="s">
        <v>183</v>
      </c>
      <c r="D281" s="3" t="s">
        <v>8</v>
      </c>
      <c r="E281" s="3" t="n">
        <v>1580</v>
      </c>
      <c r="F281" s="3" t="n">
        <v>1200</v>
      </c>
      <c r="G281" s="3" t="n">
        <v>16</v>
      </c>
      <c r="H281" s="8" t="n">
        <f aca="false">(E281/1000)*(F281/1000)*(G281/1000)*7850</f>
        <v>238.1376</v>
      </c>
      <c r="I281" s="3" t="n">
        <v>3</v>
      </c>
      <c r="J281" s="9" t="n">
        <f aca="false">H281*I281</f>
        <v>714.4128</v>
      </c>
      <c r="K281" s="3"/>
    </row>
    <row r="282" customFormat="false" ht="19.5" hidden="false" customHeight="false" outlineLevel="0" collapsed="false">
      <c r="A282" s="3" t="s">
        <v>139</v>
      </c>
      <c r="B282" s="3" t="s">
        <v>140</v>
      </c>
      <c r="C282" s="3" t="s">
        <v>184</v>
      </c>
      <c r="D282" s="3" t="s">
        <v>8</v>
      </c>
      <c r="E282" s="3" t="n">
        <v>2057</v>
      </c>
      <c r="F282" s="3" t="n">
        <v>200</v>
      </c>
      <c r="G282" s="3" t="n">
        <v>16</v>
      </c>
      <c r="H282" s="8" t="n">
        <f aca="false">(E282/1000)*(F282/1000)*(G282/1000)*7850</f>
        <v>51.67184</v>
      </c>
      <c r="I282" s="3" t="n">
        <v>4</v>
      </c>
      <c r="J282" s="9" t="n">
        <f aca="false">H282*I282</f>
        <v>206.68736</v>
      </c>
      <c r="K282" s="3"/>
    </row>
    <row r="283" customFormat="false" ht="19.5" hidden="false" customHeight="false" outlineLevel="0" collapsed="false">
      <c r="A283" s="3" t="s">
        <v>139</v>
      </c>
      <c r="B283" s="3" t="s">
        <v>140</v>
      </c>
      <c r="C283" s="3" t="s">
        <v>184</v>
      </c>
      <c r="D283" s="3" t="s">
        <v>8</v>
      </c>
      <c r="E283" s="3" t="n">
        <v>1782</v>
      </c>
      <c r="F283" s="3" t="n">
        <v>40</v>
      </c>
      <c r="G283" s="3" t="n">
        <v>4</v>
      </c>
      <c r="H283" s="8" t="n">
        <f aca="false">(E283/1000)*(F283/1000)*(G283/1000)*7850</f>
        <v>2.238192</v>
      </c>
      <c r="I283" s="3" t="n">
        <v>4</v>
      </c>
      <c r="J283" s="9" t="n">
        <f aca="false">H283*I283</f>
        <v>8.952768</v>
      </c>
      <c r="K283" s="3"/>
    </row>
    <row r="284" customFormat="false" ht="19.5" hidden="false" customHeight="false" outlineLevel="0" collapsed="false">
      <c r="A284" s="3" t="s">
        <v>139</v>
      </c>
      <c r="B284" s="3" t="s">
        <v>140</v>
      </c>
      <c r="C284" s="3" t="s">
        <v>184</v>
      </c>
      <c r="D284" s="3" t="s">
        <v>8</v>
      </c>
      <c r="E284" s="3" t="n">
        <v>600</v>
      </c>
      <c r="F284" s="3" t="n">
        <v>400</v>
      </c>
      <c r="G284" s="3" t="n">
        <v>16</v>
      </c>
      <c r="H284" s="8" t="n">
        <f aca="false">(E284/1000)*(F284/1000)*(G284/1000)*7850</f>
        <v>30.144</v>
      </c>
      <c r="I284" s="3" t="n">
        <v>4</v>
      </c>
      <c r="J284" s="9" t="n">
        <f aca="false">H284*I284</f>
        <v>120.576</v>
      </c>
      <c r="K284" s="3"/>
    </row>
    <row r="285" customFormat="false" ht="19.5" hidden="false" customHeight="false" outlineLevel="0" collapsed="false">
      <c r="A285" s="3" t="s">
        <v>139</v>
      </c>
      <c r="B285" s="3" t="s">
        <v>140</v>
      </c>
      <c r="C285" s="3" t="s">
        <v>184</v>
      </c>
      <c r="D285" s="3" t="s">
        <v>8</v>
      </c>
      <c r="E285" s="3" t="n">
        <v>7902</v>
      </c>
      <c r="F285" s="3" t="n">
        <v>240</v>
      </c>
      <c r="G285" s="3" t="n">
        <v>20</v>
      </c>
      <c r="H285" s="8" t="n">
        <f aca="false">(E285/1000)*(F285/1000)*(G285/1000)*7850</f>
        <v>297.74736</v>
      </c>
      <c r="I285" s="3" t="n">
        <v>6</v>
      </c>
      <c r="J285" s="9" t="n">
        <f aca="false">H285*I285</f>
        <v>1786.48416</v>
      </c>
      <c r="K285" s="3"/>
    </row>
    <row r="286" customFormat="false" ht="19.5" hidden="false" customHeight="false" outlineLevel="0" collapsed="false">
      <c r="A286" s="3" t="s">
        <v>139</v>
      </c>
      <c r="B286" s="3" t="s">
        <v>140</v>
      </c>
      <c r="C286" s="3" t="s">
        <v>184</v>
      </c>
      <c r="D286" s="3" t="s">
        <v>8</v>
      </c>
      <c r="E286" s="3" t="n">
        <v>8600</v>
      </c>
      <c r="F286" s="3" t="n">
        <v>240</v>
      </c>
      <c r="G286" s="3" t="n">
        <v>20</v>
      </c>
      <c r="H286" s="8" t="n">
        <f aca="false">(E286/1000)*(F286/1000)*(G286/1000)*7850</f>
        <v>324.048</v>
      </c>
      <c r="I286" s="3" t="n">
        <v>6</v>
      </c>
      <c r="J286" s="9" t="n">
        <f aca="false">H286*I286</f>
        <v>1944.288</v>
      </c>
      <c r="K286" s="3"/>
    </row>
    <row r="287" customFormat="false" ht="19.5" hidden="false" customHeight="false" outlineLevel="0" collapsed="false">
      <c r="A287" s="3" t="s">
        <v>139</v>
      </c>
      <c r="B287" s="3" t="s">
        <v>140</v>
      </c>
      <c r="C287" s="3" t="s">
        <v>186</v>
      </c>
      <c r="D287" s="3" t="s">
        <v>8</v>
      </c>
      <c r="E287" s="3" t="n">
        <v>1450</v>
      </c>
      <c r="F287" s="3" t="n">
        <v>1200</v>
      </c>
      <c r="G287" s="3" t="n">
        <v>16</v>
      </c>
      <c r="H287" s="8" t="n">
        <f aca="false">(E287/1000)*(F287/1000)*(G287/1000)*7850</f>
        <v>218.544</v>
      </c>
      <c r="I287" s="3" t="n">
        <v>3</v>
      </c>
      <c r="J287" s="9" t="n">
        <f aca="false">H287*I287</f>
        <v>655.632</v>
      </c>
      <c r="K287" s="3"/>
    </row>
    <row r="288" customFormat="false" ht="19.5" hidden="false" customHeight="false" outlineLevel="0" collapsed="false">
      <c r="A288" s="3" t="s">
        <v>139</v>
      </c>
      <c r="B288" s="3" t="s">
        <v>140</v>
      </c>
      <c r="C288" s="3" t="s">
        <v>187</v>
      </c>
      <c r="D288" s="3" t="s">
        <v>8</v>
      </c>
      <c r="E288" s="3" t="n">
        <v>1450</v>
      </c>
      <c r="F288" s="3" t="n">
        <v>1200</v>
      </c>
      <c r="G288" s="3" t="n">
        <v>16</v>
      </c>
      <c r="H288" s="8" t="n">
        <f aca="false">(E288/1000)*(F288/1000)*(G288/1000)*7850</f>
        <v>218.544</v>
      </c>
      <c r="I288" s="3" t="n">
        <v>2</v>
      </c>
      <c r="J288" s="9" t="n">
        <f aca="false">H288*I288</f>
        <v>437.088</v>
      </c>
      <c r="K288" s="3"/>
    </row>
    <row r="289" customFormat="false" ht="19.5" hidden="false" customHeight="false" outlineLevel="0" collapsed="false">
      <c r="A289" s="3" t="s">
        <v>139</v>
      </c>
      <c r="B289" s="3" t="s">
        <v>140</v>
      </c>
      <c r="C289" s="3" t="s">
        <v>193</v>
      </c>
      <c r="D289" s="3" t="s">
        <v>8</v>
      </c>
      <c r="E289" s="3" t="n">
        <v>1657</v>
      </c>
      <c r="F289" s="3" t="n">
        <v>200</v>
      </c>
      <c r="G289" s="3" t="n">
        <v>16</v>
      </c>
      <c r="H289" s="8" t="n">
        <f aca="false">(E289/1000)*(F289/1000)*(G289/1000)*7850</f>
        <v>41.62384</v>
      </c>
      <c r="I289" s="3" t="n">
        <v>3</v>
      </c>
      <c r="J289" s="9" t="n">
        <f aca="false">H289*I289</f>
        <v>124.87152</v>
      </c>
      <c r="K289" s="3"/>
    </row>
    <row r="290" customFormat="false" ht="19.5" hidden="false" customHeight="false" outlineLevel="0" collapsed="false">
      <c r="A290" s="3" t="s">
        <v>141</v>
      </c>
      <c r="B290" s="3" t="s">
        <v>142</v>
      </c>
      <c r="C290" s="3" t="s">
        <v>182</v>
      </c>
      <c r="D290" s="3" t="s">
        <v>8</v>
      </c>
      <c r="E290" s="3" t="n">
        <v>1580</v>
      </c>
      <c r="F290" s="3" t="n">
        <v>1200</v>
      </c>
      <c r="G290" s="3" t="n">
        <v>16</v>
      </c>
      <c r="H290" s="8" t="n">
        <f aca="false">(E290/1000)*(F290/1000)*(G290/1000)*7850</f>
        <v>238.1376</v>
      </c>
      <c r="I290" s="3" t="n">
        <v>3</v>
      </c>
      <c r="J290" s="9" t="n">
        <f aca="false">H290*I290</f>
        <v>714.4128</v>
      </c>
      <c r="K290" s="3"/>
    </row>
    <row r="291" customFormat="false" ht="19.5" hidden="false" customHeight="false" outlineLevel="0" collapsed="false">
      <c r="A291" s="3" t="s">
        <v>141</v>
      </c>
      <c r="B291" s="3" t="s">
        <v>142</v>
      </c>
      <c r="C291" s="3" t="s">
        <v>183</v>
      </c>
      <c r="D291" s="3" t="s">
        <v>8</v>
      </c>
      <c r="E291" s="3" t="n">
        <v>1568</v>
      </c>
      <c r="F291" s="3" t="n">
        <v>1200</v>
      </c>
      <c r="G291" s="3" t="n">
        <v>16</v>
      </c>
      <c r="H291" s="8" t="n">
        <f aca="false">(E291/1000)*(F291/1000)*(G291/1000)*7850</f>
        <v>236.32896</v>
      </c>
      <c r="I291" s="3" t="n">
        <v>2</v>
      </c>
      <c r="J291" s="9" t="n">
        <f aca="false">H291*I291</f>
        <v>472.65792</v>
      </c>
      <c r="K291" s="3"/>
    </row>
    <row r="292" customFormat="false" ht="19.5" hidden="false" customHeight="false" outlineLevel="0" collapsed="false">
      <c r="A292" s="3" t="s">
        <v>141</v>
      </c>
      <c r="B292" s="3" t="s">
        <v>142</v>
      </c>
      <c r="C292" s="3" t="s">
        <v>184</v>
      </c>
      <c r="D292" s="3" t="s">
        <v>8</v>
      </c>
      <c r="E292" s="3" t="n">
        <v>2057</v>
      </c>
      <c r="F292" s="3" t="n">
        <v>200</v>
      </c>
      <c r="G292" s="3" t="n">
        <v>16</v>
      </c>
      <c r="H292" s="8" t="n">
        <f aca="false">(E292/1000)*(F292/1000)*(G292/1000)*7850</f>
        <v>51.67184</v>
      </c>
      <c r="I292" s="3" t="n">
        <v>3</v>
      </c>
      <c r="J292" s="9" t="n">
        <f aca="false">H292*I292</f>
        <v>155.01552</v>
      </c>
      <c r="K292" s="3"/>
    </row>
    <row r="293" customFormat="false" ht="19.5" hidden="false" customHeight="false" outlineLevel="0" collapsed="false">
      <c r="A293" s="3" t="s">
        <v>141</v>
      </c>
      <c r="B293" s="3" t="s">
        <v>142</v>
      </c>
      <c r="C293" s="3" t="s">
        <v>184</v>
      </c>
      <c r="D293" s="3" t="s">
        <v>8</v>
      </c>
      <c r="E293" s="3" t="n">
        <v>1782</v>
      </c>
      <c r="F293" s="3" t="n">
        <v>40</v>
      </c>
      <c r="G293" s="3" t="n">
        <v>4</v>
      </c>
      <c r="H293" s="8" t="n">
        <f aca="false">(E293/1000)*(F293/1000)*(G293/1000)*7850</f>
        <v>2.238192</v>
      </c>
      <c r="I293" s="3" t="n">
        <v>4</v>
      </c>
      <c r="J293" s="9" t="n">
        <f aca="false">H293*I293</f>
        <v>8.952768</v>
      </c>
      <c r="K293" s="3"/>
    </row>
    <row r="294" customFormat="false" ht="19.5" hidden="false" customHeight="false" outlineLevel="0" collapsed="false">
      <c r="A294" s="3" t="s">
        <v>141</v>
      </c>
      <c r="B294" s="3" t="s">
        <v>142</v>
      </c>
      <c r="C294" s="3" t="s">
        <v>184</v>
      </c>
      <c r="D294" s="3" t="s">
        <v>8</v>
      </c>
      <c r="E294" s="3" t="n">
        <v>600</v>
      </c>
      <c r="F294" s="3" t="n">
        <v>400</v>
      </c>
      <c r="G294" s="3" t="n">
        <v>16</v>
      </c>
      <c r="H294" s="8" t="n">
        <f aca="false">(E294/1000)*(F294/1000)*(G294/1000)*7850</f>
        <v>30.144</v>
      </c>
      <c r="I294" s="3" t="n">
        <v>4</v>
      </c>
      <c r="J294" s="9" t="n">
        <f aca="false">H294*I294</f>
        <v>120.576</v>
      </c>
      <c r="K294" s="3"/>
    </row>
    <row r="295" customFormat="false" ht="19.5" hidden="false" customHeight="false" outlineLevel="0" collapsed="false">
      <c r="A295" s="3" t="s">
        <v>141</v>
      </c>
      <c r="B295" s="3" t="s">
        <v>142</v>
      </c>
      <c r="C295" s="3" t="s">
        <v>184</v>
      </c>
      <c r="D295" s="3" t="s">
        <v>8</v>
      </c>
      <c r="E295" s="3" t="n">
        <v>7901</v>
      </c>
      <c r="F295" s="3" t="n">
        <v>240</v>
      </c>
      <c r="G295" s="3" t="n">
        <v>20</v>
      </c>
      <c r="H295" s="8" t="n">
        <f aca="false">(E295/1000)*(F295/1000)*(G295/1000)*7850</f>
        <v>297.70968</v>
      </c>
      <c r="I295" s="3" t="n">
        <v>6</v>
      </c>
      <c r="J295" s="9" t="n">
        <f aca="false">H295*I295</f>
        <v>1786.25808</v>
      </c>
      <c r="K295" s="3"/>
    </row>
    <row r="296" customFormat="false" ht="19.5" hidden="false" customHeight="false" outlineLevel="0" collapsed="false">
      <c r="A296" s="3" t="s">
        <v>141</v>
      </c>
      <c r="B296" s="3" t="s">
        <v>142</v>
      </c>
      <c r="C296" s="3" t="s">
        <v>184</v>
      </c>
      <c r="D296" s="3" t="s">
        <v>8</v>
      </c>
      <c r="E296" s="3" t="n">
        <v>7101</v>
      </c>
      <c r="F296" s="3" t="n">
        <v>240</v>
      </c>
      <c r="G296" s="3" t="n">
        <v>20</v>
      </c>
      <c r="H296" s="8" t="n">
        <f aca="false">(E296/1000)*(F296/1000)*(G296/1000)*7850</f>
        <v>267.56568</v>
      </c>
      <c r="I296" s="3" t="n">
        <v>6</v>
      </c>
      <c r="J296" s="9" t="n">
        <f aca="false">H296*I296</f>
        <v>1605.39408</v>
      </c>
      <c r="K296" s="3"/>
    </row>
    <row r="297" customFormat="false" ht="19.5" hidden="false" customHeight="false" outlineLevel="0" collapsed="false">
      <c r="A297" s="3" t="s">
        <v>141</v>
      </c>
      <c r="B297" s="3" t="s">
        <v>142</v>
      </c>
      <c r="C297" s="3" t="s">
        <v>186</v>
      </c>
      <c r="D297" s="3" t="s">
        <v>8</v>
      </c>
      <c r="E297" s="3" t="n">
        <v>1450</v>
      </c>
      <c r="F297" s="3" t="n">
        <v>1200</v>
      </c>
      <c r="G297" s="3" t="n">
        <v>16</v>
      </c>
      <c r="H297" s="8" t="n">
        <f aca="false">(E297/1000)*(F297/1000)*(G297/1000)*7850</f>
        <v>218.544</v>
      </c>
      <c r="I297" s="3" t="n">
        <v>3</v>
      </c>
      <c r="J297" s="9" t="n">
        <f aca="false">H297*I297</f>
        <v>655.632</v>
      </c>
      <c r="K297" s="3"/>
    </row>
    <row r="298" customFormat="false" ht="19.5" hidden="false" customHeight="false" outlineLevel="0" collapsed="false">
      <c r="A298" s="3" t="s">
        <v>141</v>
      </c>
      <c r="B298" s="3" t="s">
        <v>142</v>
      </c>
      <c r="C298" s="3" t="s">
        <v>187</v>
      </c>
      <c r="D298" s="3" t="s">
        <v>8</v>
      </c>
      <c r="E298" s="3" t="n">
        <v>1450</v>
      </c>
      <c r="F298" s="3" t="n">
        <v>1200</v>
      </c>
      <c r="G298" s="3" t="n">
        <v>16</v>
      </c>
      <c r="H298" s="8" t="n">
        <f aca="false">(E298/1000)*(F298/1000)*(G298/1000)*7850</f>
        <v>218.544</v>
      </c>
      <c r="I298" s="3" t="n">
        <v>2</v>
      </c>
      <c r="J298" s="9" t="n">
        <f aca="false">H298*I298</f>
        <v>437.088</v>
      </c>
      <c r="K298" s="3"/>
    </row>
    <row r="299" customFormat="false" ht="19.5" hidden="false" customHeight="false" outlineLevel="0" collapsed="false">
      <c r="A299" s="3" t="s">
        <v>141</v>
      </c>
      <c r="B299" s="3" t="s">
        <v>142</v>
      </c>
      <c r="C299" s="3" t="s">
        <v>187</v>
      </c>
      <c r="D299" s="3" t="s">
        <v>8</v>
      </c>
      <c r="E299" s="3" t="n">
        <v>1657</v>
      </c>
      <c r="F299" s="3" t="n">
        <v>200</v>
      </c>
      <c r="G299" s="3" t="n">
        <v>16</v>
      </c>
      <c r="H299" s="8" t="n">
        <f aca="false">(E299/1000)*(F299/1000)*(G299/1000)*7850</f>
        <v>41.62384</v>
      </c>
      <c r="I299" s="3" t="n">
        <v>3</v>
      </c>
      <c r="J299" s="9" t="n">
        <f aca="false">H299*I299</f>
        <v>124.87152</v>
      </c>
      <c r="K299" s="3"/>
    </row>
    <row r="300" customFormat="false" ht="19.5" hidden="false" customHeight="false" outlineLevel="0" collapsed="false">
      <c r="A300" s="3" t="s">
        <v>141</v>
      </c>
      <c r="B300" s="3" t="s">
        <v>142</v>
      </c>
      <c r="C300" s="3" t="s">
        <v>187</v>
      </c>
      <c r="D300" s="3" t="s">
        <v>8</v>
      </c>
      <c r="E300" s="3" t="n">
        <v>7903</v>
      </c>
      <c r="F300" s="3" t="n">
        <v>240</v>
      </c>
      <c r="G300" s="3" t="n">
        <v>20</v>
      </c>
      <c r="H300" s="8" t="n">
        <f aca="false">(E300/1000)*(F300/1000)*(G300/1000)*7850</f>
        <v>297.78504</v>
      </c>
      <c r="I300" s="3" t="n">
        <v>4</v>
      </c>
      <c r="J300" s="9" t="n">
        <f aca="false">H300*I300</f>
        <v>1191.14016</v>
      </c>
      <c r="K300" s="3"/>
    </row>
    <row r="301" customFormat="false" ht="19.5" hidden="false" customHeight="false" outlineLevel="0" collapsed="false">
      <c r="A301" s="3" t="s">
        <v>143</v>
      </c>
      <c r="B301" s="3" t="s">
        <v>144</v>
      </c>
      <c r="C301" s="3" t="s">
        <v>183</v>
      </c>
      <c r="D301" s="3" t="s">
        <v>8</v>
      </c>
      <c r="E301" s="3" t="n">
        <v>1560</v>
      </c>
      <c r="F301" s="3" t="n">
        <v>1200</v>
      </c>
      <c r="G301" s="3" t="n">
        <v>16</v>
      </c>
      <c r="H301" s="8" t="n">
        <f aca="false">(E301/1000)*(F301/1000)*(G301/1000)*7850</f>
        <v>235.1232</v>
      </c>
      <c r="I301" s="3" t="n">
        <v>2</v>
      </c>
      <c r="J301" s="9" t="n">
        <f aca="false">H301*I301</f>
        <v>470.2464</v>
      </c>
      <c r="K301" s="3"/>
    </row>
    <row r="302" customFormat="false" ht="19.5" hidden="false" customHeight="false" outlineLevel="0" collapsed="false">
      <c r="A302" s="3" t="s">
        <v>143</v>
      </c>
      <c r="B302" s="3" t="s">
        <v>144</v>
      </c>
      <c r="C302" s="3" t="s">
        <v>182</v>
      </c>
      <c r="D302" s="3" t="s">
        <v>8</v>
      </c>
      <c r="E302" s="3" t="n">
        <v>2057</v>
      </c>
      <c r="F302" s="3" t="n">
        <v>200</v>
      </c>
      <c r="G302" s="3" t="n">
        <v>16</v>
      </c>
      <c r="H302" s="8" t="n">
        <f aca="false">(E302/1000)*(F302/1000)*(G302/1000)*7850</f>
        <v>51.67184</v>
      </c>
      <c r="I302" s="3" t="n">
        <v>3</v>
      </c>
      <c r="J302" s="9" t="n">
        <f aca="false">H302*I302</f>
        <v>155.01552</v>
      </c>
      <c r="K302" s="3"/>
    </row>
    <row r="303" customFormat="false" ht="19.5" hidden="false" customHeight="false" outlineLevel="0" collapsed="false">
      <c r="A303" s="3" t="s">
        <v>143</v>
      </c>
      <c r="B303" s="3" t="s">
        <v>144</v>
      </c>
      <c r="C303" s="3" t="s">
        <v>185</v>
      </c>
      <c r="D303" s="3" t="s">
        <v>8</v>
      </c>
      <c r="E303" s="3" t="n">
        <v>1782</v>
      </c>
      <c r="F303" s="3" t="n">
        <v>40</v>
      </c>
      <c r="G303" s="3" t="n">
        <v>4</v>
      </c>
      <c r="H303" s="8" t="n">
        <f aca="false">(E303/1000)*(F303/1000)*(G303/1000)*7850</f>
        <v>2.238192</v>
      </c>
      <c r="I303" s="3" t="n">
        <v>4</v>
      </c>
      <c r="J303" s="9" t="n">
        <f aca="false">H303*I303</f>
        <v>8.952768</v>
      </c>
      <c r="K303" s="3"/>
    </row>
    <row r="304" customFormat="false" ht="19.5" hidden="false" customHeight="false" outlineLevel="0" collapsed="false">
      <c r="A304" s="3" t="s">
        <v>143</v>
      </c>
      <c r="B304" s="3" t="s">
        <v>144</v>
      </c>
      <c r="C304" s="3" t="s">
        <v>185</v>
      </c>
      <c r="D304" s="3" t="s">
        <v>8</v>
      </c>
      <c r="E304" s="3" t="n">
        <v>600</v>
      </c>
      <c r="F304" s="3" t="n">
        <v>400</v>
      </c>
      <c r="G304" s="3" t="n">
        <v>16</v>
      </c>
      <c r="H304" s="8" t="n">
        <f aca="false">(E304/1000)*(F304/1000)*(G304/1000)*7850</f>
        <v>30.144</v>
      </c>
      <c r="I304" s="3" t="n">
        <v>4</v>
      </c>
      <c r="J304" s="9" t="n">
        <f aca="false">H304*I304</f>
        <v>120.576</v>
      </c>
      <c r="K304" s="3"/>
    </row>
    <row r="305" customFormat="false" ht="19.5" hidden="false" customHeight="false" outlineLevel="0" collapsed="false">
      <c r="A305" s="3" t="s">
        <v>143</v>
      </c>
      <c r="B305" s="3" t="s">
        <v>144</v>
      </c>
      <c r="C305" s="3" t="s">
        <v>185</v>
      </c>
      <c r="D305" s="3" t="s">
        <v>9</v>
      </c>
      <c r="E305" s="3" t="n">
        <v>7901</v>
      </c>
      <c r="F305" s="3" t="n">
        <v>320</v>
      </c>
      <c r="G305" s="3" t="n">
        <v>32</v>
      </c>
      <c r="H305" s="8" t="n">
        <f aca="false">(E305/1000)*(F305/1000)*(G305/1000)*7850</f>
        <v>635.113984</v>
      </c>
      <c r="I305" s="3" t="n">
        <v>6</v>
      </c>
      <c r="J305" s="9" t="n">
        <f aca="false">H305*I305</f>
        <v>3810.683904</v>
      </c>
      <c r="K305" s="3"/>
    </row>
    <row r="306" customFormat="false" ht="19.5" hidden="false" customHeight="false" outlineLevel="0" collapsed="false">
      <c r="A306" s="3" t="s">
        <v>143</v>
      </c>
      <c r="B306" s="3" t="s">
        <v>144</v>
      </c>
      <c r="C306" s="3" t="s">
        <v>185</v>
      </c>
      <c r="D306" s="3" t="s">
        <v>8</v>
      </c>
      <c r="E306" s="3" t="n">
        <v>7903</v>
      </c>
      <c r="F306" s="3" t="n">
        <v>1850</v>
      </c>
      <c r="G306" s="3" t="n">
        <v>20</v>
      </c>
      <c r="H306" s="8" t="n">
        <f aca="false">(E306/1000)*(F306/1000)*(G306/1000)*7850</f>
        <v>2295.42635</v>
      </c>
      <c r="I306" s="3" t="n">
        <v>1</v>
      </c>
      <c r="J306" s="9" t="n">
        <f aca="false">H306*I306</f>
        <v>2295.42635</v>
      </c>
      <c r="K306" s="3"/>
    </row>
    <row r="307" customFormat="false" ht="19.5" hidden="false" customHeight="false" outlineLevel="0" collapsed="false">
      <c r="A307" s="3" t="s">
        <v>143</v>
      </c>
      <c r="B307" s="3" t="s">
        <v>144</v>
      </c>
      <c r="C307" s="3" t="s">
        <v>185</v>
      </c>
      <c r="D307" s="3" t="s">
        <v>8</v>
      </c>
      <c r="E307" s="3" t="n">
        <v>7102</v>
      </c>
      <c r="F307" s="3" t="n">
        <v>1850</v>
      </c>
      <c r="G307" s="3" t="n">
        <v>24</v>
      </c>
      <c r="H307" s="8" t="n">
        <f aca="false">(E307/1000)*(F307/1000)*(G307/1000)*7850</f>
        <v>2475.33108</v>
      </c>
      <c r="I307" s="3" t="n">
        <v>1</v>
      </c>
      <c r="J307" s="9" t="n">
        <f aca="false">H307*I307</f>
        <v>2475.33108</v>
      </c>
      <c r="K307" s="3"/>
    </row>
    <row r="308" customFormat="false" ht="19.5" hidden="false" customHeight="false" outlineLevel="0" collapsed="false">
      <c r="A308" s="3" t="s">
        <v>143</v>
      </c>
      <c r="B308" s="3" t="s">
        <v>144</v>
      </c>
      <c r="C308" s="3" t="s">
        <v>185</v>
      </c>
      <c r="D308" s="3" t="s">
        <v>8</v>
      </c>
      <c r="E308" s="3" t="n">
        <v>12530</v>
      </c>
      <c r="F308" s="3" t="n">
        <v>1000</v>
      </c>
      <c r="G308" s="3" t="n">
        <v>20</v>
      </c>
      <c r="H308" s="8" t="n">
        <f aca="false">(E308/1000)*(F308/1000)*(G308/1000)*7850</f>
        <v>1967.21</v>
      </c>
      <c r="I308" s="3" t="n">
        <v>1</v>
      </c>
      <c r="J308" s="9" t="n">
        <f aca="false">H308*I308</f>
        <v>1967.21</v>
      </c>
      <c r="K308" s="3"/>
    </row>
    <row r="309" customFormat="false" ht="19.5" hidden="false" customHeight="false" outlineLevel="0" collapsed="false">
      <c r="A309" s="3" t="s">
        <v>143</v>
      </c>
      <c r="B309" s="3" t="s">
        <v>144</v>
      </c>
      <c r="C309" s="3" t="s">
        <v>185</v>
      </c>
      <c r="D309" s="3" t="s">
        <v>8</v>
      </c>
      <c r="E309" s="3" t="n">
        <v>9710</v>
      </c>
      <c r="F309" s="3" t="n">
        <v>1000</v>
      </c>
      <c r="G309" s="3" t="n">
        <v>24</v>
      </c>
      <c r="H309" s="8" t="n">
        <f aca="false">(E309/1000)*(F309/1000)*(G309/1000)*7850</f>
        <v>1829.364</v>
      </c>
      <c r="I309" s="3" t="n">
        <v>1</v>
      </c>
      <c r="J309" s="9" t="n">
        <f aca="false">H309*I309</f>
        <v>1829.364</v>
      </c>
      <c r="K309" s="3"/>
    </row>
    <row r="310" customFormat="false" ht="19.5" hidden="false" customHeight="false" outlineLevel="0" collapsed="false">
      <c r="A310" s="3" t="s">
        <v>143</v>
      </c>
      <c r="B310" s="3" t="s">
        <v>144</v>
      </c>
      <c r="C310" s="3" t="s">
        <v>185</v>
      </c>
      <c r="D310" s="3" t="s">
        <v>8</v>
      </c>
      <c r="E310" s="3" t="n">
        <v>20720</v>
      </c>
      <c r="F310" s="3" t="n">
        <v>1000</v>
      </c>
      <c r="G310" s="3" t="n">
        <v>40</v>
      </c>
      <c r="H310" s="8" t="n">
        <f aca="false">(E310/1000)*(F310/1000)*(G310/1000)*7850</f>
        <v>6506.08</v>
      </c>
      <c r="I310" s="3" t="n">
        <v>2</v>
      </c>
      <c r="J310" s="9" t="n">
        <f aca="false">H310*I310</f>
        <v>13012.16</v>
      </c>
      <c r="K310" s="3"/>
    </row>
    <row r="311" customFormat="false" ht="19.5" hidden="false" customHeight="false" outlineLevel="0" collapsed="false">
      <c r="A311" s="3" t="s">
        <v>143</v>
      </c>
      <c r="B311" s="3" t="s">
        <v>144</v>
      </c>
      <c r="C311" s="3" t="s">
        <v>185</v>
      </c>
      <c r="D311" s="3" t="s">
        <v>8</v>
      </c>
      <c r="E311" s="3" t="n">
        <v>7302</v>
      </c>
      <c r="F311" s="3" t="n">
        <v>1474</v>
      </c>
      <c r="G311" s="3" t="n">
        <v>32</v>
      </c>
      <c r="H311" s="8" t="n">
        <f aca="false">(E311/1000)*(F311/1000)*(G311/1000)*7850</f>
        <v>2703.7027776</v>
      </c>
      <c r="I311" s="3" t="n">
        <v>2</v>
      </c>
      <c r="J311" s="9" t="n">
        <f aca="false">H311*I311</f>
        <v>5407.4055552</v>
      </c>
      <c r="K311" s="3"/>
    </row>
    <row r="312" customFormat="false" ht="19.5" hidden="false" customHeight="false" outlineLevel="0" collapsed="false">
      <c r="A312" s="3" t="s">
        <v>143</v>
      </c>
      <c r="B312" s="3" t="s">
        <v>144</v>
      </c>
      <c r="C312" s="3" t="s">
        <v>186</v>
      </c>
      <c r="D312" s="3" t="s">
        <v>8</v>
      </c>
      <c r="E312" s="3" t="n">
        <v>1450</v>
      </c>
      <c r="F312" s="3" t="n">
        <v>1200</v>
      </c>
      <c r="G312" s="3" t="n">
        <v>16</v>
      </c>
      <c r="H312" s="8" t="n">
        <f aca="false">(E312/1000)*(F312/1000)*(G312/1000)*7850</f>
        <v>218.544</v>
      </c>
      <c r="I312" s="3" t="n">
        <v>3</v>
      </c>
      <c r="J312" s="9" t="n">
        <f aca="false">H312*I312</f>
        <v>655.632</v>
      </c>
      <c r="K312" s="3"/>
    </row>
    <row r="313" customFormat="false" ht="19.5" hidden="false" customHeight="false" outlineLevel="0" collapsed="false">
      <c r="A313" s="3" t="s">
        <v>143</v>
      </c>
      <c r="B313" s="3" t="s">
        <v>144</v>
      </c>
      <c r="C313" s="3" t="s">
        <v>187</v>
      </c>
      <c r="D313" s="3" t="s">
        <v>8</v>
      </c>
      <c r="E313" s="3" t="n">
        <v>1450</v>
      </c>
      <c r="F313" s="3" t="n">
        <v>1200</v>
      </c>
      <c r="G313" s="3" t="n">
        <v>16</v>
      </c>
      <c r="H313" s="8" t="n">
        <f aca="false">(E313/1000)*(F313/1000)*(G313/1000)*7850</f>
        <v>218.544</v>
      </c>
      <c r="I313" s="3" t="n">
        <v>2</v>
      </c>
      <c r="J313" s="9" t="n">
        <f aca="false">H313*I313</f>
        <v>437.088</v>
      </c>
      <c r="K313" s="3"/>
    </row>
    <row r="314" customFormat="false" ht="19.5" hidden="false" customHeight="false" outlineLevel="0" collapsed="false">
      <c r="A314" s="3" t="s">
        <v>143</v>
      </c>
      <c r="B314" s="3" t="s">
        <v>144</v>
      </c>
      <c r="C314" s="3" t="s">
        <v>193</v>
      </c>
      <c r="D314" s="3" t="s">
        <v>8</v>
      </c>
      <c r="E314" s="3" t="n">
        <v>1657</v>
      </c>
      <c r="F314" s="3" t="n">
        <v>200</v>
      </c>
      <c r="G314" s="3" t="n">
        <v>16</v>
      </c>
      <c r="H314" s="8" t="n">
        <f aca="false">(E314/1000)*(F314/1000)*(G314/1000)*7850</f>
        <v>41.62384</v>
      </c>
      <c r="I314" s="3" t="n">
        <v>3</v>
      </c>
      <c r="J314" s="9" t="n">
        <f aca="false">H314*I314</f>
        <v>124.87152</v>
      </c>
      <c r="K314" s="3"/>
    </row>
    <row r="315" customFormat="false" ht="19.5" hidden="false" customHeight="false" outlineLevel="0" collapsed="false">
      <c r="A315" s="3" t="s">
        <v>143</v>
      </c>
      <c r="B315" s="3" t="s">
        <v>144</v>
      </c>
      <c r="C315" s="3" t="s">
        <v>191</v>
      </c>
      <c r="D315" s="3" t="s">
        <v>8</v>
      </c>
      <c r="E315" s="3" t="n">
        <v>460</v>
      </c>
      <c r="F315" s="3" t="n">
        <v>1000</v>
      </c>
      <c r="G315" s="3" t="n">
        <v>24</v>
      </c>
      <c r="H315" s="8" t="n">
        <f aca="false">(E315/1000)*(F315/1000)*(G315/1000)*7850</f>
        <v>86.664</v>
      </c>
      <c r="I315" s="3" t="n">
        <v>2</v>
      </c>
      <c r="J315" s="9" t="n">
        <f aca="false">H315*I315</f>
        <v>173.328</v>
      </c>
      <c r="K315" s="3"/>
    </row>
    <row r="316" customFormat="false" ht="19.5" hidden="false" customHeight="false" outlineLevel="0" collapsed="false">
      <c r="A316" s="3" t="s">
        <v>143</v>
      </c>
      <c r="B316" s="3" t="s">
        <v>144</v>
      </c>
      <c r="C316" s="3" t="s">
        <v>192</v>
      </c>
      <c r="D316" s="3" t="s">
        <v>8</v>
      </c>
      <c r="E316" s="3" t="n">
        <v>1450</v>
      </c>
      <c r="F316" s="3" t="n">
        <v>610</v>
      </c>
      <c r="G316" s="3" t="n">
        <v>14</v>
      </c>
      <c r="H316" s="8" t="n">
        <f aca="false">(E316/1000)*(F316/1000)*(G316/1000)*7850</f>
        <v>97.20655</v>
      </c>
      <c r="I316" s="3" t="n">
        <v>3</v>
      </c>
      <c r="J316" s="9" t="n">
        <f aca="false">H316*I316</f>
        <v>291.61965</v>
      </c>
      <c r="K316" s="3"/>
    </row>
    <row r="317" customFormat="false" ht="19.5" hidden="false" customHeight="false" outlineLevel="0" collapsed="false">
      <c r="A317" s="3" t="s">
        <v>145</v>
      </c>
      <c r="B317" s="3" t="s">
        <v>146</v>
      </c>
      <c r="C317" s="3" t="s">
        <v>183</v>
      </c>
      <c r="D317" s="3" t="s">
        <v>9</v>
      </c>
      <c r="E317" s="3" t="n">
        <v>1560</v>
      </c>
      <c r="F317" s="3" t="n">
        <v>1200</v>
      </c>
      <c r="G317" s="3" t="n">
        <v>16</v>
      </c>
      <c r="H317" s="8" t="n">
        <f aca="false">(E317/1000)*(F317/1000)*(G317/1000)*7850</f>
        <v>235.1232</v>
      </c>
      <c r="I317" s="3" t="n">
        <v>2</v>
      </c>
      <c r="J317" s="9" t="n">
        <f aca="false">H317*I317</f>
        <v>470.2464</v>
      </c>
      <c r="K317" s="3"/>
    </row>
    <row r="318" customFormat="false" ht="19.5" hidden="false" customHeight="false" outlineLevel="0" collapsed="false">
      <c r="A318" s="3" t="s">
        <v>145</v>
      </c>
      <c r="B318" s="3" t="s">
        <v>146</v>
      </c>
      <c r="C318" s="3" t="s">
        <v>184</v>
      </c>
      <c r="D318" s="3" t="s">
        <v>9</v>
      </c>
      <c r="E318" s="3" t="n">
        <v>2057</v>
      </c>
      <c r="F318" s="3" t="n">
        <v>200</v>
      </c>
      <c r="G318" s="3" t="n">
        <v>16</v>
      </c>
      <c r="H318" s="8" t="n">
        <f aca="false">(E318/1000)*(F318/1000)*(G318/1000)*7850</f>
        <v>51.67184</v>
      </c>
      <c r="I318" s="3" t="n">
        <v>3</v>
      </c>
      <c r="J318" s="9" t="n">
        <f aca="false">H318*I318</f>
        <v>155.01552</v>
      </c>
      <c r="K318" s="3"/>
    </row>
    <row r="319" customFormat="false" ht="19.5" hidden="false" customHeight="false" outlineLevel="0" collapsed="false">
      <c r="A319" s="3" t="s">
        <v>145</v>
      </c>
      <c r="B319" s="3" t="s">
        <v>146</v>
      </c>
      <c r="C319" s="3" t="s">
        <v>185</v>
      </c>
      <c r="D319" s="3" t="s">
        <v>9</v>
      </c>
      <c r="E319" s="3" t="n">
        <v>1782</v>
      </c>
      <c r="F319" s="3" t="n">
        <v>40</v>
      </c>
      <c r="G319" s="3" t="n">
        <v>4</v>
      </c>
      <c r="H319" s="8" t="n">
        <f aca="false">(E319/1000)*(F319/1000)*(G319/1000)*7850</f>
        <v>2.238192</v>
      </c>
      <c r="I319" s="3" t="n">
        <v>4</v>
      </c>
      <c r="J319" s="9" t="n">
        <f aca="false">H319*I319</f>
        <v>8.952768</v>
      </c>
      <c r="K319" s="3"/>
    </row>
    <row r="320" customFormat="false" ht="19.5" hidden="false" customHeight="false" outlineLevel="0" collapsed="false">
      <c r="A320" s="3" t="s">
        <v>145</v>
      </c>
      <c r="B320" s="3" t="s">
        <v>146</v>
      </c>
      <c r="C320" s="3" t="s">
        <v>185</v>
      </c>
      <c r="D320" s="3" t="s">
        <v>9</v>
      </c>
      <c r="E320" s="3" t="n">
        <v>600</v>
      </c>
      <c r="F320" s="3" t="n">
        <v>400</v>
      </c>
      <c r="G320" s="3" t="n">
        <v>16</v>
      </c>
      <c r="H320" s="8" t="n">
        <f aca="false">(E320/1000)*(F320/1000)*(G320/1000)*7850</f>
        <v>30.144</v>
      </c>
      <c r="I320" s="3" t="n">
        <v>4</v>
      </c>
      <c r="J320" s="9" t="n">
        <f aca="false">H320*I320</f>
        <v>120.576</v>
      </c>
      <c r="K320" s="3"/>
    </row>
    <row r="321" customFormat="false" ht="19.5" hidden="false" customHeight="false" outlineLevel="0" collapsed="false">
      <c r="A321" s="3" t="s">
        <v>145</v>
      </c>
      <c r="B321" s="3" t="s">
        <v>146</v>
      </c>
      <c r="C321" s="3" t="s">
        <v>185</v>
      </c>
      <c r="D321" s="3" t="s">
        <v>9</v>
      </c>
      <c r="E321" s="3" t="n">
        <v>7901</v>
      </c>
      <c r="F321" s="3" t="n">
        <v>320</v>
      </c>
      <c r="G321" s="3" t="n">
        <v>32</v>
      </c>
      <c r="H321" s="8" t="n">
        <f aca="false">(E321/1000)*(F321/1000)*(G321/1000)*7850</f>
        <v>635.113984</v>
      </c>
      <c r="I321" s="3" t="n">
        <v>6</v>
      </c>
      <c r="J321" s="9" t="n">
        <f aca="false">H321*I321</f>
        <v>3810.683904</v>
      </c>
      <c r="K321" s="3"/>
    </row>
    <row r="322" customFormat="false" ht="19.5" hidden="false" customHeight="false" outlineLevel="0" collapsed="false">
      <c r="A322" s="3" t="s">
        <v>145</v>
      </c>
      <c r="B322" s="3" t="s">
        <v>146</v>
      </c>
      <c r="C322" s="3" t="s">
        <v>185</v>
      </c>
      <c r="D322" s="3" t="s">
        <v>9</v>
      </c>
      <c r="E322" s="3" t="n">
        <v>7903</v>
      </c>
      <c r="F322" s="3" t="n">
        <v>1850</v>
      </c>
      <c r="G322" s="3" t="n">
        <v>32</v>
      </c>
      <c r="H322" s="8" t="n">
        <f aca="false">(E322/1000)*(F322/1000)*(G322/1000)*7850</f>
        <v>3672.68216</v>
      </c>
      <c r="I322" s="3" t="n">
        <v>1</v>
      </c>
      <c r="J322" s="9" t="n">
        <f aca="false">H322*I322</f>
        <v>3672.68216</v>
      </c>
      <c r="K322" s="3"/>
    </row>
    <row r="323" customFormat="false" ht="19.5" hidden="false" customHeight="false" outlineLevel="0" collapsed="false">
      <c r="A323" s="3" t="s">
        <v>145</v>
      </c>
      <c r="B323" s="3" t="s">
        <v>146</v>
      </c>
      <c r="C323" s="3" t="s">
        <v>185</v>
      </c>
      <c r="D323" s="3" t="s">
        <v>9</v>
      </c>
      <c r="E323" s="3" t="n">
        <v>12530</v>
      </c>
      <c r="F323" s="3" t="n">
        <v>1000</v>
      </c>
      <c r="G323" s="3" t="n">
        <v>32</v>
      </c>
      <c r="H323" s="8" t="n">
        <f aca="false">(E323/1000)*(F323/1000)*(G323/1000)*7850</f>
        <v>3147.536</v>
      </c>
      <c r="I323" s="3" t="n">
        <v>1</v>
      </c>
      <c r="J323" s="9" t="n">
        <f aca="false">H323*I323</f>
        <v>3147.536</v>
      </c>
      <c r="K323" s="3"/>
    </row>
    <row r="324" customFormat="false" ht="19.5" hidden="false" customHeight="false" outlineLevel="0" collapsed="false">
      <c r="A324" s="3" t="s">
        <v>145</v>
      </c>
      <c r="B324" s="3" t="s">
        <v>146</v>
      </c>
      <c r="C324" s="3" t="s">
        <v>185</v>
      </c>
      <c r="D324" s="3" t="s">
        <v>9</v>
      </c>
      <c r="E324" s="3" t="n">
        <v>9710</v>
      </c>
      <c r="F324" s="3" t="n">
        <v>1000</v>
      </c>
      <c r="G324" s="3" t="n">
        <v>32</v>
      </c>
      <c r="H324" s="8" t="n">
        <f aca="false">(E324/1000)*(F324/1000)*(G324/1000)*7850</f>
        <v>2439.152</v>
      </c>
      <c r="I324" s="3" t="n">
        <v>1</v>
      </c>
      <c r="J324" s="9" t="n">
        <f aca="false">H324*I324</f>
        <v>2439.152</v>
      </c>
      <c r="K324" s="3"/>
    </row>
    <row r="325" customFormat="false" ht="19.5" hidden="false" customHeight="false" outlineLevel="0" collapsed="false">
      <c r="A325" s="3" t="s">
        <v>145</v>
      </c>
      <c r="B325" s="3" t="s">
        <v>146</v>
      </c>
      <c r="C325" s="3" t="s">
        <v>186</v>
      </c>
      <c r="D325" s="3" t="s">
        <v>9</v>
      </c>
      <c r="E325" s="3" t="n">
        <v>1450</v>
      </c>
      <c r="F325" s="3" t="n">
        <v>1200</v>
      </c>
      <c r="G325" s="3" t="n">
        <v>16</v>
      </c>
      <c r="H325" s="8" t="n">
        <f aca="false">(E325/1000)*(F325/1000)*(G325/1000)*7850</f>
        <v>218.544</v>
      </c>
      <c r="I325" s="3" t="n">
        <v>3</v>
      </c>
      <c r="J325" s="9" t="n">
        <f aca="false">H325*I325</f>
        <v>655.632</v>
      </c>
      <c r="K325" s="3"/>
    </row>
    <row r="326" customFormat="false" ht="19.5" hidden="false" customHeight="false" outlineLevel="0" collapsed="false">
      <c r="A326" s="3" t="s">
        <v>145</v>
      </c>
      <c r="B326" s="3" t="s">
        <v>146</v>
      </c>
      <c r="C326" s="3" t="s">
        <v>187</v>
      </c>
      <c r="D326" s="3" t="s">
        <v>9</v>
      </c>
      <c r="E326" s="3" t="n">
        <v>1450</v>
      </c>
      <c r="F326" s="3" t="n">
        <v>1200</v>
      </c>
      <c r="G326" s="3" t="n">
        <v>16</v>
      </c>
      <c r="H326" s="8" t="n">
        <f aca="false">(E326/1000)*(F326/1000)*(G326/1000)*7850</f>
        <v>218.544</v>
      </c>
      <c r="I326" s="3" t="n">
        <v>2</v>
      </c>
      <c r="J326" s="9" t="n">
        <f aca="false">H326*I326</f>
        <v>437.088</v>
      </c>
      <c r="K326" s="3"/>
    </row>
    <row r="327" customFormat="false" ht="19.5" hidden="false" customHeight="false" outlineLevel="0" collapsed="false">
      <c r="A327" s="3" t="s">
        <v>145</v>
      </c>
      <c r="B327" s="3" t="s">
        <v>146</v>
      </c>
      <c r="C327" s="3" t="s">
        <v>193</v>
      </c>
      <c r="D327" s="3" t="s">
        <v>9</v>
      </c>
      <c r="E327" s="3" t="n">
        <v>1657</v>
      </c>
      <c r="F327" s="3" t="n">
        <v>200</v>
      </c>
      <c r="G327" s="3" t="n">
        <v>16</v>
      </c>
      <c r="H327" s="8" t="n">
        <f aca="false">(E327/1000)*(F327/1000)*(G327/1000)*7850</f>
        <v>41.62384</v>
      </c>
      <c r="I327" s="3" t="n">
        <v>3</v>
      </c>
      <c r="J327" s="9" t="n">
        <f aca="false">H327*I327</f>
        <v>124.87152</v>
      </c>
      <c r="K327" s="3"/>
    </row>
    <row r="328" customFormat="false" ht="19.5" hidden="false" customHeight="false" outlineLevel="0" collapsed="false">
      <c r="A328" s="3" t="s">
        <v>145</v>
      </c>
      <c r="B328" s="3" t="s">
        <v>146</v>
      </c>
      <c r="C328" s="3" t="s">
        <v>194</v>
      </c>
      <c r="D328" s="3" t="s">
        <v>8</v>
      </c>
      <c r="E328" s="3" t="n">
        <v>1350</v>
      </c>
      <c r="F328" s="3" t="n">
        <v>606</v>
      </c>
      <c r="G328" s="3" t="n">
        <v>14</v>
      </c>
      <c r="H328" s="8" t="n">
        <f aca="false">(E328/1000)*(F328/1000)*(G328/1000)*7850</f>
        <v>89.90919</v>
      </c>
      <c r="I328" s="3" t="n">
        <v>2</v>
      </c>
      <c r="J328" s="9" t="n">
        <f aca="false">H328*I328</f>
        <v>179.81838</v>
      </c>
      <c r="K328" s="3"/>
    </row>
    <row r="329" customFormat="false" ht="19.5" hidden="false" customHeight="false" outlineLevel="0" collapsed="false">
      <c r="A329" s="3" t="s">
        <v>147</v>
      </c>
      <c r="B329" s="3" t="s">
        <v>148</v>
      </c>
      <c r="C329" s="3" t="s">
        <v>185</v>
      </c>
      <c r="D329" s="3" t="s">
        <v>9</v>
      </c>
      <c r="E329" s="3" t="n">
        <v>2057</v>
      </c>
      <c r="F329" s="3" t="n">
        <v>200</v>
      </c>
      <c r="G329" s="3" t="n">
        <v>16</v>
      </c>
      <c r="H329" s="8" t="n">
        <f aca="false">(E329/1000)*(F329/1000)*(G329/1000)*7850</f>
        <v>51.67184</v>
      </c>
      <c r="I329" s="3" t="n">
        <v>3</v>
      </c>
      <c r="J329" s="9" t="n">
        <f aca="false">H329*I329</f>
        <v>155.01552</v>
      </c>
      <c r="K329" s="3"/>
    </row>
    <row r="330" customFormat="false" ht="19.5" hidden="false" customHeight="false" outlineLevel="0" collapsed="false">
      <c r="A330" s="3" t="s">
        <v>147</v>
      </c>
      <c r="B330" s="3" t="s">
        <v>148</v>
      </c>
      <c r="C330" s="3" t="s">
        <v>186</v>
      </c>
      <c r="D330" s="3" t="s">
        <v>9</v>
      </c>
      <c r="E330" s="3" t="n">
        <v>1450</v>
      </c>
      <c r="F330" s="3" t="n">
        <v>1200</v>
      </c>
      <c r="G330" s="3" t="n">
        <v>16</v>
      </c>
      <c r="H330" s="8" t="n">
        <f aca="false">(E330/1000)*(F330/1000)*(G330/1000)*7850</f>
        <v>218.544</v>
      </c>
      <c r="I330" s="3" t="n">
        <v>3</v>
      </c>
      <c r="J330" s="9" t="n">
        <f aca="false">H330*I330</f>
        <v>655.632</v>
      </c>
      <c r="K330" s="3"/>
    </row>
    <row r="331" customFormat="false" ht="19.5" hidden="false" customHeight="false" outlineLevel="0" collapsed="false">
      <c r="A331" s="3" t="s">
        <v>147</v>
      </c>
      <c r="B331" s="3" t="s">
        <v>148</v>
      </c>
      <c r="C331" s="3" t="s">
        <v>187</v>
      </c>
      <c r="D331" s="3" t="s">
        <v>9</v>
      </c>
      <c r="E331" s="3" t="n">
        <v>1450</v>
      </c>
      <c r="F331" s="3" t="n">
        <v>1200</v>
      </c>
      <c r="G331" s="3" t="n">
        <v>16</v>
      </c>
      <c r="H331" s="8" t="n">
        <f aca="false">(E331/1000)*(F331/1000)*(G331/1000)*7850</f>
        <v>218.544</v>
      </c>
      <c r="I331" s="3" t="n">
        <v>2</v>
      </c>
      <c r="J331" s="9" t="n">
        <f aca="false">H331*I331</f>
        <v>437.088</v>
      </c>
      <c r="K331" s="3"/>
    </row>
    <row r="332" customFormat="false" ht="19.5" hidden="false" customHeight="false" outlineLevel="0" collapsed="false">
      <c r="A332" s="3" t="s">
        <v>147</v>
      </c>
      <c r="B332" s="3" t="s">
        <v>148</v>
      </c>
      <c r="C332" s="3" t="s">
        <v>193</v>
      </c>
      <c r="D332" s="3" t="s">
        <v>9</v>
      </c>
      <c r="E332" s="3" t="n">
        <v>1657</v>
      </c>
      <c r="F332" s="3" t="n">
        <v>200</v>
      </c>
      <c r="G332" s="3" t="n">
        <v>16</v>
      </c>
      <c r="H332" s="8" t="n">
        <f aca="false">(E332/1000)*(F332/1000)*(G332/1000)*7850</f>
        <v>41.62384</v>
      </c>
      <c r="I332" s="3" t="n">
        <v>3</v>
      </c>
      <c r="J332" s="9" t="n">
        <f aca="false">H332*I332</f>
        <v>124.87152</v>
      </c>
      <c r="K332" s="3"/>
    </row>
    <row r="333" customFormat="false" ht="19.5" hidden="false" customHeight="false" outlineLevel="0" collapsed="false">
      <c r="A333" s="3" t="s">
        <v>147</v>
      </c>
      <c r="B333" s="3" t="s">
        <v>148</v>
      </c>
      <c r="C333" s="3" t="s">
        <v>200</v>
      </c>
      <c r="D333" s="3" t="s">
        <v>9</v>
      </c>
      <c r="E333" s="3" t="n">
        <v>1000</v>
      </c>
      <c r="F333" s="3" t="n">
        <v>568</v>
      </c>
      <c r="G333" s="3" t="n">
        <v>32</v>
      </c>
      <c r="H333" s="8" t="n">
        <f aca="false">(E333/1000)*(F333/1000)*(G333/1000)*7850</f>
        <v>142.6816</v>
      </c>
      <c r="I333" s="3" t="n">
        <v>4</v>
      </c>
      <c r="J333" s="9" t="n">
        <f aca="false">H333*I333</f>
        <v>570.7264</v>
      </c>
      <c r="K333" s="3"/>
    </row>
    <row r="334" customFormat="false" ht="19.5" hidden="false" customHeight="false" outlineLevel="0" collapsed="false">
      <c r="A334" s="3" t="s">
        <v>147</v>
      </c>
      <c r="B334" s="3" t="s">
        <v>148</v>
      </c>
      <c r="C334" s="3" t="s">
        <v>198</v>
      </c>
      <c r="D334" s="3" t="s">
        <v>9</v>
      </c>
      <c r="E334" s="3" t="n">
        <v>1350</v>
      </c>
      <c r="F334" s="3" t="n">
        <v>570</v>
      </c>
      <c r="G334" s="3" t="n">
        <v>32</v>
      </c>
      <c r="H334" s="8" t="n">
        <f aca="false">(E334/1000)*(F334/1000)*(G334/1000)*7850</f>
        <v>193.2984</v>
      </c>
      <c r="I334" s="3" t="n">
        <v>7</v>
      </c>
      <c r="J334" s="9" t="n">
        <f aca="false">H334*I334</f>
        <v>1353.0888</v>
      </c>
      <c r="K334" s="3"/>
    </row>
    <row r="335" customFormat="false" ht="19.5" hidden="false" customHeight="false" outlineLevel="0" collapsed="false">
      <c r="A335" s="3" t="s">
        <v>149</v>
      </c>
      <c r="B335" s="3" t="s">
        <v>150</v>
      </c>
      <c r="C335" s="3" t="s">
        <v>184</v>
      </c>
      <c r="D335" s="3" t="s">
        <v>8</v>
      </c>
      <c r="E335" s="3" t="n">
        <v>2057</v>
      </c>
      <c r="F335" s="3" t="n">
        <v>200</v>
      </c>
      <c r="G335" s="3" t="n">
        <v>16</v>
      </c>
      <c r="H335" s="8" t="n">
        <f aca="false">(E335/1000)*(F335/1000)*(G335/1000)*7850</f>
        <v>51.67184</v>
      </c>
      <c r="I335" s="3" t="n">
        <v>3</v>
      </c>
      <c r="J335" s="9" t="n">
        <f aca="false">H335*I335</f>
        <v>155.01552</v>
      </c>
      <c r="K335" s="3"/>
    </row>
    <row r="336" customFormat="false" ht="19.5" hidden="false" customHeight="false" outlineLevel="0" collapsed="false">
      <c r="A336" s="3" t="s">
        <v>149</v>
      </c>
      <c r="B336" s="3" t="s">
        <v>150</v>
      </c>
      <c r="C336" s="3" t="s">
        <v>184</v>
      </c>
      <c r="D336" s="3" t="s">
        <v>9</v>
      </c>
      <c r="E336" s="3" t="n">
        <v>7900</v>
      </c>
      <c r="F336" s="3" t="n">
        <v>320</v>
      </c>
      <c r="G336" s="3" t="n">
        <v>32</v>
      </c>
      <c r="H336" s="8" t="n">
        <f aca="false">(E336/1000)*(F336/1000)*(G336/1000)*7850</f>
        <v>635.0336</v>
      </c>
      <c r="I336" s="3" t="n">
        <v>6</v>
      </c>
      <c r="J336" s="9" t="n">
        <f aca="false">H336*I336</f>
        <v>3810.2016</v>
      </c>
      <c r="K336" s="3"/>
    </row>
    <row r="337" customFormat="false" ht="19.5" hidden="false" customHeight="false" outlineLevel="0" collapsed="false">
      <c r="A337" s="3" t="s">
        <v>149</v>
      </c>
      <c r="B337" s="3" t="s">
        <v>150</v>
      </c>
      <c r="C337" s="3" t="s">
        <v>184</v>
      </c>
      <c r="D337" s="3" t="s">
        <v>9</v>
      </c>
      <c r="E337" s="3" t="n">
        <v>7901</v>
      </c>
      <c r="F337" s="3" t="n">
        <v>1850</v>
      </c>
      <c r="G337" s="3" t="n">
        <v>32</v>
      </c>
      <c r="H337" s="8" t="n">
        <f aca="false">(E337/1000)*(F337/1000)*(G337/1000)*7850</f>
        <v>3671.75272</v>
      </c>
      <c r="I337" s="3" t="n">
        <v>1</v>
      </c>
      <c r="J337" s="9" t="n">
        <f aca="false">H337*I337</f>
        <v>3671.75272</v>
      </c>
      <c r="K337" s="3"/>
    </row>
    <row r="338" customFormat="false" ht="19.5" hidden="false" customHeight="false" outlineLevel="0" collapsed="false">
      <c r="A338" s="3" t="s">
        <v>149</v>
      </c>
      <c r="B338" s="3" t="s">
        <v>150</v>
      </c>
      <c r="C338" s="3" t="s">
        <v>186</v>
      </c>
      <c r="D338" s="3" t="s">
        <v>8</v>
      </c>
      <c r="E338" s="3" t="n">
        <v>1450</v>
      </c>
      <c r="F338" s="3" t="n">
        <v>1200</v>
      </c>
      <c r="G338" s="3" t="n">
        <v>16</v>
      </c>
      <c r="H338" s="8" t="n">
        <f aca="false">(E338/1000)*(F338/1000)*(G338/1000)*7850</f>
        <v>218.544</v>
      </c>
      <c r="I338" s="3" t="n">
        <v>3</v>
      </c>
      <c r="J338" s="9" t="n">
        <f aca="false">H338*I338</f>
        <v>655.632</v>
      </c>
      <c r="K338" s="3"/>
    </row>
    <row r="339" customFormat="false" ht="19.5" hidden="false" customHeight="false" outlineLevel="0" collapsed="false">
      <c r="A339" s="3" t="s">
        <v>149</v>
      </c>
      <c r="B339" s="3" t="s">
        <v>150</v>
      </c>
      <c r="C339" s="3" t="s">
        <v>187</v>
      </c>
      <c r="D339" s="3" t="s">
        <v>8</v>
      </c>
      <c r="E339" s="3" t="n">
        <v>1450</v>
      </c>
      <c r="F339" s="3" t="n">
        <v>1200</v>
      </c>
      <c r="G339" s="3" t="n">
        <v>16</v>
      </c>
      <c r="H339" s="8" t="n">
        <f aca="false">(E339/1000)*(F339/1000)*(G339/1000)*7850</f>
        <v>218.544</v>
      </c>
      <c r="I339" s="3" t="n">
        <v>2</v>
      </c>
      <c r="J339" s="9" t="n">
        <f aca="false">H339*I339</f>
        <v>437.088</v>
      </c>
      <c r="K339" s="3"/>
    </row>
    <row r="340" customFormat="false" ht="19.5" hidden="false" customHeight="false" outlineLevel="0" collapsed="false">
      <c r="A340" s="3" t="s">
        <v>149</v>
      </c>
      <c r="B340" s="3" t="s">
        <v>150</v>
      </c>
      <c r="C340" s="3" t="s">
        <v>190</v>
      </c>
      <c r="D340" s="3" t="s">
        <v>8</v>
      </c>
      <c r="E340" s="3" t="n">
        <v>460</v>
      </c>
      <c r="F340" s="3" t="n">
        <v>1000</v>
      </c>
      <c r="G340" s="3" t="n">
        <v>24</v>
      </c>
      <c r="H340" s="8" t="n">
        <f aca="false">(E340/1000)*(F340/1000)*(G340/1000)*7850</f>
        <v>86.664</v>
      </c>
      <c r="I340" s="3" t="n">
        <v>3</v>
      </c>
      <c r="J340" s="9" t="n">
        <f aca="false">H340*I340</f>
        <v>259.992</v>
      </c>
      <c r="K340" s="3"/>
    </row>
    <row r="341" customFormat="false" ht="19.5" hidden="false" customHeight="false" outlineLevel="0" collapsed="false">
      <c r="A341" s="3" t="s">
        <v>149</v>
      </c>
      <c r="B341" s="3" t="s">
        <v>150</v>
      </c>
      <c r="C341" s="3" t="s">
        <v>191</v>
      </c>
      <c r="D341" s="3" t="s">
        <v>8</v>
      </c>
      <c r="E341" s="3" t="n">
        <v>470</v>
      </c>
      <c r="F341" s="3" t="n">
        <v>1000</v>
      </c>
      <c r="G341" s="3" t="n">
        <v>24</v>
      </c>
      <c r="H341" s="8" t="n">
        <f aca="false">(E341/1000)*(F341/1000)*(G341/1000)*7850</f>
        <v>88.548</v>
      </c>
      <c r="I341" s="3" t="n">
        <v>2</v>
      </c>
      <c r="J341" s="9" t="n">
        <f aca="false">H341*I341</f>
        <v>177.096</v>
      </c>
      <c r="K341" s="3"/>
    </row>
    <row r="342" customFormat="false" ht="19.5" hidden="false" customHeight="false" outlineLevel="0" collapsed="false">
      <c r="A342" s="3" t="s">
        <v>149</v>
      </c>
      <c r="B342" s="3" t="s">
        <v>150</v>
      </c>
      <c r="C342" s="3" t="s">
        <v>192</v>
      </c>
      <c r="D342" s="3" t="s">
        <v>8</v>
      </c>
      <c r="E342" s="3" t="n">
        <v>1450</v>
      </c>
      <c r="F342" s="3" t="n">
        <v>606</v>
      </c>
      <c r="G342" s="3" t="n">
        <v>14</v>
      </c>
      <c r="H342" s="8" t="n">
        <f aca="false">(E342/1000)*(F342/1000)*(G342/1000)*7850</f>
        <v>96.56913</v>
      </c>
      <c r="I342" s="3" t="n">
        <v>3</v>
      </c>
      <c r="J342" s="9" t="n">
        <f aca="false">H342*I342</f>
        <v>289.70739</v>
      </c>
      <c r="K342" s="3"/>
    </row>
    <row r="343" customFormat="false" ht="19.5" hidden="false" customHeight="false" outlineLevel="0" collapsed="false">
      <c r="A343" s="3" t="s">
        <v>149</v>
      </c>
      <c r="B343" s="3" t="s">
        <v>150</v>
      </c>
      <c r="C343" s="3" t="s">
        <v>194</v>
      </c>
      <c r="D343" s="3" t="s">
        <v>8</v>
      </c>
      <c r="E343" s="3" t="n">
        <v>1450</v>
      </c>
      <c r="F343" s="3" t="n">
        <v>618</v>
      </c>
      <c r="G343" s="3" t="n">
        <v>14</v>
      </c>
      <c r="H343" s="8" t="n">
        <f aca="false">(E343/1000)*(F343/1000)*(G343/1000)*7850</f>
        <v>98.48139</v>
      </c>
      <c r="I343" s="3" t="n">
        <v>2</v>
      </c>
      <c r="J343" s="9" t="n">
        <f aca="false">H343*I343</f>
        <v>196.96278</v>
      </c>
      <c r="K343" s="3"/>
    </row>
    <row r="344" customFormat="false" ht="19.5" hidden="false" customHeight="false" outlineLevel="0" collapsed="false">
      <c r="A344" s="3" t="s">
        <v>151</v>
      </c>
      <c r="B344" s="3" t="s">
        <v>152</v>
      </c>
      <c r="C344" s="3" t="s">
        <v>183</v>
      </c>
      <c r="D344" s="3" t="s">
        <v>8</v>
      </c>
      <c r="E344" s="3" t="n">
        <v>1580</v>
      </c>
      <c r="F344" s="3" t="n">
        <v>1200</v>
      </c>
      <c r="G344" s="3" t="n">
        <v>16</v>
      </c>
      <c r="H344" s="8" t="n">
        <f aca="false">(E344/1000)*(F344/1000)*(G344/1000)*7850</f>
        <v>238.1376</v>
      </c>
      <c r="I344" s="3" t="n">
        <v>2</v>
      </c>
      <c r="J344" s="9" t="n">
        <f aca="false">H344*I344</f>
        <v>476.2752</v>
      </c>
      <c r="K344" s="3"/>
    </row>
    <row r="345" customFormat="false" ht="19.5" hidden="false" customHeight="false" outlineLevel="0" collapsed="false">
      <c r="A345" s="3" t="s">
        <v>151</v>
      </c>
      <c r="B345" s="3" t="s">
        <v>152</v>
      </c>
      <c r="C345" s="3" t="s">
        <v>184</v>
      </c>
      <c r="D345" s="3" t="s">
        <v>8</v>
      </c>
      <c r="E345" s="3" t="n">
        <v>1657</v>
      </c>
      <c r="F345" s="3" t="n">
        <v>200</v>
      </c>
      <c r="G345" s="3" t="n">
        <v>16</v>
      </c>
      <c r="H345" s="8" t="n">
        <f aca="false">(E345/1000)*(F345/1000)*(G345/1000)*7850</f>
        <v>41.62384</v>
      </c>
      <c r="I345" s="3" t="n">
        <v>3</v>
      </c>
      <c r="J345" s="9" t="n">
        <f aca="false">H345*I345</f>
        <v>124.87152</v>
      </c>
      <c r="K345" s="3"/>
    </row>
    <row r="346" customFormat="false" ht="19.5" hidden="false" customHeight="false" outlineLevel="0" collapsed="false">
      <c r="A346" s="3" t="s">
        <v>151</v>
      </c>
      <c r="B346" s="3" t="s">
        <v>152</v>
      </c>
      <c r="C346" s="3" t="s">
        <v>185</v>
      </c>
      <c r="D346" s="3" t="s">
        <v>8</v>
      </c>
      <c r="E346" s="3" t="n">
        <v>1782</v>
      </c>
      <c r="F346" s="3" t="n">
        <v>40</v>
      </c>
      <c r="G346" s="3" t="n">
        <v>4</v>
      </c>
      <c r="H346" s="8" t="n">
        <f aca="false">(E346/1000)*(F346/1000)*(G346/1000)*7850</f>
        <v>2.238192</v>
      </c>
      <c r="I346" s="3" t="n">
        <v>4</v>
      </c>
      <c r="J346" s="9" t="n">
        <f aca="false">H346*I346</f>
        <v>8.952768</v>
      </c>
      <c r="K346" s="3"/>
    </row>
    <row r="347" customFormat="false" ht="19.5" hidden="false" customHeight="false" outlineLevel="0" collapsed="false">
      <c r="A347" s="3" t="s">
        <v>151</v>
      </c>
      <c r="B347" s="3" t="s">
        <v>152</v>
      </c>
      <c r="C347" s="3" t="s">
        <v>185</v>
      </c>
      <c r="D347" s="3" t="s">
        <v>8</v>
      </c>
      <c r="E347" s="3" t="n">
        <v>600</v>
      </c>
      <c r="F347" s="3" t="n">
        <v>400</v>
      </c>
      <c r="G347" s="3" t="n">
        <v>16</v>
      </c>
      <c r="H347" s="8" t="n">
        <f aca="false">(E347/1000)*(F347/1000)*(G347/1000)*7850</f>
        <v>30.144</v>
      </c>
      <c r="I347" s="3" t="n">
        <v>4</v>
      </c>
      <c r="J347" s="9" t="n">
        <f aca="false">H347*I347</f>
        <v>120.576</v>
      </c>
      <c r="K347" s="3"/>
    </row>
    <row r="348" customFormat="false" ht="19.5" hidden="false" customHeight="false" outlineLevel="0" collapsed="false">
      <c r="A348" s="3" t="s">
        <v>151</v>
      </c>
      <c r="B348" s="3" t="s">
        <v>152</v>
      </c>
      <c r="C348" s="3" t="s">
        <v>185</v>
      </c>
      <c r="D348" s="3" t="s">
        <v>8</v>
      </c>
      <c r="E348" s="3" t="n">
        <v>7900</v>
      </c>
      <c r="F348" s="3" t="n">
        <v>240</v>
      </c>
      <c r="G348" s="3" t="n">
        <v>20</v>
      </c>
      <c r="H348" s="8" t="n">
        <f aca="false">(E348/1000)*(F348/1000)*(G348/1000)*7850</f>
        <v>297.672</v>
      </c>
      <c r="I348" s="3" t="n">
        <v>6</v>
      </c>
      <c r="J348" s="9" t="n">
        <f aca="false">H348*I348</f>
        <v>1786.032</v>
      </c>
      <c r="K348" s="3"/>
    </row>
    <row r="349" customFormat="false" ht="19.5" hidden="false" customHeight="false" outlineLevel="0" collapsed="false">
      <c r="A349" s="3" t="s">
        <v>151</v>
      </c>
      <c r="B349" s="3" t="s">
        <v>152</v>
      </c>
      <c r="C349" s="3" t="s">
        <v>185</v>
      </c>
      <c r="D349" s="3" t="s">
        <v>8</v>
      </c>
      <c r="E349" s="3" t="n">
        <v>7901</v>
      </c>
      <c r="F349" s="3" t="n">
        <v>1850</v>
      </c>
      <c r="G349" s="3" t="n">
        <v>24</v>
      </c>
      <c r="H349" s="8" t="n">
        <f aca="false">(E349/1000)*(F349/1000)*(G349/1000)*7850</f>
        <v>2753.81454</v>
      </c>
      <c r="I349" s="3" t="n">
        <v>1</v>
      </c>
      <c r="J349" s="9" t="n">
        <f aca="false">H349*I349</f>
        <v>2753.81454</v>
      </c>
      <c r="K349" s="3"/>
    </row>
    <row r="350" customFormat="false" ht="19.5" hidden="false" customHeight="false" outlineLevel="0" collapsed="false">
      <c r="A350" s="3" t="s">
        <v>151</v>
      </c>
      <c r="B350" s="3" t="s">
        <v>152</v>
      </c>
      <c r="C350" s="3" t="s">
        <v>185</v>
      </c>
      <c r="D350" s="3" t="s">
        <v>8</v>
      </c>
      <c r="E350" s="3" t="n">
        <v>7101</v>
      </c>
      <c r="F350" s="3" t="n">
        <v>1850</v>
      </c>
      <c r="G350" s="3" t="n">
        <v>24</v>
      </c>
      <c r="H350" s="8" t="n">
        <f aca="false">(E350/1000)*(F350/1000)*(G350/1000)*7850</f>
        <v>2474.98254</v>
      </c>
      <c r="I350" s="3" t="n">
        <v>1</v>
      </c>
      <c r="J350" s="9" t="n">
        <f aca="false">H350*I350</f>
        <v>2474.98254</v>
      </c>
      <c r="K350" s="3"/>
    </row>
    <row r="351" customFormat="false" ht="19.5" hidden="false" customHeight="false" outlineLevel="0" collapsed="false">
      <c r="A351" s="3" t="s">
        <v>151</v>
      </c>
      <c r="B351" s="3" t="s">
        <v>152</v>
      </c>
      <c r="C351" s="3" t="s">
        <v>185</v>
      </c>
      <c r="D351" s="3" t="s">
        <v>8</v>
      </c>
      <c r="E351" s="3" t="n">
        <v>9710</v>
      </c>
      <c r="F351" s="3" t="n">
        <v>1000</v>
      </c>
      <c r="G351" s="3" t="n">
        <v>24</v>
      </c>
      <c r="H351" s="8" t="n">
        <f aca="false">(E351/1000)*(F351/1000)*(G351/1000)*7850</f>
        <v>1829.364</v>
      </c>
      <c r="I351" s="3" t="n">
        <v>1</v>
      </c>
      <c r="J351" s="9" t="n">
        <f aca="false">H351*I351</f>
        <v>1829.364</v>
      </c>
      <c r="K351" s="3"/>
    </row>
    <row r="352" customFormat="false" ht="19.5" hidden="false" customHeight="false" outlineLevel="0" collapsed="false">
      <c r="A352" s="3" t="s">
        <v>151</v>
      </c>
      <c r="B352" s="3" t="s">
        <v>152</v>
      </c>
      <c r="C352" s="3" t="s">
        <v>185</v>
      </c>
      <c r="D352" s="3" t="s">
        <v>8</v>
      </c>
      <c r="E352" s="3" t="n">
        <v>20720</v>
      </c>
      <c r="F352" s="3" t="n">
        <v>1000</v>
      </c>
      <c r="G352" s="3" t="n">
        <v>44</v>
      </c>
      <c r="H352" s="8" t="n">
        <f aca="false">(E352/1000)*(F352/1000)*(G352/1000)*7850</f>
        <v>7156.688</v>
      </c>
      <c r="I352" s="3" t="n">
        <v>2</v>
      </c>
      <c r="J352" s="9" t="n">
        <f aca="false">H352*I352</f>
        <v>14313.376</v>
      </c>
      <c r="K352" s="3"/>
    </row>
    <row r="353" customFormat="false" ht="19.5" hidden="false" customHeight="false" outlineLevel="0" collapsed="false">
      <c r="A353" s="3" t="s">
        <v>151</v>
      </c>
      <c r="B353" s="3" t="s">
        <v>152</v>
      </c>
      <c r="C353" s="3" t="s">
        <v>185</v>
      </c>
      <c r="D353" s="3" t="s">
        <v>8</v>
      </c>
      <c r="E353" s="3" t="n">
        <v>7301</v>
      </c>
      <c r="F353" s="3" t="n">
        <v>1474</v>
      </c>
      <c r="G353" s="3" t="n">
        <v>32</v>
      </c>
      <c r="H353" s="8" t="n">
        <f aca="false">(E353/1000)*(F353/1000)*(G353/1000)*7850</f>
        <v>2703.3325088</v>
      </c>
      <c r="I353" s="3" t="n">
        <v>2</v>
      </c>
      <c r="J353" s="9" t="n">
        <f aca="false">H353*I353</f>
        <v>5406.6650176</v>
      </c>
      <c r="K353" s="3"/>
    </row>
    <row r="354" customFormat="false" ht="19.5" hidden="false" customHeight="false" outlineLevel="0" collapsed="false">
      <c r="A354" s="3" t="s">
        <v>151</v>
      </c>
      <c r="B354" s="3" t="s">
        <v>152</v>
      </c>
      <c r="C354" s="3" t="s">
        <v>187</v>
      </c>
      <c r="D354" s="3" t="s">
        <v>8</v>
      </c>
      <c r="E354" s="3" t="n">
        <v>1450</v>
      </c>
      <c r="F354" s="3" t="n">
        <v>1200</v>
      </c>
      <c r="G354" s="3" t="n">
        <v>16</v>
      </c>
      <c r="H354" s="8" t="n">
        <f aca="false">(E354/1000)*(F354/1000)*(G354/1000)*7850</f>
        <v>218.544</v>
      </c>
      <c r="I354" s="3" t="n">
        <v>2</v>
      </c>
      <c r="J354" s="9" t="n">
        <f aca="false">H354*I354</f>
        <v>437.088</v>
      </c>
      <c r="K354" s="3"/>
    </row>
    <row r="355" customFormat="false" ht="19.5" hidden="false" customHeight="false" outlineLevel="0" collapsed="false">
      <c r="A355" s="3" t="s">
        <v>151</v>
      </c>
      <c r="B355" s="3" t="s">
        <v>152</v>
      </c>
      <c r="C355" s="3" t="s">
        <v>188</v>
      </c>
      <c r="D355" s="3" t="s">
        <v>8</v>
      </c>
      <c r="E355" s="3" t="n">
        <v>1580</v>
      </c>
      <c r="F355" s="3" t="n">
        <v>610</v>
      </c>
      <c r="G355" s="3" t="n">
        <v>14</v>
      </c>
      <c r="H355" s="8" t="n">
        <f aca="false">(E355/1000)*(F355/1000)*(G355/1000)*7850</f>
        <v>105.92162</v>
      </c>
      <c r="I355" s="3" t="n">
        <v>3</v>
      </c>
      <c r="J355" s="9" t="n">
        <f aca="false">H355*I355</f>
        <v>317.76486</v>
      </c>
      <c r="K355" s="3"/>
    </row>
    <row r="356" customFormat="false" ht="19.5" hidden="false" customHeight="false" outlineLevel="0" collapsed="false">
      <c r="A356" s="3" t="s">
        <v>151</v>
      </c>
      <c r="B356" s="3" t="s">
        <v>152</v>
      </c>
      <c r="C356" s="3" t="s">
        <v>189</v>
      </c>
      <c r="D356" s="3" t="s">
        <v>8</v>
      </c>
      <c r="E356" s="3" t="n">
        <v>1576</v>
      </c>
      <c r="F356" s="3" t="n">
        <v>618</v>
      </c>
      <c r="G356" s="3" t="n">
        <v>14</v>
      </c>
      <c r="H356" s="8" t="n">
        <f aca="false">(E356/1000)*(F356/1000)*(G356/1000)*7850</f>
        <v>107.0390832</v>
      </c>
      <c r="I356" s="3" t="n">
        <v>2</v>
      </c>
      <c r="J356" s="9" t="n">
        <f aca="false">H356*I356</f>
        <v>214.0781664</v>
      </c>
      <c r="K356" s="3"/>
    </row>
    <row r="357" customFormat="false" ht="19.5" hidden="false" customHeight="false" outlineLevel="0" collapsed="false">
      <c r="A357" s="3" t="s">
        <v>151</v>
      </c>
      <c r="B357" s="3" t="s">
        <v>152</v>
      </c>
      <c r="C357" s="3" t="s">
        <v>190</v>
      </c>
      <c r="D357" s="3" t="s">
        <v>8</v>
      </c>
      <c r="E357" s="3" t="n">
        <v>460</v>
      </c>
      <c r="F357" s="3" t="n">
        <v>1000</v>
      </c>
      <c r="G357" s="3" t="n">
        <v>24</v>
      </c>
      <c r="H357" s="8" t="n">
        <f aca="false">(E357/1000)*(F357/1000)*(G357/1000)*7850</f>
        <v>86.664</v>
      </c>
      <c r="I357" s="3" t="n">
        <v>3</v>
      </c>
      <c r="J357" s="9" t="n">
        <f aca="false">H357*I357</f>
        <v>259.992</v>
      </c>
      <c r="K357" s="3"/>
    </row>
    <row r="358" customFormat="false" ht="19.5" hidden="false" customHeight="false" outlineLevel="0" collapsed="false">
      <c r="A358" s="3" t="s">
        <v>151</v>
      </c>
      <c r="B358" s="3" t="s">
        <v>152</v>
      </c>
      <c r="C358" s="3" t="s">
        <v>191</v>
      </c>
      <c r="D358" s="3" t="s">
        <v>8</v>
      </c>
      <c r="E358" s="3" t="n">
        <v>470</v>
      </c>
      <c r="F358" s="3" t="n">
        <v>1000</v>
      </c>
      <c r="G358" s="3" t="n">
        <v>24</v>
      </c>
      <c r="H358" s="8" t="n">
        <f aca="false">(E358/1000)*(F358/1000)*(G358/1000)*7850</f>
        <v>88.548</v>
      </c>
      <c r="I358" s="3" t="n">
        <v>2</v>
      </c>
      <c r="J358" s="9" t="n">
        <f aca="false">H358*I358</f>
        <v>177.096</v>
      </c>
      <c r="K358" s="3"/>
    </row>
    <row r="359" customFormat="false" ht="19.5" hidden="false" customHeight="false" outlineLevel="0" collapsed="false">
      <c r="A359" s="3" t="s">
        <v>151</v>
      </c>
      <c r="B359" s="3" t="s">
        <v>152</v>
      </c>
      <c r="C359" s="3" t="s">
        <v>192</v>
      </c>
      <c r="D359" s="3" t="s">
        <v>8</v>
      </c>
      <c r="E359" s="3" t="n">
        <v>1450</v>
      </c>
      <c r="F359" s="3" t="n">
        <v>606</v>
      </c>
      <c r="G359" s="3" t="n">
        <v>14</v>
      </c>
      <c r="H359" s="8" t="n">
        <f aca="false">(E359/1000)*(F359/1000)*(G359/1000)*7850</f>
        <v>96.56913</v>
      </c>
      <c r="I359" s="3" t="n">
        <v>3</v>
      </c>
      <c r="J359" s="9" t="n">
        <f aca="false">H359*I359</f>
        <v>289.70739</v>
      </c>
      <c r="K359" s="3"/>
    </row>
    <row r="360" customFormat="false" ht="19.5" hidden="false" customHeight="false" outlineLevel="0" collapsed="false">
      <c r="A360" s="3" t="s">
        <v>153</v>
      </c>
      <c r="B360" s="3" t="s">
        <v>154</v>
      </c>
      <c r="C360" s="3" t="s">
        <v>182</v>
      </c>
      <c r="D360" s="3" t="s">
        <v>8</v>
      </c>
      <c r="E360" s="3" t="n">
        <v>1580</v>
      </c>
      <c r="F360" s="3" t="n">
        <v>1200</v>
      </c>
      <c r="G360" s="3" t="n">
        <v>16</v>
      </c>
      <c r="H360" s="8" t="n">
        <f aca="false">(E360/1000)*(F360/1000)*(G360/1000)*7850</f>
        <v>238.1376</v>
      </c>
      <c r="I360" s="3" t="n">
        <v>3</v>
      </c>
      <c r="J360" s="9" t="n">
        <f aca="false">H360*I360</f>
        <v>714.4128</v>
      </c>
      <c r="K360" s="3"/>
    </row>
    <row r="361" customFormat="false" ht="19.5" hidden="false" customHeight="false" outlineLevel="0" collapsed="false">
      <c r="A361" s="3" t="s">
        <v>153</v>
      </c>
      <c r="B361" s="3" t="s">
        <v>154</v>
      </c>
      <c r="C361" s="3" t="s">
        <v>185</v>
      </c>
      <c r="D361" s="3" t="s">
        <v>8</v>
      </c>
      <c r="E361" s="3" t="n">
        <v>1782</v>
      </c>
      <c r="F361" s="3" t="n">
        <v>40</v>
      </c>
      <c r="G361" s="3" t="n">
        <v>4</v>
      </c>
      <c r="H361" s="8" t="n">
        <f aca="false">(E361/1000)*(F361/1000)*(G361/1000)*7850</f>
        <v>2.238192</v>
      </c>
      <c r="I361" s="3" t="n">
        <v>4</v>
      </c>
      <c r="J361" s="9" t="n">
        <f aca="false">H361*I361</f>
        <v>8.952768</v>
      </c>
      <c r="K361" s="3"/>
    </row>
    <row r="362" customFormat="false" ht="19.5" hidden="false" customHeight="false" outlineLevel="0" collapsed="false">
      <c r="A362" s="3" t="s">
        <v>153</v>
      </c>
      <c r="B362" s="3" t="s">
        <v>154</v>
      </c>
      <c r="C362" s="3" t="s">
        <v>185</v>
      </c>
      <c r="D362" s="3" t="s">
        <v>8</v>
      </c>
      <c r="E362" s="3" t="n">
        <v>600</v>
      </c>
      <c r="F362" s="3" t="n">
        <v>400</v>
      </c>
      <c r="G362" s="3" t="n">
        <v>16</v>
      </c>
      <c r="H362" s="8" t="n">
        <f aca="false">(E362/1000)*(F362/1000)*(G362/1000)*7850</f>
        <v>30.144</v>
      </c>
      <c r="I362" s="3" t="n">
        <v>4</v>
      </c>
      <c r="J362" s="9" t="n">
        <f aca="false">H362*I362</f>
        <v>120.576</v>
      </c>
      <c r="K362" s="3"/>
    </row>
    <row r="363" customFormat="false" ht="19.5" hidden="false" customHeight="false" outlineLevel="0" collapsed="false">
      <c r="A363" s="3" t="s">
        <v>153</v>
      </c>
      <c r="B363" s="3" t="s">
        <v>154</v>
      </c>
      <c r="C363" s="3" t="s">
        <v>185</v>
      </c>
      <c r="D363" s="3" t="s">
        <v>8</v>
      </c>
      <c r="E363" s="3" t="n">
        <v>7900</v>
      </c>
      <c r="F363" s="3" t="n">
        <v>240</v>
      </c>
      <c r="G363" s="3" t="n">
        <v>20</v>
      </c>
      <c r="H363" s="8" t="n">
        <f aca="false">(E363/1000)*(F363/1000)*(G363/1000)*7850</f>
        <v>297.672</v>
      </c>
      <c r="I363" s="3" t="n">
        <v>6</v>
      </c>
      <c r="J363" s="9" t="n">
        <f aca="false">H363*I363</f>
        <v>1786.032</v>
      </c>
      <c r="K363" s="3"/>
    </row>
    <row r="364" customFormat="false" ht="19.5" hidden="false" customHeight="false" outlineLevel="0" collapsed="false">
      <c r="A364" s="3" t="s">
        <v>153</v>
      </c>
      <c r="B364" s="3" t="s">
        <v>154</v>
      </c>
      <c r="C364" s="3" t="s">
        <v>185</v>
      </c>
      <c r="D364" s="3" t="s">
        <v>8</v>
      </c>
      <c r="E364" s="3" t="n">
        <v>7100</v>
      </c>
      <c r="F364" s="3" t="n">
        <v>240</v>
      </c>
      <c r="G364" s="3" t="n">
        <v>20</v>
      </c>
      <c r="H364" s="8" t="n">
        <f aca="false">(E364/1000)*(F364/1000)*(G364/1000)*7850</f>
        <v>267.528</v>
      </c>
      <c r="I364" s="3" t="n">
        <v>6</v>
      </c>
      <c r="J364" s="9" t="n">
        <f aca="false">H364*I364</f>
        <v>1605.168</v>
      </c>
      <c r="K364" s="3"/>
    </row>
    <row r="365" customFormat="false" ht="19.5" hidden="false" customHeight="false" outlineLevel="0" collapsed="false">
      <c r="A365" s="3" t="s">
        <v>153</v>
      </c>
      <c r="B365" s="3" t="s">
        <v>154</v>
      </c>
      <c r="C365" s="3" t="s">
        <v>185</v>
      </c>
      <c r="D365" s="3" t="s">
        <v>8</v>
      </c>
      <c r="E365" s="3" t="n">
        <v>7901</v>
      </c>
      <c r="F365" s="3" t="n">
        <v>1850</v>
      </c>
      <c r="G365" s="3" t="n">
        <v>24</v>
      </c>
      <c r="H365" s="8" t="n">
        <f aca="false">(E365/1000)*(F365/1000)*(G365/1000)*7850</f>
        <v>2753.81454</v>
      </c>
      <c r="I365" s="3" t="n">
        <v>1</v>
      </c>
      <c r="J365" s="9" t="n">
        <f aca="false">H365*I365</f>
        <v>2753.81454</v>
      </c>
      <c r="K365" s="3"/>
    </row>
    <row r="366" customFormat="false" ht="19.5" hidden="false" customHeight="false" outlineLevel="0" collapsed="false">
      <c r="A366" s="3" t="s">
        <v>153</v>
      </c>
      <c r="B366" s="3" t="s">
        <v>154</v>
      </c>
      <c r="C366" s="3" t="s">
        <v>186</v>
      </c>
      <c r="D366" s="3" t="s">
        <v>8</v>
      </c>
      <c r="E366" s="3" t="n">
        <v>1450</v>
      </c>
      <c r="F366" s="3" t="n">
        <v>1200</v>
      </c>
      <c r="G366" s="3" t="n">
        <v>16</v>
      </c>
      <c r="H366" s="8" t="n">
        <f aca="false">(E366/1000)*(F366/1000)*(G366/1000)*7850</f>
        <v>218.544</v>
      </c>
      <c r="I366" s="3" t="n">
        <v>3</v>
      </c>
      <c r="J366" s="9" t="n">
        <f aca="false">H366*I366</f>
        <v>655.632</v>
      </c>
      <c r="K366" s="3"/>
    </row>
    <row r="367" customFormat="false" ht="19.5" hidden="false" customHeight="false" outlineLevel="0" collapsed="false">
      <c r="A367" s="3" t="s">
        <v>153</v>
      </c>
      <c r="B367" s="3" t="s">
        <v>154</v>
      </c>
      <c r="C367" s="3" t="s">
        <v>187</v>
      </c>
      <c r="D367" s="3" t="s">
        <v>8</v>
      </c>
      <c r="E367" s="3" t="n">
        <v>1450</v>
      </c>
      <c r="F367" s="3" t="n">
        <v>1200</v>
      </c>
      <c r="G367" s="3" t="n">
        <v>16</v>
      </c>
      <c r="H367" s="8" t="n">
        <f aca="false">(E367/1000)*(F367/1000)*(G367/1000)*7850</f>
        <v>218.544</v>
      </c>
      <c r="I367" s="3" t="n">
        <v>2</v>
      </c>
      <c r="J367" s="9" t="n">
        <f aca="false">H367*I367</f>
        <v>437.088</v>
      </c>
      <c r="K367" s="3"/>
    </row>
    <row r="368" customFormat="false" ht="19.5" hidden="false" customHeight="false" outlineLevel="0" collapsed="false">
      <c r="A368" s="3" t="s">
        <v>153</v>
      </c>
      <c r="B368" s="3" t="s">
        <v>154</v>
      </c>
      <c r="C368" s="3" t="s">
        <v>193</v>
      </c>
      <c r="D368" s="3" t="s">
        <v>8</v>
      </c>
      <c r="E368" s="3" t="n">
        <v>1657</v>
      </c>
      <c r="F368" s="3" t="n">
        <v>200</v>
      </c>
      <c r="G368" s="3" t="n">
        <v>16</v>
      </c>
      <c r="H368" s="8" t="n">
        <f aca="false">(E368/1000)*(F368/1000)*(G368/1000)*7850</f>
        <v>41.62384</v>
      </c>
      <c r="I368" s="3" t="n">
        <v>3</v>
      </c>
      <c r="J368" s="9" t="n">
        <f aca="false">H368*I368</f>
        <v>124.87152</v>
      </c>
      <c r="K368" s="3"/>
    </row>
    <row r="369" customFormat="false" ht="19.5" hidden="false" customHeight="false" outlineLevel="0" collapsed="false">
      <c r="A369" s="3" t="s">
        <v>155</v>
      </c>
      <c r="B369" s="3" t="s">
        <v>156</v>
      </c>
      <c r="C369" s="3" t="s">
        <v>182</v>
      </c>
      <c r="D369" s="3" t="s">
        <v>8</v>
      </c>
      <c r="E369" s="3" t="n">
        <v>1580</v>
      </c>
      <c r="F369" s="3" t="n">
        <v>1200</v>
      </c>
      <c r="G369" s="3" t="n">
        <v>16</v>
      </c>
      <c r="H369" s="8" t="n">
        <f aca="false">(E369/1000)*(F369/1000)*(G369/1000)*7850</f>
        <v>238.1376</v>
      </c>
      <c r="I369" s="3" t="n">
        <v>3</v>
      </c>
      <c r="J369" s="9" t="n">
        <f aca="false">H369*I369</f>
        <v>714.4128</v>
      </c>
      <c r="K369" s="3"/>
    </row>
    <row r="370" customFormat="false" ht="19.5" hidden="false" customHeight="false" outlineLevel="0" collapsed="false">
      <c r="A370" s="3" t="s">
        <v>155</v>
      </c>
      <c r="B370" s="3" t="s">
        <v>156</v>
      </c>
      <c r="C370" s="3" t="s">
        <v>183</v>
      </c>
      <c r="D370" s="3" t="s">
        <v>8</v>
      </c>
      <c r="E370" s="3" t="n">
        <v>1580</v>
      </c>
      <c r="F370" s="3" t="n">
        <v>1200</v>
      </c>
      <c r="G370" s="3" t="n">
        <v>16</v>
      </c>
      <c r="H370" s="8" t="n">
        <f aca="false">(E370/1000)*(F370/1000)*(G370/1000)*7850</f>
        <v>238.1376</v>
      </c>
      <c r="I370" s="3" t="n">
        <v>2</v>
      </c>
      <c r="J370" s="9" t="n">
        <f aca="false">H370*I370</f>
        <v>476.2752</v>
      </c>
      <c r="K370" s="3"/>
    </row>
    <row r="371" customFormat="false" ht="19.5" hidden="false" customHeight="false" outlineLevel="0" collapsed="false">
      <c r="A371" s="3" t="s">
        <v>155</v>
      </c>
      <c r="B371" s="3" t="s">
        <v>156</v>
      </c>
      <c r="C371" s="3" t="s">
        <v>184</v>
      </c>
      <c r="D371" s="3" t="s">
        <v>8</v>
      </c>
      <c r="E371" s="3" t="n">
        <v>1657</v>
      </c>
      <c r="F371" s="3" t="n">
        <v>200</v>
      </c>
      <c r="G371" s="3" t="n">
        <v>16</v>
      </c>
      <c r="H371" s="8" t="n">
        <f aca="false">(E371/1000)*(F371/1000)*(G371/1000)*7850</f>
        <v>41.62384</v>
      </c>
      <c r="I371" s="3" t="n">
        <v>3</v>
      </c>
      <c r="J371" s="9" t="n">
        <f aca="false">H371*I371</f>
        <v>124.87152</v>
      </c>
      <c r="K371" s="3"/>
    </row>
    <row r="372" customFormat="false" ht="19.5" hidden="false" customHeight="false" outlineLevel="0" collapsed="false">
      <c r="A372" s="3" t="s">
        <v>155</v>
      </c>
      <c r="B372" s="3" t="s">
        <v>156</v>
      </c>
      <c r="C372" s="3" t="s">
        <v>185</v>
      </c>
      <c r="D372" s="3" t="s">
        <v>8</v>
      </c>
      <c r="E372" s="3" t="n">
        <v>1782</v>
      </c>
      <c r="F372" s="3" t="n">
        <v>40</v>
      </c>
      <c r="G372" s="3" t="n">
        <v>4</v>
      </c>
      <c r="H372" s="8" t="n">
        <f aca="false">(E372/1000)*(F372/1000)*(G372/1000)*7850</f>
        <v>2.238192</v>
      </c>
      <c r="I372" s="3" t="n">
        <v>4</v>
      </c>
      <c r="J372" s="9" t="n">
        <f aca="false">H372*I372</f>
        <v>8.952768</v>
      </c>
      <c r="K372" s="3"/>
    </row>
    <row r="373" customFormat="false" ht="19.5" hidden="false" customHeight="false" outlineLevel="0" collapsed="false">
      <c r="A373" s="3" t="s">
        <v>155</v>
      </c>
      <c r="B373" s="3" t="s">
        <v>156</v>
      </c>
      <c r="C373" s="3" t="s">
        <v>185</v>
      </c>
      <c r="D373" s="3" t="s">
        <v>8</v>
      </c>
      <c r="E373" s="3" t="n">
        <v>600</v>
      </c>
      <c r="F373" s="3" t="n">
        <v>400</v>
      </c>
      <c r="G373" s="3" t="n">
        <v>16</v>
      </c>
      <c r="H373" s="8" t="n">
        <f aca="false">(E373/1000)*(F373/1000)*(G373/1000)*7850</f>
        <v>30.144</v>
      </c>
      <c r="I373" s="3" t="n">
        <v>4</v>
      </c>
      <c r="J373" s="9" t="n">
        <f aca="false">H373*I373</f>
        <v>120.576</v>
      </c>
      <c r="K373" s="3"/>
    </row>
    <row r="374" customFormat="false" ht="19.5" hidden="false" customHeight="false" outlineLevel="0" collapsed="false">
      <c r="A374" s="3" t="s">
        <v>155</v>
      </c>
      <c r="B374" s="3" t="s">
        <v>156</v>
      </c>
      <c r="C374" s="3" t="s">
        <v>185</v>
      </c>
      <c r="D374" s="3" t="s">
        <v>8</v>
      </c>
      <c r="E374" s="3" t="n">
        <v>7900</v>
      </c>
      <c r="F374" s="3" t="n">
        <v>240</v>
      </c>
      <c r="G374" s="3" t="n">
        <v>20</v>
      </c>
      <c r="H374" s="8" t="n">
        <f aca="false">(E374/1000)*(F374/1000)*(G374/1000)*7850</f>
        <v>297.672</v>
      </c>
      <c r="I374" s="3" t="n">
        <v>6</v>
      </c>
      <c r="J374" s="9" t="n">
        <f aca="false">H374*I374</f>
        <v>1786.032</v>
      </c>
      <c r="K374" s="3"/>
    </row>
    <row r="375" customFormat="false" ht="19.5" hidden="false" customHeight="false" outlineLevel="0" collapsed="false">
      <c r="A375" s="3" t="s">
        <v>155</v>
      </c>
      <c r="B375" s="3" t="s">
        <v>156</v>
      </c>
      <c r="C375" s="3" t="s">
        <v>185</v>
      </c>
      <c r="D375" s="3" t="s">
        <v>8</v>
      </c>
      <c r="E375" s="3" t="n">
        <v>7100</v>
      </c>
      <c r="F375" s="3" t="n">
        <v>240</v>
      </c>
      <c r="G375" s="3" t="n">
        <v>20</v>
      </c>
      <c r="H375" s="8" t="n">
        <f aca="false">(E375/1000)*(F375/1000)*(G375/1000)*7850</f>
        <v>267.528</v>
      </c>
      <c r="I375" s="3" t="n">
        <v>6</v>
      </c>
      <c r="J375" s="9" t="n">
        <f aca="false">H375*I375</f>
        <v>1605.168</v>
      </c>
      <c r="K375" s="3"/>
    </row>
    <row r="376" customFormat="false" ht="19.5" hidden="false" customHeight="false" outlineLevel="0" collapsed="false">
      <c r="A376" s="3" t="s">
        <v>155</v>
      </c>
      <c r="B376" s="3" t="s">
        <v>156</v>
      </c>
      <c r="C376" s="3" t="s">
        <v>185</v>
      </c>
      <c r="D376" s="3" t="s">
        <v>8</v>
      </c>
      <c r="E376" s="3" t="n">
        <v>7901</v>
      </c>
      <c r="F376" s="3" t="n">
        <v>1850</v>
      </c>
      <c r="G376" s="3" t="n">
        <v>24</v>
      </c>
      <c r="H376" s="8" t="n">
        <f aca="false">(E376/1000)*(F376/1000)*(G376/1000)*7850</f>
        <v>2753.81454</v>
      </c>
      <c r="I376" s="3" t="n">
        <v>1</v>
      </c>
      <c r="J376" s="9" t="n">
        <f aca="false">H376*I376</f>
        <v>2753.81454</v>
      </c>
      <c r="K376" s="3"/>
    </row>
    <row r="377" customFormat="false" ht="19.5" hidden="false" customHeight="false" outlineLevel="0" collapsed="false">
      <c r="A377" s="3" t="s">
        <v>155</v>
      </c>
      <c r="B377" s="3" t="s">
        <v>156</v>
      </c>
      <c r="C377" s="3" t="s">
        <v>186</v>
      </c>
      <c r="D377" s="3" t="s">
        <v>8</v>
      </c>
      <c r="E377" s="3" t="n">
        <v>1450</v>
      </c>
      <c r="F377" s="3" t="n">
        <v>1200</v>
      </c>
      <c r="G377" s="3" t="n">
        <v>16</v>
      </c>
      <c r="H377" s="8" t="n">
        <f aca="false">(E377/1000)*(F377/1000)*(G377/1000)*7850</f>
        <v>218.544</v>
      </c>
      <c r="I377" s="3" t="n">
        <v>3</v>
      </c>
      <c r="J377" s="9" t="n">
        <f aca="false">H377*I377</f>
        <v>655.632</v>
      </c>
      <c r="K377" s="3"/>
    </row>
    <row r="378" customFormat="false" ht="19.5" hidden="false" customHeight="false" outlineLevel="0" collapsed="false">
      <c r="A378" s="3" t="s">
        <v>155</v>
      </c>
      <c r="B378" s="3" t="s">
        <v>156</v>
      </c>
      <c r="C378" s="3" t="s">
        <v>187</v>
      </c>
      <c r="D378" s="3" t="s">
        <v>8</v>
      </c>
      <c r="E378" s="3" t="n">
        <v>1450</v>
      </c>
      <c r="F378" s="3" t="n">
        <v>1200</v>
      </c>
      <c r="G378" s="3" t="n">
        <v>16</v>
      </c>
      <c r="H378" s="8" t="n">
        <f aca="false">(E378/1000)*(F378/1000)*(G378/1000)*7850</f>
        <v>218.544</v>
      </c>
      <c r="I378" s="3" t="n">
        <v>2</v>
      </c>
      <c r="J378" s="9" t="n">
        <f aca="false">H378*I378</f>
        <v>437.088</v>
      </c>
      <c r="K378" s="3"/>
    </row>
    <row r="379" customFormat="false" ht="19.5" hidden="false" customHeight="false" outlineLevel="0" collapsed="false">
      <c r="A379" s="3" t="s">
        <v>155</v>
      </c>
      <c r="B379" s="3" t="s">
        <v>156</v>
      </c>
      <c r="C379" s="3" t="s">
        <v>193</v>
      </c>
      <c r="D379" s="3" t="s">
        <v>8</v>
      </c>
      <c r="E379" s="3" t="n">
        <v>1657</v>
      </c>
      <c r="F379" s="3" t="n">
        <v>200</v>
      </c>
      <c r="G379" s="3" t="n">
        <v>16</v>
      </c>
      <c r="H379" s="8" t="n">
        <f aca="false">(E379/1000)*(F379/1000)*(G379/1000)*7850</f>
        <v>41.62384</v>
      </c>
      <c r="I379" s="3" t="n">
        <v>3</v>
      </c>
      <c r="J379" s="9" t="n">
        <f aca="false">H379*I379</f>
        <v>124.87152</v>
      </c>
      <c r="K379" s="3"/>
    </row>
    <row r="380" customFormat="false" ht="19.5" hidden="false" customHeight="false" outlineLevel="0" collapsed="false">
      <c r="A380" s="3" t="s">
        <v>155</v>
      </c>
      <c r="B380" s="3" t="s">
        <v>156</v>
      </c>
      <c r="C380" s="3" t="s">
        <v>193</v>
      </c>
      <c r="D380" s="3" t="s">
        <v>8</v>
      </c>
      <c r="E380" s="3" t="n">
        <v>7901</v>
      </c>
      <c r="F380" s="3" t="n">
        <v>240</v>
      </c>
      <c r="G380" s="3" t="n">
        <v>20</v>
      </c>
      <c r="H380" s="8" t="n">
        <f aca="false">(E380/1000)*(F380/1000)*(G380/1000)*7850</f>
        <v>297.70968</v>
      </c>
      <c r="I380" s="3" t="n">
        <v>4</v>
      </c>
      <c r="J380" s="9" t="n">
        <f aca="false">H380*I380</f>
        <v>1190.83872</v>
      </c>
      <c r="K380" s="3"/>
    </row>
    <row r="381" customFormat="false" ht="19.5" hidden="false" customHeight="false" outlineLevel="0" collapsed="false">
      <c r="A381" s="3" t="s">
        <v>155</v>
      </c>
      <c r="B381" s="3" t="s">
        <v>156</v>
      </c>
      <c r="C381" s="3" t="s">
        <v>193</v>
      </c>
      <c r="D381" s="3" t="s">
        <v>8</v>
      </c>
      <c r="E381" s="3" t="n">
        <v>7101</v>
      </c>
      <c r="F381" s="3" t="n">
        <v>240</v>
      </c>
      <c r="G381" s="3" t="n">
        <v>20</v>
      </c>
      <c r="H381" s="8" t="n">
        <f aca="false">(E381/1000)*(F381/1000)*(G381/1000)*7850</f>
        <v>267.56568</v>
      </c>
      <c r="I381" s="3" t="n">
        <v>4</v>
      </c>
      <c r="J381" s="9" t="n">
        <f aca="false">H381*I381</f>
        <v>1070.26272</v>
      </c>
      <c r="K381" s="3"/>
    </row>
    <row r="382" customFormat="false" ht="19.5" hidden="false" customHeight="false" outlineLevel="0" collapsed="false">
      <c r="A382" s="3" t="s">
        <v>157</v>
      </c>
      <c r="B382" s="3" t="s">
        <v>158</v>
      </c>
      <c r="C382" s="3" t="s">
        <v>182</v>
      </c>
      <c r="D382" s="3" t="s">
        <v>8</v>
      </c>
      <c r="E382" s="3" t="n">
        <v>1580</v>
      </c>
      <c r="F382" s="3" t="n">
        <v>1200</v>
      </c>
      <c r="G382" s="3" t="n">
        <v>16</v>
      </c>
      <c r="H382" s="8" t="n">
        <f aca="false">(E382/1000)*(F382/1000)*(G382/1000)*7850</f>
        <v>238.1376</v>
      </c>
      <c r="I382" s="3" t="n">
        <v>3</v>
      </c>
      <c r="J382" s="9" t="n">
        <f aca="false">H382*I382</f>
        <v>714.4128</v>
      </c>
      <c r="K382" s="3"/>
    </row>
    <row r="383" customFormat="false" ht="19.5" hidden="false" customHeight="false" outlineLevel="0" collapsed="false">
      <c r="A383" s="3" t="s">
        <v>157</v>
      </c>
      <c r="B383" s="3" t="s">
        <v>158</v>
      </c>
      <c r="C383" s="3" t="s">
        <v>183</v>
      </c>
      <c r="D383" s="3" t="s">
        <v>8</v>
      </c>
      <c r="E383" s="3" t="n">
        <v>1580</v>
      </c>
      <c r="F383" s="3" t="n">
        <v>1200</v>
      </c>
      <c r="G383" s="3" t="n">
        <v>16</v>
      </c>
      <c r="H383" s="8" t="n">
        <f aca="false">(E383/1000)*(F383/1000)*(G383/1000)*7850</f>
        <v>238.1376</v>
      </c>
      <c r="I383" s="3" t="n">
        <v>2</v>
      </c>
      <c r="J383" s="9" t="n">
        <f aca="false">H383*I383</f>
        <v>476.2752</v>
      </c>
      <c r="K383" s="3"/>
    </row>
    <row r="384" customFormat="false" ht="19.5" hidden="false" customHeight="false" outlineLevel="0" collapsed="false">
      <c r="A384" s="3" t="s">
        <v>157</v>
      </c>
      <c r="B384" s="3" t="s">
        <v>158</v>
      </c>
      <c r="C384" s="3" t="s">
        <v>184</v>
      </c>
      <c r="D384" s="3" t="s">
        <v>8</v>
      </c>
      <c r="E384" s="3" t="n">
        <v>1657</v>
      </c>
      <c r="F384" s="3" t="n">
        <v>200</v>
      </c>
      <c r="G384" s="3" t="n">
        <v>16</v>
      </c>
      <c r="H384" s="8" t="n">
        <f aca="false">(E384/1000)*(F384/1000)*(G384/1000)*7850</f>
        <v>41.62384</v>
      </c>
      <c r="I384" s="3" t="n">
        <v>3</v>
      </c>
      <c r="J384" s="9" t="n">
        <f aca="false">H384*I384</f>
        <v>124.87152</v>
      </c>
      <c r="K384" s="3"/>
    </row>
    <row r="385" customFormat="false" ht="19.5" hidden="false" customHeight="false" outlineLevel="0" collapsed="false">
      <c r="A385" s="3" t="s">
        <v>157</v>
      </c>
      <c r="B385" s="3" t="s">
        <v>158</v>
      </c>
      <c r="C385" s="3" t="s">
        <v>184</v>
      </c>
      <c r="D385" s="3" t="s">
        <v>8</v>
      </c>
      <c r="E385" s="3" t="n">
        <v>1782</v>
      </c>
      <c r="F385" s="3" t="n">
        <v>40</v>
      </c>
      <c r="G385" s="3" t="n">
        <v>4</v>
      </c>
      <c r="H385" s="8" t="n">
        <f aca="false">(E385/1000)*(F385/1000)*(G385/1000)*7850</f>
        <v>2.238192</v>
      </c>
      <c r="I385" s="3" t="n">
        <v>4</v>
      </c>
      <c r="J385" s="9" t="n">
        <f aca="false">H385*I385</f>
        <v>8.952768</v>
      </c>
      <c r="K385" s="3"/>
    </row>
    <row r="386" customFormat="false" ht="19.5" hidden="false" customHeight="false" outlineLevel="0" collapsed="false">
      <c r="A386" s="3" t="s">
        <v>157</v>
      </c>
      <c r="B386" s="3" t="s">
        <v>158</v>
      </c>
      <c r="C386" s="3" t="s">
        <v>184</v>
      </c>
      <c r="D386" s="3" t="s">
        <v>8</v>
      </c>
      <c r="E386" s="3" t="n">
        <v>600</v>
      </c>
      <c r="F386" s="3" t="n">
        <v>400</v>
      </c>
      <c r="G386" s="3" t="n">
        <v>16</v>
      </c>
      <c r="H386" s="8" t="n">
        <f aca="false">(E386/1000)*(F386/1000)*(G386/1000)*7850</f>
        <v>30.144</v>
      </c>
      <c r="I386" s="3" t="n">
        <v>4</v>
      </c>
      <c r="J386" s="9" t="n">
        <f aca="false">H386*I386</f>
        <v>120.576</v>
      </c>
      <c r="K386" s="3"/>
    </row>
    <row r="387" customFormat="false" ht="19.5" hidden="false" customHeight="false" outlineLevel="0" collapsed="false">
      <c r="A387" s="3" t="s">
        <v>157</v>
      </c>
      <c r="B387" s="3" t="s">
        <v>158</v>
      </c>
      <c r="C387" s="3" t="s">
        <v>184</v>
      </c>
      <c r="D387" s="3" t="s">
        <v>8</v>
      </c>
      <c r="E387" s="3" t="n">
        <v>7900</v>
      </c>
      <c r="F387" s="3" t="n">
        <v>240</v>
      </c>
      <c r="G387" s="3" t="n">
        <v>20</v>
      </c>
      <c r="H387" s="8" t="n">
        <f aca="false">(E387/1000)*(F387/1000)*(G387/1000)*7850</f>
        <v>297.672</v>
      </c>
      <c r="I387" s="3" t="n">
        <v>6</v>
      </c>
      <c r="J387" s="9" t="n">
        <f aca="false">H387*I387</f>
        <v>1786.032</v>
      </c>
      <c r="K387" s="3"/>
    </row>
    <row r="388" customFormat="false" ht="19.5" hidden="false" customHeight="false" outlineLevel="0" collapsed="false">
      <c r="A388" s="3" t="s">
        <v>157</v>
      </c>
      <c r="B388" s="3" t="s">
        <v>158</v>
      </c>
      <c r="C388" s="3" t="s">
        <v>184</v>
      </c>
      <c r="D388" s="3" t="s">
        <v>8</v>
      </c>
      <c r="E388" s="3" t="n">
        <v>7100</v>
      </c>
      <c r="F388" s="3" t="n">
        <v>240</v>
      </c>
      <c r="G388" s="3" t="n">
        <v>20</v>
      </c>
      <c r="H388" s="8" t="n">
        <f aca="false">(E388/1000)*(F388/1000)*(G388/1000)*7850</f>
        <v>267.528</v>
      </c>
      <c r="I388" s="3" t="n">
        <v>6</v>
      </c>
      <c r="J388" s="9" t="n">
        <f aca="false">H388*I388</f>
        <v>1605.168</v>
      </c>
      <c r="K388" s="3"/>
    </row>
    <row r="389" customFormat="false" ht="19.5" hidden="false" customHeight="false" outlineLevel="0" collapsed="false">
      <c r="A389" s="3" t="s">
        <v>157</v>
      </c>
      <c r="B389" s="3" t="s">
        <v>158</v>
      </c>
      <c r="C389" s="3" t="s">
        <v>186</v>
      </c>
      <c r="D389" s="3" t="s">
        <v>8</v>
      </c>
      <c r="E389" s="3" t="n">
        <v>1450</v>
      </c>
      <c r="F389" s="3" t="n">
        <v>1200</v>
      </c>
      <c r="G389" s="3" t="n">
        <v>16</v>
      </c>
      <c r="H389" s="8" t="n">
        <f aca="false">(E389/1000)*(F389/1000)*(G389/1000)*7850</f>
        <v>218.544</v>
      </c>
      <c r="I389" s="3" t="n">
        <v>3</v>
      </c>
      <c r="J389" s="9" t="n">
        <f aca="false">H389*I389</f>
        <v>655.632</v>
      </c>
      <c r="K389" s="3"/>
    </row>
    <row r="390" customFormat="false" ht="19.5" hidden="false" customHeight="false" outlineLevel="0" collapsed="false">
      <c r="A390" s="3" t="s">
        <v>157</v>
      </c>
      <c r="B390" s="3" t="s">
        <v>158</v>
      </c>
      <c r="C390" s="3" t="s">
        <v>187</v>
      </c>
      <c r="D390" s="3" t="s">
        <v>8</v>
      </c>
      <c r="E390" s="3" t="n">
        <v>1450</v>
      </c>
      <c r="F390" s="3" t="n">
        <v>1200</v>
      </c>
      <c r="G390" s="3" t="n">
        <v>16</v>
      </c>
      <c r="H390" s="8" t="n">
        <f aca="false">(E390/1000)*(F390/1000)*(G390/1000)*7850</f>
        <v>218.544</v>
      </c>
      <c r="I390" s="3" t="n">
        <v>2</v>
      </c>
      <c r="J390" s="9" t="n">
        <f aca="false">H390*I390</f>
        <v>437.088</v>
      </c>
      <c r="K390" s="3"/>
    </row>
    <row r="391" customFormat="false" ht="19.5" hidden="false" customHeight="false" outlineLevel="0" collapsed="false">
      <c r="A391" s="3" t="s">
        <v>157</v>
      </c>
      <c r="B391" s="3" t="s">
        <v>158</v>
      </c>
      <c r="C391" s="3" t="s">
        <v>193</v>
      </c>
      <c r="D391" s="3" t="s">
        <v>8</v>
      </c>
      <c r="E391" s="3" t="n">
        <v>1657</v>
      </c>
      <c r="F391" s="3" t="n">
        <v>200</v>
      </c>
      <c r="G391" s="3" t="n">
        <v>16</v>
      </c>
      <c r="H391" s="8" t="n">
        <f aca="false">(E391/1000)*(F391/1000)*(G391/1000)*7850</f>
        <v>41.62384</v>
      </c>
      <c r="I391" s="3" t="n">
        <v>3</v>
      </c>
      <c r="J391" s="9" t="n">
        <f aca="false">H391*I391</f>
        <v>124.87152</v>
      </c>
      <c r="K391" s="3"/>
    </row>
    <row r="392" customFormat="false" ht="19.5" hidden="false" customHeight="false" outlineLevel="0" collapsed="false">
      <c r="A392" s="3" t="s">
        <v>159</v>
      </c>
      <c r="B392" s="3" t="s">
        <v>160</v>
      </c>
      <c r="C392" s="3" t="s">
        <v>182</v>
      </c>
      <c r="D392" s="3" t="s">
        <v>8</v>
      </c>
      <c r="E392" s="3" t="n">
        <v>1580</v>
      </c>
      <c r="F392" s="3" t="n">
        <v>1200</v>
      </c>
      <c r="G392" s="3" t="n">
        <v>16</v>
      </c>
      <c r="H392" s="8" t="n">
        <f aca="false">(E392/1000)*(F392/1000)*(G392/1000)*7850</f>
        <v>238.1376</v>
      </c>
      <c r="I392" s="3" t="n">
        <v>3</v>
      </c>
      <c r="J392" s="9" t="n">
        <f aca="false">H392*I392</f>
        <v>714.4128</v>
      </c>
      <c r="K392" s="3"/>
    </row>
    <row r="393" customFormat="false" ht="19.5" hidden="false" customHeight="false" outlineLevel="0" collapsed="false">
      <c r="A393" s="3" t="s">
        <v>159</v>
      </c>
      <c r="B393" s="3" t="s">
        <v>160</v>
      </c>
      <c r="C393" s="3" t="s">
        <v>183</v>
      </c>
      <c r="D393" s="3" t="s">
        <v>8</v>
      </c>
      <c r="E393" s="3" t="n">
        <v>1580</v>
      </c>
      <c r="F393" s="3" t="n">
        <v>1200</v>
      </c>
      <c r="G393" s="3" t="n">
        <v>16</v>
      </c>
      <c r="H393" s="8" t="n">
        <f aca="false">(E393/1000)*(F393/1000)*(G393/1000)*7850</f>
        <v>238.1376</v>
      </c>
      <c r="I393" s="3" t="n">
        <v>2</v>
      </c>
      <c r="J393" s="9" t="n">
        <f aca="false">H393*I393</f>
        <v>476.2752</v>
      </c>
      <c r="K393" s="3"/>
    </row>
    <row r="394" customFormat="false" ht="19.5" hidden="false" customHeight="false" outlineLevel="0" collapsed="false">
      <c r="A394" s="3" t="s">
        <v>159</v>
      </c>
      <c r="B394" s="3" t="s">
        <v>160</v>
      </c>
      <c r="C394" s="3" t="s">
        <v>184</v>
      </c>
      <c r="D394" s="3" t="s">
        <v>8</v>
      </c>
      <c r="E394" s="3" t="n">
        <v>1657</v>
      </c>
      <c r="F394" s="3" t="n">
        <v>200</v>
      </c>
      <c r="G394" s="3" t="n">
        <v>16</v>
      </c>
      <c r="H394" s="8" t="n">
        <f aca="false">(E394/1000)*(F394/1000)*(G394/1000)*7850</f>
        <v>41.62384</v>
      </c>
      <c r="I394" s="3" t="n">
        <v>3</v>
      </c>
      <c r="J394" s="9" t="n">
        <f aca="false">H394*I394</f>
        <v>124.87152</v>
      </c>
      <c r="K394" s="3"/>
    </row>
    <row r="395" customFormat="false" ht="19.5" hidden="false" customHeight="false" outlineLevel="0" collapsed="false">
      <c r="A395" s="3" t="s">
        <v>159</v>
      </c>
      <c r="B395" s="3" t="s">
        <v>160</v>
      </c>
      <c r="C395" s="3" t="s">
        <v>184</v>
      </c>
      <c r="D395" s="3" t="s">
        <v>8</v>
      </c>
      <c r="E395" s="3" t="n">
        <v>1782</v>
      </c>
      <c r="F395" s="3" t="n">
        <v>40</v>
      </c>
      <c r="G395" s="3" t="n">
        <v>4</v>
      </c>
      <c r="H395" s="8" t="n">
        <f aca="false">(E395/1000)*(F395/1000)*(G395/1000)*7850</f>
        <v>2.238192</v>
      </c>
      <c r="I395" s="3" t="n">
        <v>4</v>
      </c>
      <c r="J395" s="9" t="n">
        <f aca="false">H395*I395</f>
        <v>8.952768</v>
      </c>
      <c r="K395" s="3"/>
    </row>
    <row r="396" customFormat="false" ht="19.5" hidden="false" customHeight="false" outlineLevel="0" collapsed="false">
      <c r="A396" s="3" t="s">
        <v>159</v>
      </c>
      <c r="B396" s="3" t="s">
        <v>160</v>
      </c>
      <c r="C396" s="3" t="s">
        <v>184</v>
      </c>
      <c r="D396" s="3" t="s">
        <v>8</v>
      </c>
      <c r="E396" s="3" t="n">
        <v>600</v>
      </c>
      <c r="F396" s="3" t="n">
        <v>400</v>
      </c>
      <c r="G396" s="3" t="n">
        <v>16</v>
      </c>
      <c r="H396" s="8" t="n">
        <f aca="false">(E396/1000)*(F396/1000)*(G396/1000)*7850</f>
        <v>30.144</v>
      </c>
      <c r="I396" s="3" t="n">
        <v>4</v>
      </c>
      <c r="J396" s="9" t="n">
        <f aca="false">H396*I396</f>
        <v>120.576</v>
      </c>
      <c r="K396" s="3"/>
    </row>
    <row r="397" customFormat="false" ht="19.5" hidden="false" customHeight="false" outlineLevel="0" collapsed="false">
      <c r="A397" s="3" t="s">
        <v>159</v>
      </c>
      <c r="B397" s="3" t="s">
        <v>160</v>
      </c>
      <c r="C397" s="3" t="s">
        <v>184</v>
      </c>
      <c r="D397" s="3" t="s">
        <v>8</v>
      </c>
      <c r="E397" s="3" t="n">
        <v>7100</v>
      </c>
      <c r="F397" s="3" t="n">
        <v>240</v>
      </c>
      <c r="G397" s="3" t="n">
        <v>20</v>
      </c>
      <c r="H397" s="8" t="n">
        <f aca="false">(E397/1000)*(F397/1000)*(G397/1000)*7850</f>
        <v>267.528</v>
      </c>
      <c r="I397" s="3" t="n">
        <v>6</v>
      </c>
      <c r="J397" s="9" t="n">
        <f aca="false">H397*I397</f>
        <v>1605.168</v>
      </c>
      <c r="K397" s="3"/>
    </row>
    <row r="398" customFormat="false" ht="19.5" hidden="false" customHeight="false" outlineLevel="0" collapsed="false">
      <c r="A398" s="3" t="s">
        <v>159</v>
      </c>
      <c r="B398" s="3" t="s">
        <v>160</v>
      </c>
      <c r="C398" s="3" t="s">
        <v>184</v>
      </c>
      <c r="D398" s="3" t="s">
        <v>8</v>
      </c>
      <c r="E398" s="3" t="n">
        <v>7901</v>
      </c>
      <c r="F398" s="3" t="n">
        <v>1850</v>
      </c>
      <c r="G398" s="3" t="n">
        <v>24</v>
      </c>
      <c r="H398" s="8" t="n">
        <f aca="false">(E398/1000)*(F398/1000)*(G398/1000)*7850</f>
        <v>2753.81454</v>
      </c>
      <c r="I398" s="3" t="n">
        <v>1</v>
      </c>
      <c r="J398" s="9" t="n">
        <f aca="false">H398*I398</f>
        <v>2753.81454</v>
      </c>
      <c r="K398" s="3"/>
    </row>
    <row r="399" customFormat="false" ht="19.5" hidden="false" customHeight="false" outlineLevel="0" collapsed="false">
      <c r="A399" s="3" t="s">
        <v>159</v>
      </c>
      <c r="B399" s="3" t="s">
        <v>160</v>
      </c>
      <c r="C399" s="3" t="s">
        <v>184</v>
      </c>
      <c r="D399" s="3" t="s">
        <v>8</v>
      </c>
      <c r="E399" s="3" t="n">
        <v>7101</v>
      </c>
      <c r="F399" s="3" t="n">
        <v>1850</v>
      </c>
      <c r="G399" s="3" t="n">
        <v>24</v>
      </c>
      <c r="H399" s="8" t="n">
        <f aca="false">(E399/1000)*(F399/1000)*(G399/1000)*7850</f>
        <v>2474.98254</v>
      </c>
      <c r="I399" s="3" t="n">
        <v>1</v>
      </c>
      <c r="J399" s="9" t="n">
        <f aca="false">H399*I399</f>
        <v>2474.98254</v>
      </c>
      <c r="K399" s="3"/>
    </row>
    <row r="400" customFormat="false" ht="19.5" hidden="false" customHeight="false" outlineLevel="0" collapsed="false">
      <c r="A400" s="3" t="s">
        <v>159</v>
      </c>
      <c r="B400" s="3" t="s">
        <v>160</v>
      </c>
      <c r="C400" s="3" t="s">
        <v>184</v>
      </c>
      <c r="D400" s="3" t="s">
        <v>8</v>
      </c>
      <c r="E400" s="3" t="n">
        <v>12530</v>
      </c>
      <c r="F400" s="3" t="n">
        <v>1000</v>
      </c>
      <c r="G400" s="3" t="n">
        <v>24</v>
      </c>
      <c r="H400" s="8" t="n">
        <f aca="false">(E400/1000)*(F400/1000)*(G400/1000)*7850</f>
        <v>2360.652</v>
      </c>
      <c r="I400" s="3" t="n">
        <v>1</v>
      </c>
      <c r="J400" s="9" t="n">
        <f aca="false">H400*I400</f>
        <v>2360.652</v>
      </c>
      <c r="K400" s="3"/>
    </row>
    <row r="401" customFormat="false" ht="19.5" hidden="false" customHeight="false" outlineLevel="0" collapsed="false">
      <c r="A401" s="3" t="s">
        <v>159</v>
      </c>
      <c r="B401" s="3" t="s">
        <v>160</v>
      </c>
      <c r="C401" s="3" t="s">
        <v>184</v>
      </c>
      <c r="D401" s="3" t="s">
        <v>8</v>
      </c>
      <c r="E401" s="3" t="n">
        <v>9710</v>
      </c>
      <c r="F401" s="3" t="n">
        <v>1000</v>
      </c>
      <c r="G401" s="3" t="n">
        <v>24</v>
      </c>
      <c r="H401" s="8" t="n">
        <f aca="false">(E401/1000)*(F401/1000)*(G401/1000)*7850</f>
        <v>1829.364</v>
      </c>
      <c r="I401" s="3" t="n">
        <v>1</v>
      </c>
      <c r="J401" s="9" t="n">
        <f aca="false">H401*I401</f>
        <v>1829.364</v>
      </c>
      <c r="K401" s="3"/>
    </row>
    <row r="402" customFormat="false" ht="19.5" hidden="false" customHeight="false" outlineLevel="0" collapsed="false">
      <c r="A402" s="3" t="s">
        <v>159</v>
      </c>
      <c r="B402" s="3" t="s">
        <v>160</v>
      </c>
      <c r="C402" s="3" t="s">
        <v>187</v>
      </c>
      <c r="D402" s="3" t="s">
        <v>8</v>
      </c>
      <c r="E402" s="3" t="n">
        <v>1450</v>
      </c>
      <c r="F402" s="3" t="n">
        <v>1200</v>
      </c>
      <c r="G402" s="3" t="n">
        <v>16</v>
      </c>
      <c r="H402" s="8" t="n">
        <f aca="false">(E402/1000)*(F402/1000)*(G402/1000)*7850</f>
        <v>218.544</v>
      </c>
      <c r="I402" s="3" t="n">
        <v>2</v>
      </c>
      <c r="J402" s="9" t="n">
        <f aca="false">H402*I402</f>
        <v>437.088</v>
      </c>
      <c r="K402" s="3"/>
    </row>
    <row r="403" customFormat="false" ht="19.5" hidden="false" customHeight="false" outlineLevel="0" collapsed="false">
      <c r="A403" s="3" t="s">
        <v>159</v>
      </c>
      <c r="B403" s="3" t="s">
        <v>160</v>
      </c>
      <c r="C403" s="3" t="s">
        <v>193</v>
      </c>
      <c r="D403" s="3" t="s">
        <v>8</v>
      </c>
      <c r="E403" s="3" t="n">
        <v>1657</v>
      </c>
      <c r="F403" s="3" t="n">
        <v>200</v>
      </c>
      <c r="G403" s="3" t="n">
        <v>16</v>
      </c>
      <c r="H403" s="8" t="n">
        <f aca="false">(E403/1000)*(F403/1000)*(G403/1000)*7850</f>
        <v>41.62384</v>
      </c>
      <c r="I403" s="3" t="n">
        <v>3</v>
      </c>
      <c r="J403" s="9" t="n">
        <f aca="false">H403*I403</f>
        <v>124.87152</v>
      </c>
      <c r="K403" s="3"/>
    </row>
    <row r="404" customFormat="false" ht="19.5" hidden="false" customHeight="false" outlineLevel="0" collapsed="false">
      <c r="A404" s="3" t="s">
        <v>161</v>
      </c>
      <c r="B404" s="3" t="s">
        <v>162</v>
      </c>
      <c r="C404" s="3" t="s">
        <v>184</v>
      </c>
      <c r="D404" s="3" t="s">
        <v>8</v>
      </c>
      <c r="E404" s="3" t="n">
        <v>1657</v>
      </c>
      <c r="F404" s="3" t="n">
        <v>200</v>
      </c>
      <c r="G404" s="3" t="n">
        <v>16</v>
      </c>
      <c r="H404" s="8" t="n">
        <f aca="false">(E404/1000)*(F404/1000)*(G404/1000)*7850</f>
        <v>41.62384</v>
      </c>
      <c r="I404" s="3" t="n">
        <v>3</v>
      </c>
      <c r="J404" s="9" t="n">
        <f aca="false">H404*I404</f>
        <v>124.87152</v>
      </c>
      <c r="K404" s="3"/>
    </row>
    <row r="405" customFormat="false" ht="19.5" hidden="false" customHeight="false" outlineLevel="0" collapsed="false">
      <c r="A405" s="3" t="s">
        <v>161</v>
      </c>
      <c r="B405" s="3" t="s">
        <v>162</v>
      </c>
      <c r="C405" s="3" t="s">
        <v>185</v>
      </c>
      <c r="D405" s="3" t="s">
        <v>8</v>
      </c>
      <c r="E405" s="3" t="n">
        <v>1782</v>
      </c>
      <c r="F405" s="3" t="n">
        <v>40</v>
      </c>
      <c r="G405" s="3" t="n">
        <v>4</v>
      </c>
      <c r="H405" s="8" t="n">
        <f aca="false">(E405/1000)*(F405/1000)*(G405/1000)*7850</f>
        <v>2.238192</v>
      </c>
      <c r="I405" s="3" t="n">
        <v>4</v>
      </c>
      <c r="J405" s="9" t="n">
        <f aca="false">H405*I405</f>
        <v>8.952768</v>
      </c>
      <c r="K405" s="3"/>
    </row>
    <row r="406" customFormat="false" ht="19.5" hidden="false" customHeight="false" outlineLevel="0" collapsed="false">
      <c r="A406" s="3" t="s">
        <v>161</v>
      </c>
      <c r="B406" s="3" t="s">
        <v>162</v>
      </c>
      <c r="C406" s="3" t="s">
        <v>185</v>
      </c>
      <c r="D406" s="3" t="s">
        <v>8</v>
      </c>
      <c r="E406" s="3" t="n">
        <v>600</v>
      </c>
      <c r="F406" s="3" t="n">
        <v>400</v>
      </c>
      <c r="G406" s="3" t="n">
        <v>16</v>
      </c>
      <c r="H406" s="8" t="n">
        <f aca="false">(E406/1000)*(F406/1000)*(G406/1000)*7850</f>
        <v>30.144</v>
      </c>
      <c r="I406" s="3" t="n">
        <v>4</v>
      </c>
      <c r="J406" s="9" t="n">
        <f aca="false">H406*I406</f>
        <v>120.576</v>
      </c>
      <c r="K406" s="3"/>
    </row>
    <row r="407" customFormat="false" ht="19.5" hidden="false" customHeight="false" outlineLevel="0" collapsed="false">
      <c r="A407" s="3" t="s">
        <v>161</v>
      </c>
      <c r="B407" s="3" t="s">
        <v>162</v>
      </c>
      <c r="C407" s="3" t="s">
        <v>185</v>
      </c>
      <c r="D407" s="3" t="s">
        <v>8</v>
      </c>
      <c r="E407" s="3" t="n">
        <v>7900</v>
      </c>
      <c r="F407" s="3" t="n">
        <v>240</v>
      </c>
      <c r="G407" s="3" t="n">
        <v>20</v>
      </c>
      <c r="H407" s="8" t="n">
        <f aca="false">(E407/1000)*(F407/1000)*(G407/1000)*7850</f>
        <v>297.672</v>
      </c>
      <c r="I407" s="3" t="n">
        <v>6</v>
      </c>
      <c r="J407" s="9" t="n">
        <f aca="false">H407*I407</f>
        <v>1786.032</v>
      </c>
      <c r="K407" s="3"/>
    </row>
    <row r="408" customFormat="false" ht="19.5" hidden="false" customHeight="false" outlineLevel="0" collapsed="false">
      <c r="A408" s="3" t="s">
        <v>161</v>
      </c>
      <c r="B408" s="3" t="s">
        <v>162</v>
      </c>
      <c r="C408" s="3" t="s">
        <v>185</v>
      </c>
      <c r="D408" s="3" t="s">
        <v>8</v>
      </c>
      <c r="E408" s="3" t="n">
        <v>7100</v>
      </c>
      <c r="F408" s="3" t="n">
        <v>240</v>
      </c>
      <c r="G408" s="3" t="n">
        <v>20</v>
      </c>
      <c r="H408" s="8" t="n">
        <f aca="false">(E408/1000)*(F408/1000)*(G408/1000)*7850</f>
        <v>267.528</v>
      </c>
      <c r="I408" s="3" t="n">
        <v>6</v>
      </c>
      <c r="J408" s="9" t="n">
        <f aca="false">H408*I408</f>
        <v>1605.168</v>
      </c>
      <c r="K408" s="3"/>
    </row>
    <row r="409" customFormat="false" ht="19.5" hidden="false" customHeight="false" outlineLevel="0" collapsed="false">
      <c r="A409" s="3" t="s">
        <v>161</v>
      </c>
      <c r="B409" s="3" t="s">
        <v>162</v>
      </c>
      <c r="C409" s="3" t="s">
        <v>186</v>
      </c>
      <c r="D409" s="3" t="s">
        <v>8</v>
      </c>
      <c r="E409" s="3" t="n">
        <v>1450</v>
      </c>
      <c r="F409" s="3" t="n">
        <v>1200</v>
      </c>
      <c r="G409" s="3" t="n">
        <v>16</v>
      </c>
      <c r="H409" s="8" t="n">
        <f aca="false">(E409/1000)*(F409/1000)*(G409/1000)*7850</f>
        <v>218.544</v>
      </c>
      <c r="I409" s="3" t="n">
        <v>3</v>
      </c>
      <c r="J409" s="9" t="n">
        <f aca="false">H409*I409</f>
        <v>655.632</v>
      </c>
      <c r="K409" s="3"/>
    </row>
    <row r="410" customFormat="false" ht="19.5" hidden="false" customHeight="false" outlineLevel="0" collapsed="false">
      <c r="A410" s="3" t="s">
        <v>161</v>
      </c>
      <c r="B410" s="3" t="s">
        <v>162</v>
      </c>
      <c r="C410" s="3" t="s">
        <v>187</v>
      </c>
      <c r="D410" s="3" t="s">
        <v>8</v>
      </c>
      <c r="E410" s="3" t="n">
        <v>1450</v>
      </c>
      <c r="F410" s="3" t="n">
        <v>1200</v>
      </c>
      <c r="G410" s="3" t="n">
        <v>16</v>
      </c>
      <c r="H410" s="8" t="n">
        <f aca="false">(E410/1000)*(F410/1000)*(G410/1000)*7850</f>
        <v>218.544</v>
      </c>
      <c r="I410" s="3" t="n">
        <v>2</v>
      </c>
      <c r="J410" s="9" t="n">
        <f aca="false">H410*I410</f>
        <v>437.088</v>
      </c>
      <c r="K410" s="3"/>
    </row>
    <row r="411" customFormat="false" ht="19.5" hidden="false" customHeight="false" outlineLevel="0" collapsed="false">
      <c r="A411" s="3" t="s">
        <v>161</v>
      </c>
      <c r="B411" s="3" t="s">
        <v>162</v>
      </c>
      <c r="C411" s="3" t="s">
        <v>193</v>
      </c>
      <c r="D411" s="3" t="s">
        <v>8</v>
      </c>
      <c r="E411" s="3" t="n">
        <v>1657</v>
      </c>
      <c r="F411" s="3" t="n">
        <v>200</v>
      </c>
      <c r="G411" s="3" t="n">
        <v>16</v>
      </c>
      <c r="H411" s="8" t="n">
        <f aca="false">(E411/1000)*(F411/1000)*(G411/1000)*7850</f>
        <v>41.62384</v>
      </c>
      <c r="I411" s="3" t="n">
        <v>3</v>
      </c>
      <c r="J411" s="9" t="n">
        <f aca="false">H411*I411</f>
        <v>124.87152</v>
      </c>
      <c r="K411" s="3"/>
    </row>
    <row r="412" customFormat="false" ht="19.5" hidden="false" customHeight="false" outlineLevel="0" collapsed="false">
      <c r="A412" s="3" t="s">
        <v>163</v>
      </c>
      <c r="B412" s="3" t="s">
        <v>164</v>
      </c>
      <c r="C412" s="3" t="s">
        <v>182</v>
      </c>
      <c r="D412" s="3" t="s">
        <v>8</v>
      </c>
      <c r="E412" s="3" t="n">
        <v>1560</v>
      </c>
      <c r="F412" s="3" t="n">
        <v>1200</v>
      </c>
      <c r="G412" s="3" t="n">
        <v>16</v>
      </c>
      <c r="H412" s="8" t="n">
        <f aca="false">(E412/1000)*(F412/1000)*(G412/1000)*7850</f>
        <v>235.1232</v>
      </c>
      <c r="I412" s="3" t="n">
        <v>2</v>
      </c>
      <c r="J412" s="9" t="n">
        <f aca="false">H412*I412</f>
        <v>470.2464</v>
      </c>
      <c r="K412" s="3"/>
    </row>
    <row r="413" customFormat="false" ht="19.5" hidden="false" customHeight="false" outlineLevel="0" collapsed="false">
      <c r="A413" s="3" t="s">
        <v>163</v>
      </c>
      <c r="B413" s="3" t="s">
        <v>164</v>
      </c>
      <c r="C413" s="3" t="s">
        <v>184</v>
      </c>
      <c r="D413" s="3" t="s">
        <v>8</v>
      </c>
      <c r="E413" s="3" t="n">
        <v>1657</v>
      </c>
      <c r="F413" s="3" t="n">
        <v>200</v>
      </c>
      <c r="G413" s="3" t="n">
        <v>16</v>
      </c>
      <c r="H413" s="8" t="n">
        <f aca="false">(E413/1000)*(F413/1000)*(G413/1000)*7850</f>
        <v>41.62384</v>
      </c>
      <c r="I413" s="3" t="n">
        <v>3</v>
      </c>
      <c r="J413" s="9" t="n">
        <f aca="false">H413*I413</f>
        <v>124.87152</v>
      </c>
      <c r="K413" s="3"/>
    </row>
    <row r="414" customFormat="false" ht="19.5" hidden="false" customHeight="false" outlineLevel="0" collapsed="false">
      <c r="A414" s="3" t="s">
        <v>163</v>
      </c>
      <c r="B414" s="3" t="s">
        <v>164</v>
      </c>
      <c r="C414" s="3" t="s">
        <v>185</v>
      </c>
      <c r="D414" s="3" t="s">
        <v>8</v>
      </c>
      <c r="E414" s="3" t="n">
        <v>1782</v>
      </c>
      <c r="F414" s="3" t="n">
        <v>40</v>
      </c>
      <c r="G414" s="3" t="n">
        <v>4</v>
      </c>
      <c r="H414" s="8" t="n">
        <f aca="false">(E414/1000)*(F414/1000)*(G414/1000)*7850</f>
        <v>2.238192</v>
      </c>
      <c r="I414" s="3" t="n">
        <v>4</v>
      </c>
      <c r="J414" s="9" t="n">
        <f aca="false">H414*I414</f>
        <v>8.952768</v>
      </c>
      <c r="K414" s="3"/>
    </row>
    <row r="415" customFormat="false" ht="19.5" hidden="false" customHeight="false" outlineLevel="0" collapsed="false">
      <c r="A415" s="3" t="s">
        <v>163</v>
      </c>
      <c r="B415" s="3" t="s">
        <v>164</v>
      </c>
      <c r="C415" s="3" t="s">
        <v>185</v>
      </c>
      <c r="D415" s="3" t="s">
        <v>8</v>
      </c>
      <c r="E415" s="3" t="n">
        <v>600</v>
      </c>
      <c r="F415" s="3" t="n">
        <v>400</v>
      </c>
      <c r="G415" s="3" t="n">
        <v>16</v>
      </c>
      <c r="H415" s="8" t="n">
        <f aca="false">(E415/1000)*(F415/1000)*(G415/1000)*7850</f>
        <v>30.144</v>
      </c>
      <c r="I415" s="3" t="n">
        <v>4</v>
      </c>
      <c r="J415" s="9" t="n">
        <f aca="false">H415*I415</f>
        <v>120.576</v>
      </c>
      <c r="K415" s="3"/>
    </row>
    <row r="416" customFormat="false" ht="19.5" hidden="false" customHeight="false" outlineLevel="0" collapsed="false">
      <c r="A416" s="3" t="s">
        <v>163</v>
      </c>
      <c r="B416" s="3" t="s">
        <v>164</v>
      </c>
      <c r="C416" s="3" t="s">
        <v>185</v>
      </c>
      <c r="D416" s="3" t="s">
        <v>9</v>
      </c>
      <c r="E416" s="3" t="n">
        <v>7900</v>
      </c>
      <c r="F416" s="3" t="n">
        <v>320</v>
      </c>
      <c r="G416" s="3" t="n">
        <v>32</v>
      </c>
      <c r="H416" s="8" t="n">
        <f aca="false">(E416/1000)*(F416/1000)*(G416/1000)*7850</f>
        <v>635.0336</v>
      </c>
      <c r="I416" s="3" t="n">
        <v>6</v>
      </c>
      <c r="J416" s="9" t="n">
        <f aca="false">H416*I416</f>
        <v>3810.2016</v>
      </c>
      <c r="K416" s="3"/>
    </row>
    <row r="417" customFormat="false" ht="19.5" hidden="false" customHeight="false" outlineLevel="0" collapsed="false">
      <c r="A417" s="3" t="s">
        <v>163</v>
      </c>
      <c r="B417" s="3" t="s">
        <v>164</v>
      </c>
      <c r="C417" s="3" t="s">
        <v>185</v>
      </c>
      <c r="D417" s="3" t="s">
        <v>8</v>
      </c>
      <c r="E417" s="3" t="n">
        <v>7100</v>
      </c>
      <c r="F417" s="3" t="n">
        <v>240</v>
      </c>
      <c r="G417" s="3" t="n">
        <v>20</v>
      </c>
      <c r="H417" s="8" t="n">
        <f aca="false">(E417/1000)*(F417/1000)*(G417/1000)*7850</f>
        <v>267.528</v>
      </c>
      <c r="I417" s="3" t="n">
        <v>6</v>
      </c>
      <c r="J417" s="9" t="n">
        <f aca="false">H417*I417</f>
        <v>1605.168</v>
      </c>
      <c r="K417" s="3"/>
    </row>
    <row r="418" customFormat="false" ht="19.5" hidden="false" customHeight="false" outlineLevel="0" collapsed="false">
      <c r="A418" s="3" t="s">
        <v>163</v>
      </c>
      <c r="B418" s="3" t="s">
        <v>164</v>
      </c>
      <c r="C418" s="3" t="s">
        <v>185</v>
      </c>
      <c r="D418" s="3" t="s">
        <v>8</v>
      </c>
      <c r="E418" s="3" t="n">
        <v>7900</v>
      </c>
      <c r="F418" s="3" t="n">
        <v>1850</v>
      </c>
      <c r="G418" s="3" t="n">
        <v>24</v>
      </c>
      <c r="H418" s="8" t="n">
        <f aca="false">(E418/1000)*(F418/1000)*(G418/1000)*7850</f>
        <v>2753.466</v>
      </c>
      <c r="I418" s="3" t="n">
        <v>1</v>
      </c>
      <c r="J418" s="9" t="n">
        <f aca="false">H418*I418</f>
        <v>2753.466</v>
      </c>
      <c r="K418" s="3"/>
    </row>
    <row r="419" customFormat="false" ht="19.5" hidden="false" customHeight="false" outlineLevel="0" collapsed="false">
      <c r="A419" s="3" t="s">
        <v>163</v>
      </c>
      <c r="B419" s="3" t="s">
        <v>164</v>
      </c>
      <c r="C419" s="3" t="s">
        <v>185</v>
      </c>
      <c r="D419" s="3" t="s">
        <v>8</v>
      </c>
      <c r="E419" s="3" t="n">
        <v>7100</v>
      </c>
      <c r="F419" s="3" t="n">
        <v>1850</v>
      </c>
      <c r="G419" s="3" t="n">
        <v>24</v>
      </c>
      <c r="H419" s="8" t="n">
        <f aca="false">(E419/1000)*(F419/1000)*(G419/1000)*7850</f>
        <v>2474.634</v>
      </c>
      <c r="I419" s="3" t="n">
        <v>1</v>
      </c>
      <c r="J419" s="9" t="n">
        <f aca="false">H419*I419</f>
        <v>2474.634</v>
      </c>
      <c r="K419" s="3"/>
    </row>
    <row r="420" customFormat="false" ht="19.5" hidden="false" customHeight="false" outlineLevel="0" collapsed="false">
      <c r="A420" s="3" t="s">
        <v>163</v>
      </c>
      <c r="B420" s="3" t="s">
        <v>164</v>
      </c>
      <c r="C420" s="3" t="s">
        <v>185</v>
      </c>
      <c r="D420" s="3" t="s">
        <v>8</v>
      </c>
      <c r="E420" s="3" t="n">
        <v>12530</v>
      </c>
      <c r="F420" s="3" t="n">
        <v>1000</v>
      </c>
      <c r="G420" s="3" t="n">
        <v>24</v>
      </c>
      <c r="H420" s="8" t="n">
        <f aca="false">(E420/1000)*(F420/1000)*(G420/1000)*7850</f>
        <v>2360.652</v>
      </c>
      <c r="I420" s="3" t="n">
        <v>1</v>
      </c>
      <c r="J420" s="9" t="n">
        <f aca="false">H420*I420</f>
        <v>2360.652</v>
      </c>
      <c r="K420" s="3"/>
    </row>
    <row r="421" customFormat="false" ht="19.5" hidden="false" customHeight="false" outlineLevel="0" collapsed="false">
      <c r="A421" s="3" t="s">
        <v>163</v>
      </c>
      <c r="B421" s="3" t="s">
        <v>164</v>
      </c>
      <c r="C421" s="3" t="s">
        <v>186</v>
      </c>
      <c r="D421" s="3" t="s">
        <v>8</v>
      </c>
      <c r="E421" s="3" t="n">
        <v>1450</v>
      </c>
      <c r="F421" s="3" t="n">
        <v>1200</v>
      </c>
      <c r="G421" s="3" t="n">
        <v>16</v>
      </c>
      <c r="H421" s="8" t="n">
        <f aca="false">(E421/1000)*(F421/1000)*(G421/1000)*7850</f>
        <v>218.544</v>
      </c>
      <c r="I421" s="3" t="n">
        <v>3</v>
      </c>
      <c r="J421" s="9" t="n">
        <f aca="false">H421*I421</f>
        <v>655.632</v>
      </c>
      <c r="K421" s="3"/>
    </row>
    <row r="422" customFormat="false" ht="19.5" hidden="false" customHeight="false" outlineLevel="0" collapsed="false">
      <c r="A422" s="3" t="s">
        <v>163</v>
      </c>
      <c r="B422" s="3" t="s">
        <v>164</v>
      </c>
      <c r="C422" s="3" t="s">
        <v>191</v>
      </c>
      <c r="D422" s="3" t="s">
        <v>8</v>
      </c>
      <c r="E422" s="3" t="n">
        <v>460</v>
      </c>
      <c r="F422" s="3" t="n">
        <v>1000</v>
      </c>
      <c r="G422" s="3" t="n">
        <v>24</v>
      </c>
      <c r="H422" s="8" t="n">
        <f aca="false">(E422/1000)*(F422/1000)*(G422/1000)*7850</f>
        <v>86.664</v>
      </c>
      <c r="I422" s="3" t="n">
        <v>2</v>
      </c>
      <c r="J422" s="9" t="n">
        <f aca="false">H422*I422</f>
        <v>173.328</v>
      </c>
      <c r="K422" s="3"/>
    </row>
    <row r="423" customFormat="false" ht="19.5" hidden="false" customHeight="false" outlineLevel="0" collapsed="false">
      <c r="A423" s="3" t="s">
        <v>163</v>
      </c>
      <c r="B423" s="3" t="s">
        <v>164</v>
      </c>
      <c r="C423" s="3" t="s">
        <v>192</v>
      </c>
      <c r="D423" s="3" t="s">
        <v>8</v>
      </c>
      <c r="E423" s="3" t="n">
        <v>1450</v>
      </c>
      <c r="F423" s="3" t="n">
        <v>606</v>
      </c>
      <c r="G423" s="3" t="n">
        <v>14</v>
      </c>
      <c r="H423" s="8" t="n">
        <f aca="false">(E423/1000)*(F423/1000)*(G423/1000)*7850</f>
        <v>96.56913</v>
      </c>
      <c r="I423" s="3" t="n">
        <v>3</v>
      </c>
      <c r="J423" s="9" t="n">
        <f aca="false">H423*I423</f>
        <v>289.70739</v>
      </c>
      <c r="K423" s="3"/>
    </row>
    <row r="424" customFormat="false" ht="19.5" hidden="false" customHeight="false" outlineLevel="0" collapsed="false">
      <c r="A424" s="3" t="s">
        <v>165</v>
      </c>
      <c r="B424" s="3" t="s">
        <v>166</v>
      </c>
      <c r="C424" s="3" t="s">
        <v>182</v>
      </c>
      <c r="D424" s="3" t="s">
        <v>9</v>
      </c>
      <c r="E424" s="3" t="n">
        <v>1560</v>
      </c>
      <c r="F424" s="3" t="n">
        <v>1200</v>
      </c>
      <c r="G424" s="3" t="n">
        <v>16</v>
      </c>
      <c r="H424" s="8" t="n">
        <f aca="false">(E424/1000)*(F424/1000)*(G424/1000)*7850</f>
        <v>235.1232</v>
      </c>
      <c r="I424" s="3" t="n">
        <v>3</v>
      </c>
      <c r="J424" s="9" t="n">
        <f aca="false">H424*I424</f>
        <v>705.3696</v>
      </c>
      <c r="K424" s="3"/>
    </row>
    <row r="425" customFormat="false" ht="19.5" hidden="false" customHeight="false" outlineLevel="0" collapsed="false">
      <c r="A425" s="3" t="s">
        <v>165</v>
      </c>
      <c r="B425" s="3" t="s">
        <v>166</v>
      </c>
      <c r="C425" s="3" t="s">
        <v>184</v>
      </c>
      <c r="D425" s="3" t="s">
        <v>9</v>
      </c>
      <c r="E425" s="3" t="n">
        <v>1657</v>
      </c>
      <c r="F425" s="3" t="n">
        <v>200</v>
      </c>
      <c r="G425" s="3" t="n">
        <v>16</v>
      </c>
      <c r="H425" s="8" t="n">
        <f aca="false">(E425/1000)*(F425/1000)*(G425/1000)*7850</f>
        <v>41.62384</v>
      </c>
      <c r="I425" s="3" t="n">
        <v>3</v>
      </c>
      <c r="J425" s="9" t="n">
        <f aca="false">H425*I425</f>
        <v>124.87152</v>
      </c>
      <c r="K425" s="3"/>
    </row>
    <row r="426" customFormat="false" ht="19.5" hidden="false" customHeight="false" outlineLevel="0" collapsed="false">
      <c r="A426" s="3" t="s">
        <v>165</v>
      </c>
      <c r="B426" s="3" t="s">
        <v>166</v>
      </c>
      <c r="C426" s="3" t="s">
        <v>185</v>
      </c>
      <c r="D426" s="3" t="s">
        <v>9</v>
      </c>
      <c r="E426" s="3" t="n">
        <v>1782</v>
      </c>
      <c r="F426" s="3" t="n">
        <v>40</v>
      </c>
      <c r="G426" s="3" t="n">
        <v>4</v>
      </c>
      <c r="H426" s="8" t="n">
        <f aca="false">(E426/1000)*(F426/1000)*(G426/1000)*7850</f>
        <v>2.238192</v>
      </c>
      <c r="I426" s="3" t="n">
        <v>4</v>
      </c>
      <c r="J426" s="9" t="n">
        <f aca="false">H426*I426</f>
        <v>8.952768</v>
      </c>
      <c r="K426" s="3"/>
    </row>
    <row r="427" customFormat="false" ht="19.5" hidden="false" customHeight="false" outlineLevel="0" collapsed="false">
      <c r="A427" s="3" t="s">
        <v>165</v>
      </c>
      <c r="B427" s="3" t="s">
        <v>166</v>
      </c>
      <c r="C427" s="3" t="s">
        <v>185</v>
      </c>
      <c r="D427" s="3" t="s">
        <v>9</v>
      </c>
      <c r="E427" s="3" t="n">
        <v>600</v>
      </c>
      <c r="F427" s="3" t="n">
        <v>400</v>
      </c>
      <c r="G427" s="3" t="n">
        <v>16</v>
      </c>
      <c r="H427" s="8" t="n">
        <f aca="false">(E427/1000)*(F427/1000)*(G427/1000)*7850</f>
        <v>30.144</v>
      </c>
      <c r="I427" s="3" t="n">
        <v>4</v>
      </c>
      <c r="J427" s="9" t="n">
        <f aca="false">H427*I427</f>
        <v>120.576</v>
      </c>
      <c r="K427" s="3"/>
    </row>
    <row r="428" customFormat="false" ht="19.5" hidden="false" customHeight="false" outlineLevel="0" collapsed="false">
      <c r="A428" s="3" t="s">
        <v>165</v>
      </c>
      <c r="B428" s="3" t="s">
        <v>166</v>
      </c>
      <c r="C428" s="3" t="s">
        <v>185</v>
      </c>
      <c r="D428" s="3" t="s">
        <v>9</v>
      </c>
      <c r="E428" s="3" t="n">
        <v>6950</v>
      </c>
      <c r="F428" s="3" t="n">
        <v>320</v>
      </c>
      <c r="G428" s="3" t="n">
        <v>32</v>
      </c>
      <c r="H428" s="8" t="n">
        <f aca="false">(E428/1000)*(F428/1000)*(G428/1000)*7850</f>
        <v>558.6688</v>
      </c>
      <c r="I428" s="3" t="n">
        <v>6</v>
      </c>
      <c r="J428" s="9" t="n">
        <f aca="false">H428*I428</f>
        <v>3352.0128</v>
      </c>
      <c r="K428" s="3"/>
    </row>
    <row r="429" customFormat="false" ht="19.5" hidden="false" customHeight="false" outlineLevel="0" collapsed="false">
      <c r="A429" s="3" t="s">
        <v>165</v>
      </c>
      <c r="B429" s="3" t="s">
        <v>166</v>
      </c>
      <c r="C429" s="3" t="s">
        <v>185</v>
      </c>
      <c r="D429" s="3" t="s">
        <v>9</v>
      </c>
      <c r="E429" s="3" t="n">
        <v>8050</v>
      </c>
      <c r="F429" s="3" t="n">
        <v>1850</v>
      </c>
      <c r="G429" s="3" t="n">
        <v>32</v>
      </c>
      <c r="H429" s="8" t="n">
        <f aca="false">(E429/1000)*(F429/1000)*(G429/1000)*7850</f>
        <v>3740.996</v>
      </c>
      <c r="I429" s="3" t="n">
        <v>1</v>
      </c>
      <c r="J429" s="9" t="n">
        <f aca="false">H429*I429</f>
        <v>3740.996</v>
      </c>
      <c r="K429" s="3"/>
    </row>
    <row r="430" customFormat="false" ht="19.5" hidden="false" customHeight="false" outlineLevel="0" collapsed="false">
      <c r="A430" s="3" t="s">
        <v>165</v>
      </c>
      <c r="B430" s="3" t="s">
        <v>166</v>
      </c>
      <c r="C430" s="3" t="s">
        <v>185</v>
      </c>
      <c r="D430" s="3" t="s">
        <v>9</v>
      </c>
      <c r="E430" s="3" t="n">
        <v>6950</v>
      </c>
      <c r="F430" s="3" t="n">
        <v>1850</v>
      </c>
      <c r="G430" s="3" t="n">
        <v>32</v>
      </c>
      <c r="H430" s="8" t="n">
        <f aca="false">(E430/1000)*(F430/1000)*(G430/1000)*7850</f>
        <v>3229.804</v>
      </c>
      <c r="I430" s="3" t="n">
        <v>1</v>
      </c>
      <c r="J430" s="9" t="n">
        <f aca="false">H430*I430</f>
        <v>3229.804</v>
      </c>
      <c r="K430" s="3"/>
    </row>
    <row r="431" customFormat="false" ht="19.5" hidden="false" customHeight="false" outlineLevel="0" collapsed="false">
      <c r="A431" s="3" t="s">
        <v>165</v>
      </c>
      <c r="B431" s="3" t="s">
        <v>166</v>
      </c>
      <c r="C431" s="3" t="s">
        <v>185</v>
      </c>
      <c r="D431" s="3" t="s">
        <v>9</v>
      </c>
      <c r="E431" s="3" t="n">
        <v>12530</v>
      </c>
      <c r="F431" s="3" t="n">
        <v>1000</v>
      </c>
      <c r="G431" s="3" t="n">
        <v>32</v>
      </c>
      <c r="H431" s="8" t="n">
        <f aca="false">(E431/1000)*(F431/1000)*(G431/1000)*7850</f>
        <v>3147.536</v>
      </c>
      <c r="I431" s="3" t="n">
        <v>1</v>
      </c>
      <c r="J431" s="9" t="n">
        <f aca="false">H431*I431</f>
        <v>3147.536</v>
      </c>
      <c r="K431" s="3"/>
    </row>
    <row r="432" customFormat="false" ht="19.5" hidden="false" customHeight="false" outlineLevel="0" collapsed="false">
      <c r="A432" s="3" t="s">
        <v>165</v>
      </c>
      <c r="B432" s="3" t="s">
        <v>166</v>
      </c>
      <c r="C432" s="3" t="s">
        <v>185</v>
      </c>
      <c r="D432" s="3" t="s">
        <v>9</v>
      </c>
      <c r="E432" s="3" t="n">
        <v>9710</v>
      </c>
      <c r="F432" s="3" t="n">
        <v>1000</v>
      </c>
      <c r="G432" s="3" t="n">
        <v>32</v>
      </c>
      <c r="H432" s="8" t="n">
        <f aca="false">(E432/1000)*(F432/1000)*(G432/1000)*7850</f>
        <v>2439.152</v>
      </c>
      <c r="I432" s="3" t="n">
        <v>1</v>
      </c>
      <c r="J432" s="9" t="n">
        <f aca="false">H432*I432</f>
        <v>2439.152</v>
      </c>
      <c r="K432" s="3"/>
    </row>
    <row r="433" customFormat="false" ht="19.5" hidden="false" customHeight="false" outlineLevel="0" collapsed="false">
      <c r="A433" s="3" t="s">
        <v>165</v>
      </c>
      <c r="B433" s="3" t="s">
        <v>166</v>
      </c>
      <c r="C433" s="3" t="s">
        <v>186</v>
      </c>
      <c r="D433" s="3" t="s">
        <v>9</v>
      </c>
      <c r="E433" s="3" t="n">
        <v>1450</v>
      </c>
      <c r="F433" s="3" t="n">
        <v>1200</v>
      </c>
      <c r="G433" s="3" t="n">
        <v>16</v>
      </c>
      <c r="H433" s="8" t="n">
        <f aca="false">(E433/1000)*(F433/1000)*(G433/1000)*7850</f>
        <v>218.544</v>
      </c>
      <c r="I433" s="3" t="n">
        <v>3</v>
      </c>
      <c r="J433" s="9" t="n">
        <f aca="false">H433*I433</f>
        <v>655.632</v>
      </c>
      <c r="K433" s="3"/>
    </row>
    <row r="434" customFormat="false" ht="19.5" hidden="false" customHeight="false" outlineLevel="0" collapsed="false">
      <c r="A434" s="3" t="s">
        <v>165</v>
      </c>
      <c r="B434" s="3" t="s">
        <v>166</v>
      </c>
      <c r="C434" s="3" t="s">
        <v>187</v>
      </c>
      <c r="D434" s="3" t="s">
        <v>9</v>
      </c>
      <c r="E434" s="3" t="n">
        <v>1450</v>
      </c>
      <c r="F434" s="3" t="n">
        <v>1200</v>
      </c>
      <c r="G434" s="3" t="n">
        <v>16</v>
      </c>
      <c r="H434" s="8" t="n">
        <f aca="false">(E434/1000)*(F434/1000)*(G434/1000)*7850</f>
        <v>218.544</v>
      </c>
      <c r="I434" s="3" t="n">
        <v>2</v>
      </c>
      <c r="J434" s="9" t="n">
        <f aca="false">H434*I434</f>
        <v>437.088</v>
      </c>
      <c r="K434" s="3"/>
    </row>
    <row r="435" customFormat="false" ht="19.5" hidden="false" customHeight="false" outlineLevel="0" collapsed="false">
      <c r="A435" s="3" t="s">
        <v>165</v>
      </c>
      <c r="B435" s="3" t="s">
        <v>166</v>
      </c>
      <c r="C435" s="3" t="s">
        <v>193</v>
      </c>
      <c r="D435" s="3" t="s">
        <v>9</v>
      </c>
      <c r="E435" s="3" t="n">
        <v>1657</v>
      </c>
      <c r="F435" s="3" t="n">
        <v>200</v>
      </c>
      <c r="G435" s="3" t="n">
        <v>16</v>
      </c>
      <c r="H435" s="8" t="n">
        <f aca="false">(E435/1000)*(F435/1000)*(G435/1000)*7850</f>
        <v>41.62384</v>
      </c>
      <c r="I435" s="3" t="n">
        <v>5</v>
      </c>
      <c r="J435" s="9" t="n">
        <f aca="false">H435*I435</f>
        <v>208.1192</v>
      </c>
      <c r="K435" s="3"/>
    </row>
    <row r="436" customFormat="false" ht="19.5" hidden="false" customHeight="false" outlineLevel="0" collapsed="false">
      <c r="A436" s="3" t="s">
        <v>165</v>
      </c>
      <c r="B436" s="3" t="s">
        <v>166</v>
      </c>
      <c r="C436" s="3" t="s">
        <v>189</v>
      </c>
      <c r="D436" s="3" t="s">
        <v>8</v>
      </c>
      <c r="E436" s="3" t="n">
        <v>1560</v>
      </c>
      <c r="F436" s="3" t="n">
        <v>602</v>
      </c>
      <c r="G436" s="3" t="n">
        <v>14</v>
      </c>
      <c r="H436" s="8" t="n">
        <f aca="false">(E436/1000)*(F436/1000)*(G436/1000)*7850</f>
        <v>103.209288</v>
      </c>
      <c r="I436" s="3" t="n">
        <v>2</v>
      </c>
      <c r="J436" s="9" t="n">
        <f aca="false">H436*I436</f>
        <v>206.418576</v>
      </c>
      <c r="K436" s="3"/>
    </row>
    <row r="437" customFormat="false" ht="19.5" hidden="false" customHeight="false" outlineLevel="0" collapsed="false">
      <c r="A437" s="3" t="s">
        <v>165</v>
      </c>
      <c r="B437" s="3" t="s">
        <v>166</v>
      </c>
      <c r="C437" s="3" t="s">
        <v>190</v>
      </c>
      <c r="D437" s="3" t="s">
        <v>8</v>
      </c>
      <c r="E437" s="3" t="n">
        <v>460</v>
      </c>
      <c r="F437" s="3" t="n">
        <v>1000</v>
      </c>
      <c r="G437" s="3" t="n">
        <v>24</v>
      </c>
      <c r="H437" s="8" t="n">
        <f aca="false">(E437/1000)*(F437/1000)*(G437/1000)*7850</f>
        <v>86.664</v>
      </c>
      <c r="I437" s="3" t="n">
        <v>3</v>
      </c>
      <c r="J437" s="9" t="n">
        <f aca="false">H437*I437</f>
        <v>259.992</v>
      </c>
      <c r="K437" s="3"/>
    </row>
    <row r="438" customFormat="false" ht="19.5" hidden="false" customHeight="false" outlineLevel="0" collapsed="false">
      <c r="A438" s="3" t="s">
        <v>165</v>
      </c>
      <c r="B438" s="3" t="s">
        <v>166</v>
      </c>
      <c r="C438" s="3" t="s">
        <v>190</v>
      </c>
      <c r="D438" s="3" t="s">
        <v>8</v>
      </c>
      <c r="E438" s="3" t="n">
        <v>460</v>
      </c>
      <c r="F438" s="3" t="n">
        <v>1000</v>
      </c>
      <c r="G438" s="3" t="n">
        <v>24</v>
      </c>
      <c r="H438" s="8" t="n">
        <f aca="false">(E438/1000)*(F438/1000)*(G438/1000)*7850</f>
        <v>86.664</v>
      </c>
      <c r="I438" s="3" t="n">
        <v>2</v>
      </c>
      <c r="J438" s="9" t="n">
        <f aca="false">H438*I438</f>
        <v>173.328</v>
      </c>
      <c r="K438" s="3"/>
    </row>
    <row r="439" customFormat="false" ht="19.5" hidden="false" customHeight="false" outlineLevel="0" collapsed="false">
      <c r="A439" s="3" t="s">
        <v>165</v>
      </c>
      <c r="B439" s="3" t="s">
        <v>166</v>
      </c>
      <c r="C439" s="3" t="s">
        <v>190</v>
      </c>
      <c r="D439" s="3" t="s">
        <v>8</v>
      </c>
      <c r="E439" s="3" t="n">
        <v>1450</v>
      </c>
      <c r="F439" s="3" t="n">
        <v>606</v>
      </c>
      <c r="G439" s="3" t="n">
        <v>14</v>
      </c>
      <c r="H439" s="8" t="n">
        <f aca="false">(E439/1000)*(F439/1000)*(G439/1000)*7850</f>
        <v>96.56913</v>
      </c>
      <c r="I439" s="3" t="n">
        <v>3</v>
      </c>
      <c r="J439" s="9" t="n">
        <f aca="false">H439*I439</f>
        <v>289.70739</v>
      </c>
      <c r="K439" s="3"/>
    </row>
    <row r="440" customFormat="false" ht="19.5" hidden="false" customHeight="false" outlineLevel="0" collapsed="false">
      <c r="A440" s="3" t="s">
        <v>167</v>
      </c>
      <c r="B440" s="3" t="s">
        <v>168</v>
      </c>
      <c r="C440" s="3" t="s">
        <v>193</v>
      </c>
      <c r="D440" s="3" t="s">
        <v>9</v>
      </c>
      <c r="E440" s="3" t="n">
        <v>1657</v>
      </c>
      <c r="F440" s="3" t="n">
        <v>200</v>
      </c>
      <c r="G440" s="3" t="n">
        <v>16</v>
      </c>
      <c r="H440" s="8" t="n">
        <f aca="false">(E440/1000)*(F440/1000)*(G440/1000)*7850</f>
        <v>41.62384</v>
      </c>
      <c r="I440" s="3" t="n">
        <v>3</v>
      </c>
      <c r="J440" s="9" t="n">
        <f aca="false">H440*I440</f>
        <v>124.87152</v>
      </c>
      <c r="K440" s="3"/>
    </row>
    <row r="441" customFormat="false" ht="19.5" hidden="false" customHeight="false" outlineLevel="0" collapsed="false">
      <c r="A441" s="3" t="s">
        <v>167</v>
      </c>
      <c r="B441" s="3" t="s">
        <v>168</v>
      </c>
      <c r="C441" s="3" t="s">
        <v>196</v>
      </c>
      <c r="D441" s="3" t="s">
        <v>9</v>
      </c>
      <c r="E441" s="3" t="n">
        <v>1450</v>
      </c>
      <c r="F441" s="3" t="n">
        <v>602</v>
      </c>
      <c r="G441" s="3" t="n">
        <v>60</v>
      </c>
      <c r="H441" s="8" t="n">
        <f aca="false">(E441/1000)*(F441/1000)*(G441/1000)*7850</f>
        <v>411.1359</v>
      </c>
      <c r="I441" s="3" t="n">
        <v>3</v>
      </c>
      <c r="J441" s="9" t="n">
        <f aca="false">H441*I441</f>
        <v>1233.4077</v>
      </c>
      <c r="K441" s="3"/>
    </row>
    <row r="442" customFormat="false" ht="19.5" hidden="false" customHeight="false" outlineLevel="0" collapsed="false">
      <c r="A442" s="3" t="s">
        <v>167</v>
      </c>
      <c r="B442" s="3" t="s">
        <v>168</v>
      </c>
      <c r="C442" s="3" t="s">
        <v>197</v>
      </c>
      <c r="D442" s="3" t="s">
        <v>9</v>
      </c>
      <c r="E442" s="3" t="n">
        <v>2800</v>
      </c>
      <c r="F442" s="3" t="n">
        <v>2650</v>
      </c>
      <c r="G442" s="3" t="n">
        <v>80</v>
      </c>
      <c r="H442" s="8" t="n">
        <f aca="false">(E442/1000)*(F442/1000)*(G442/1000)*7850</f>
        <v>4659.76</v>
      </c>
      <c r="I442" s="3" t="n">
        <v>1</v>
      </c>
      <c r="J442" s="9" t="n">
        <f aca="false">H442*I442</f>
        <v>4659.76</v>
      </c>
      <c r="K442" s="3"/>
    </row>
    <row r="443" customFormat="false" ht="19.5" hidden="false" customHeight="false" outlineLevel="0" collapsed="false">
      <c r="A443" s="3" t="s">
        <v>167</v>
      </c>
      <c r="B443" s="3" t="s">
        <v>168</v>
      </c>
      <c r="C443" s="3" t="s">
        <v>200</v>
      </c>
      <c r="D443" s="3" t="s">
        <v>9</v>
      </c>
      <c r="E443" s="3" t="n">
        <v>1000</v>
      </c>
      <c r="F443" s="3" t="n">
        <v>568</v>
      </c>
      <c r="G443" s="3" t="n">
        <v>32</v>
      </c>
      <c r="H443" s="8" t="n">
        <f aca="false">(E443/1000)*(F443/1000)*(G443/1000)*7850</f>
        <v>142.6816</v>
      </c>
      <c r="I443" s="3" t="n">
        <v>4</v>
      </c>
      <c r="J443" s="9" t="n">
        <f aca="false">H443*I443</f>
        <v>570.7264</v>
      </c>
      <c r="K443" s="3"/>
    </row>
    <row r="444" customFormat="false" ht="19.5" hidden="false" customHeight="false" outlineLevel="0" collapsed="false">
      <c r="A444" s="3" t="s">
        <v>167</v>
      </c>
      <c r="B444" s="3" t="s">
        <v>168</v>
      </c>
      <c r="C444" s="3" t="s">
        <v>198</v>
      </c>
      <c r="D444" s="3" t="s">
        <v>9</v>
      </c>
      <c r="E444" s="3" t="n">
        <v>1350</v>
      </c>
      <c r="F444" s="3" t="n">
        <v>570</v>
      </c>
      <c r="G444" s="3" t="n">
        <v>32</v>
      </c>
      <c r="H444" s="8" t="n">
        <f aca="false">(E444/1000)*(F444/1000)*(G444/1000)*7850</f>
        <v>193.2984</v>
      </c>
      <c r="I444" s="3" t="n">
        <v>7</v>
      </c>
      <c r="J444" s="9" t="n">
        <f aca="false">H444*I444</f>
        <v>1353.0888</v>
      </c>
      <c r="K444" s="3"/>
    </row>
    <row r="445" customFormat="false" ht="19.5" hidden="false" customHeight="false" outlineLevel="0" collapsed="false">
      <c r="A445" s="3" t="s">
        <v>169</v>
      </c>
      <c r="B445" s="3" t="s">
        <v>170</v>
      </c>
      <c r="C445" s="3" t="s">
        <v>182</v>
      </c>
      <c r="D445" s="3" t="s">
        <v>9</v>
      </c>
      <c r="E445" s="3" t="n">
        <v>1560</v>
      </c>
      <c r="F445" s="3" t="n">
        <v>1200</v>
      </c>
      <c r="G445" s="3" t="n">
        <v>16</v>
      </c>
      <c r="H445" s="8" t="n">
        <f aca="false">(E445/1000)*(F445/1000)*(G445/1000)*7850</f>
        <v>235.1232</v>
      </c>
      <c r="I445" s="3" t="n">
        <v>3</v>
      </c>
      <c r="J445" s="9" t="n">
        <f aca="false">H445*I445</f>
        <v>705.3696</v>
      </c>
      <c r="K445" s="3"/>
    </row>
    <row r="446" customFormat="false" ht="19.5" hidden="false" customHeight="false" outlineLevel="0" collapsed="false">
      <c r="A446" s="3" t="s">
        <v>169</v>
      </c>
      <c r="B446" s="3" t="s">
        <v>170</v>
      </c>
      <c r="C446" s="3" t="s">
        <v>182</v>
      </c>
      <c r="D446" s="3" t="s">
        <v>9</v>
      </c>
      <c r="E446" s="3" t="n">
        <v>1657</v>
      </c>
      <c r="F446" s="3" t="n">
        <v>200</v>
      </c>
      <c r="G446" s="3" t="n">
        <v>16</v>
      </c>
      <c r="H446" s="8" t="n">
        <f aca="false">(E446/1000)*(F446/1000)*(G446/1000)*7850</f>
        <v>41.62384</v>
      </c>
      <c r="I446" s="3" t="n">
        <v>3</v>
      </c>
      <c r="J446" s="9" t="n">
        <f aca="false">H446*I446</f>
        <v>124.87152</v>
      </c>
      <c r="K446" s="3"/>
    </row>
    <row r="447" customFormat="false" ht="19.5" hidden="false" customHeight="false" outlineLevel="0" collapsed="false">
      <c r="A447" s="3" t="s">
        <v>169</v>
      </c>
      <c r="B447" s="3" t="s">
        <v>170</v>
      </c>
      <c r="C447" s="3" t="s">
        <v>185</v>
      </c>
      <c r="D447" s="3" t="s">
        <v>9</v>
      </c>
      <c r="E447" s="3" t="n">
        <v>1782</v>
      </c>
      <c r="F447" s="3" t="n">
        <v>40</v>
      </c>
      <c r="G447" s="3" t="n">
        <v>4</v>
      </c>
      <c r="H447" s="8" t="n">
        <f aca="false">(E447/1000)*(F447/1000)*(G447/1000)*7850</f>
        <v>2.238192</v>
      </c>
      <c r="I447" s="3" t="n">
        <v>4</v>
      </c>
      <c r="J447" s="9" t="n">
        <f aca="false">H447*I447</f>
        <v>8.952768</v>
      </c>
      <c r="K447" s="3"/>
    </row>
    <row r="448" customFormat="false" ht="19.5" hidden="false" customHeight="false" outlineLevel="0" collapsed="false">
      <c r="A448" s="3" t="s">
        <v>169</v>
      </c>
      <c r="B448" s="3" t="s">
        <v>170</v>
      </c>
      <c r="C448" s="3" t="s">
        <v>185</v>
      </c>
      <c r="D448" s="3" t="s">
        <v>9</v>
      </c>
      <c r="E448" s="3" t="n">
        <v>600</v>
      </c>
      <c r="F448" s="3" t="n">
        <v>400</v>
      </c>
      <c r="G448" s="3" t="n">
        <v>16</v>
      </c>
      <c r="H448" s="8" t="n">
        <f aca="false">(E448/1000)*(F448/1000)*(G448/1000)*7850</f>
        <v>30.144</v>
      </c>
      <c r="I448" s="3" t="n">
        <v>4</v>
      </c>
      <c r="J448" s="9" t="n">
        <f aca="false">H448*I448</f>
        <v>120.576</v>
      </c>
      <c r="K448" s="3"/>
    </row>
    <row r="449" customFormat="false" ht="19.5" hidden="false" customHeight="false" outlineLevel="0" collapsed="false">
      <c r="A449" s="3" t="s">
        <v>169</v>
      </c>
      <c r="B449" s="3" t="s">
        <v>170</v>
      </c>
      <c r="C449" s="3" t="s">
        <v>185</v>
      </c>
      <c r="D449" s="3" t="s">
        <v>9</v>
      </c>
      <c r="E449" s="3" t="n">
        <v>7900</v>
      </c>
      <c r="F449" s="3" t="n">
        <v>320</v>
      </c>
      <c r="G449" s="3" t="n">
        <v>32</v>
      </c>
      <c r="H449" s="8" t="n">
        <f aca="false">(E449/1000)*(F449/1000)*(G449/1000)*7850</f>
        <v>635.0336</v>
      </c>
      <c r="I449" s="3" t="n">
        <v>6</v>
      </c>
      <c r="J449" s="9" t="n">
        <f aca="false">H449*I449</f>
        <v>3810.2016</v>
      </c>
      <c r="K449" s="3"/>
    </row>
    <row r="450" customFormat="false" ht="19.5" hidden="false" customHeight="false" outlineLevel="0" collapsed="false">
      <c r="A450" s="3" t="s">
        <v>169</v>
      </c>
      <c r="B450" s="3" t="s">
        <v>170</v>
      </c>
      <c r="C450" s="3" t="s">
        <v>185</v>
      </c>
      <c r="D450" s="3" t="s">
        <v>9</v>
      </c>
      <c r="E450" s="3" t="n">
        <v>6950</v>
      </c>
      <c r="F450" s="3" t="n">
        <v>320</v>
      </c>
      <c r="G450" s="3" t="n">
        <v>32</v>
      </c>
      <c r="H450" s="8" t="n">
        <f aca="false">(E450/1000)*(F450/1000)*(G450/1000)*7850</f>
        <v>558.6688</v>
      </c>
      <c r="I450" s="3" t="n">
        <v>6</v>
      </c>
      <c r="J450" s="9" t="n">
        <f aca="false">H450*I450</f>
        <v>3352.0128</v>
      </c>
      <c r="K450" s="3"/>
    </row>
    <row r="451" customFormat="false" ht="19.5" hidden="false" customHeight="false" outlineLevel="0" collapsed="false">
      <c r="A451" s="3" t="s">
        <v>169</v>
      </c>
      <c r="B451" s="3" t="s">
        <v>170</v>
      </c>
      <c r="C451" s="3" t="s">
        <v>185</v>
      </c>
      <c r="D451" s="3" t="s">
        <v>8</v>
      </c>
      <c r="E451" s="3" t="n">
        <v>12530</v>
      </c>
      <c r="F451" s="3" t="n">
        <v>1000</v>
      </c>
      <c r="G451" s="3" t="n">
        <v>32</v>
      </c>
      <c r="H451" s="8" t="n">
        <f aca="false">(E451/1000)*(F451/1000)*(G451/1000)*7850</f>
        <v>3147.536</v>
      </c>
      <c r="I451" s="3" t="n">
        <v>1</v>
      </c>
      <c r="J451" s="9" t="n">
        <f aca="false">H451*I451</f>
        <v>3147.536</v>
      </c>
      <c r="K451" s="3"/>
    </row>
    <row r="452" customFormat="false" ht="19.5" hidden="false" customHeight="false" outlineLevel="0" collapsed="false">
      <c r="A452" s="3" t="s">
        <v>169</v>
      </c>
      <c r="B452" s="3" t="s">
        <v>170</v>
      </c>
      <c r="C452" s="3" t="s">
        <v>186</v>
      </c>
      <c r="D452" s="3" t="s">
        <v>8</v>
      </c>
      <c r="E452" s="3" t="n">
        <v>1450</v>
      </c>
      <c r="F452" s="3" t="n">
        <v>1200</v>
      </c>
      <c r="G452" s="3" t="n">
        <v>16</v>
      </c>
      <c r="H452" s="8" t="n">
        <f aca="false">(E452/1000)*(F452/1000)*(G452/1000)*7850</f>
        <v>218.544</v>
      </c>
      <c r="I452" s="3" t="n">
        <v>3</v>
      </c>
      <c r="J452" s="9" t="n">
        <f aca="false">H452*I452</f>
        <v>655.632</v>
      </c>
      <c r="K452" s="3"/>
    </row>
    <row r="453" customFormat="false" ht="19.5" hidden="false" customHeight="false" outlineLevel="0" collapsed="false">
      <c r="A453" s="3" t="s">
        <v>169</v>
      </c>
      <c r="B453" s="3" t="s">
        <v>170</v>
      </c>
      <c r="C453" s="3" t="s">
        <v>187</v>
      </c>
      <c r="D453" s="3" t="s">
        <v>8</v>
      </c>
      <c r="E453" s="3" t="n">
        <v>1450</v>
      </c>
      <c r="F453" s="3" t="n">
        <v>1200</v>
      </c>
      <c r="G453" s="3" t="n">
        <v>16</v>
      </c>
      <c r="H453" s="8" t="n">
        <f aca="false">(E453/1000)*(F453/1000)*(G453/1000)*7850</f>
        <v>218.544</v>
      </c>
      <c r="I453" s="3" t="n">
        <v>2</v>
      </c>
      <c r="J453" s="9" t="n">
        <f aca="false">H453*I453</f>
        <v>437.088</v>
      </c>
      <c r="K453" s="3"/>
    </row>
    <row r="454" customFormat="false" ht="19.5" hidden="false" customHeight="false" outlineLevel="0" collapsed="false">
      <c r="A454" s="3" t="s">
        <v>169</v>
      </c>
      <c r="B454" s="3" t="s">
        <v>170</v>
      </c>
      <c r="C454" s="3" t="s">
        <v>192</v>
      </c>
      <c r="D454" s="3" t="s">
        <v>8</v>
      </c>
      <c r="E454" s="3" t="n">
        <v>1450</v>
      </c>
      <c r="F454" s="3" t="n">
        <v>602</v>
      </c>
      <c r="G454" s="3" t="n">
        <v>14</v>
      </c>
      <c r="H454" s="8" t="n">
        <f aca="false">(E454/1000)*(F454/1000)*(G454/1000)*7850</f>
        <v>95.93171</v>
      </c>
      <c r="I454" s="3" t="n">
        <v>3</v>
      </c>
      <c r="J454" s="9" t="n">
        <f aca="false">H454*I454</f>
        <v>287.79513</v>
      </c>
      <c r="K454" s="3"/>
    </row>
    <row r="455" customFormat="false" ht="19.5" hidden="false" customHeight="false" outlineLevel="0" collapsed="false">
      <c r="A455" s="3" t="s">
        <v>171</v>
      </c>
      <c r="B455" s="3" t="s">
        <v>172</v>
      </c>
      <c r="C455" s="3" t="s">
        <v>183</v>
      </c>
      <c r="D455" s="3" t="s">
        <v>8</v>
      </c>
      <c r="E455" s="3" t="n">
        <v>1576</v>
      </c>
      <c r="F455" s="3" t="n">
        <v>1200</v>
      </c>
      <c r="G455" s="3" t="n">
        <v>16</v>
      </c>
      <c r="H455" s="8" t="n">
        <f aca="false">(E455/1000)*(F455/1000)*(G455/1000)*7850</f>
        <v>237.53472</v>
      </c>
      <c r="I455" s="3" t="n">
        <v>2</v>
      </c>
      <c r="J455" s="9" t="n">
        <f aca="false">H455*I455</f>
        <v>475.06944</v>
      </c>
      <c r="K455" s="3"/>
    </row>
    <row r="456" customFormat="false" ht="19.5" hidden="false" customHeight="false" outlineLevel="0" collapsed="false">
      <c r="A456" s="3" t="s">
        <v>171</v>
      </c>
      <c r="B456" s="3" t="s">
        <v>172</v>
      </c>
      <c r="C456" s="3" t="s">
        <v>185</v>
      </c>
      <c r="D456" s="3" t="s">
        <v>8</v>
      </c>
      <c r="E456" s="3" t="n">
        <v>1782</v>
      </c>
      <c r="F456" s="3" t="n">
        <v>40</v>
      </c>
      <c r="G456" s="3" t="n">
        <v>4</v>
      </c>
      <c r="H456" s="8" t="n">
        <f aca="false">(E456/1000)*(F456/1000)*(G456/1000)*7850</f>
        <v>2.238192</v>
      </c>
      <c r="I456" s="3" t="n">
        <v>4</v>
      </c>
      <c r="J456" s="9" t="n">
        <f aca="false">H456*I456</f>
        <v>8.952768</v>
      </c>
      <c r="K456" s="3"/>
    </row>
    <row r="457" customFormat="false" ht="19.5" hidden="false" customHeight="false" outlineLevel="0" collapsed="false">
      <c r="A457" s="3" t="s">
        <v>171</v>
      </c>
      <c r="B457" s="3" t="s">
        <v>172</v>
      </c>
      <c r="C457" s="3" t="s">
        <v>185</v>
      </c>
      <c r="D457" s="3" t="s">
        <v>8</v>
      </c>
      <c r="E457" s="3" t="n">
        <v>600</v>
      </c>
      <c r="F457" s="3" t="n">
        <v>400</v>
      </c>
      <c r="G457" s="3" t="n">
        <v>16</v>
      </c>
      <c r="H457" s="8" t="n">
        <f aca="false">(E457/1000)*(F457/1000)*(G457/1000)*7850</f>
        <v>30.144</v>
      </c>
      <c r="I457" s="3" t="n">
        <v>4</v>
      </c>
      <c r="J457" s="9" t="n">
        <f aca="false">H457*I457</f>
        <v>120.576</v>
      </c>
      <c r="K457" s="3"/>
    </row>
    <row r="458" customFormat="false" ht="19.5" hidden="false" customHeight="false" outlineLevel="0" collapsed="false">
      <c r="A458" s="3" t="s">
        <v>171</v>
      </c>
      <c r="B458" s="3" t="s">
        <v>172</v>
      </c>
      <c r="C458" s="3" t="s">
        <v>185</v>
      </c>
      <c r="D458" s="3" t="s">
        <v>8</v>
      </c>
      <c r="E458" s="3" t="n">
        <v>7900</v>
      </c>
      <c r="F458" s="3" t="n">
        <v>320</v>
      </c>
      <c r="G458" s="3" t="n">
        <v>32</v>
      </c>
      <c r="H458" s="8" t="n">
        <f aca="false">(E458/1000)*(F458/1000)*(G458/1000)*7850</f>
        <v>635.0336</v>
      </c>
      <c r="I458" s="3" t="n">
        <v>6</v>
      </c>
      <c r="J458" s="9" t="n">
        <f aca="false">H458*I458</f>
        <v>3810.2016</v>
      </c>
      <c r="K458" s="3"/>
    </row>
    <row r="459" customFormat="false" ht="19.5" hidden="false" customHeight="false" outlineLevel="0" collapsed="false">
      <c r="A459" s="3" t="s">
        <v>171</v>
      </c>
      <c r="B459" s="3" t="s">
        <v>172</v>
      </c>
      <c r="C459" s="3" t="s">
        <v>185</v>
      </c>
      <c r="D459" s="3" t="s">
        <v>8</v>
      </c>
      <c r="E459" s="3" t="n">
        <v>7100</v>
      </c>
      <c r="F459" s="3" t="n">
        <v>240</v>
      </c>
      <c r="G459" s="3" t="n">
        <v>20</v>
      </c>
      <c r="H459" s="8" t="n">
        <f aca="false">(E459/1000)*(F459/1000)*(G459/1000)*7850</f>
        <v>267.528</v>
      </c>
      <c r="I459" s="3" t="n">
        <v>6</v>
      </c>
      <c r="J459" s="9" t="n">
        <f aca="false">H459*I459</f>
        <v>1605.168</v>
      </c>
      <c r="K459" s="3"/>
    </row>
    <row r="460" customFormat="false" ht="19.5" hidden="false" customHeight="false" outlineLevel="0" collapsed="false">
      <c r="A460" s="3" t="s">
        <v>171</v>
      </c>
      <c r="B460" s="3" t="s">
        <v>172</v>
      </c>
      <c r="C460" s="3" t="s">
        <v>185</v>
      </c>
      <c r="D460" s="3" t="s">
        <v>8</v>
      </c>
      <c r="E460" s="3" t="n">
        <v>7900</v>
      </c>
      <c r="F460" s="3" t="n">
        <v>1850</v>
      </c>
      <c r="G460" s="3" t="n">
        <v>20</v>
      </c>
      <c r="H460" s="8" t="n">
        <f aca="false">(E460/1000)*(F460/1000)*(G460/1000)*7850</f>
        <v>2294.555</v>
      </c>
      <c r="I460" s="3" t="n">
        <v>1</v>
      </c>
      <c r="J460" s="9" t="n">
        <f aca="false">H460*I460</f>
        <v>2294.555</v>
      </c>
      <c r="K460" s="3"/>
    </row>
    <row r="461" customFormat="false" ht="19.5" hidden="false" customHeight="false" outlineLevel="0" collapsed="false">
      <c r="A461" s="3" t="s">
        <v>171</v>
      </c>
      <c r="B461" s="3" t="s">
        <v>172</v>
      </c>
      <c r="C461" s="3" t="s">
        <v>185</v>
      </c>
      <c r="D461" s="3" t="s">
        <v>8</v>
      </c>
      <c r="E461" s="3" t="n">
        <v>7100</v>
      </c>
      <c r="F461" s="3" t="n">
        <v>1850</v>
      </c>
      <c r="G461" s="3" t="n">
        <v>20</v>
      </c>
      <c r="H461" s="8" t="n">
        <f aca="false">(E461/1000)*(F461/1000)*(G461/1000)*7850</f>
        <v>2062.195</v>
      </c>
      <c r="I461" s="3" t="n">
        <v>1</v>
      </c>
      <c r="J461" s="9" t="n">
        <f aca="false">H461*I461</f>
        <v>2062.195</v>
      </c>
      <c r="K461" s="3"/>
    </row>
    <row r="462" customFormat="false" ht="19.5" hidden="false" customHeight="false" outlineLevel="0" collapsed="false">
      <c r="A462" s="3" t="s">
        <v>171</v>
      </c>
      <c r="B462" s="3" t="s">
        <v>172</v>
      </c>
      <c r="C462" s="3" t="s">
        <v>185</v>
      </c>
      <c r="D462" s="3" t="s">
        <v>8</v>
      </c>
      <c r="E462" s="3" t="n">
        <v>12530</v>
      </c>
      <c r="F462" s="3" t="n">
        <v>1000</v>
      </c>
      <c r="G462" s="3" t="n">
        <v>20</v>
      </c>
      <c r="H462" s="8" t="n">
        <f aca="false">(E462/1000)*(F462/1000)*(G462/1000)*7850</f>
        <v>1967.21</v>
      </c>
      <c r="I462" s="3" t="n">
        <v>1</v>
      </c>
      <c r="J462" s="9" t="n">
        <f aca="false">H462*I462</f>
        <v>1967.21</v>
      </c>
      <c r="K462" s="3"/>
    </row>
    <row r="463" customFormat="false" ht="19.5" hidden="false" customHeight="false" outlineLevel="0" collapsed="false">
      <c r="A463" s="3" t="s">
        <v>171</v>
      </c>
      <c r="B463" s="3" t="s">
        <v>172</v>
      </c>
      <c r="C463" s="3" t="s">
        <v>185</v>
      </c>
      <c r="D463" s="3" t="s">
        <v>8</v>
      </c>
      <c r="E463" s="3" t="n">
        <v>9710</v>
      </c>
      <c r="F463" s="3" t="n">
        <v>1000</v>
      </c>
      <c r="G463" s="3" t="n">
        <v>20</v>
      </c>
      <c r="H463" s="8" t="n">
        <f aca="false">(E463/1000)*(F463/1000)*(G463/1000)*7850</f>
        <v>1524.47</v>
      </c>
      <c r="I463" s="3" t="n">
        <v>1</v>
      </c>
      <c r="J463" s="9" t="n">
        <f aca="false">H463*I463</f>
        <v>1524.47</v>
      </c>
      <c r="K463" s="3"/>
    </row>
    <row r="464" customFormat="false" ht="19.5" hidden="false" customHeight="false" outlineLevel="0" collapsed="false">
      <c r="A464" s="3" t="s">
        <v>171</v>
      </c>
      <c r="B464" s="3" t="s">
        <v>172</v>
      </c>
      <c r="C464" s="3" t="s">
        <v>185</v>
      </c>
      <c r="D464" s="3" t="s">
        <v>8</v>
      </c>
      <c r="E464" s="3" t="n">
        <v>20710</v>
      </c>
      <c r="F464" s="3" t="n">
        <v>1000</v>
      </c>
      <c r="G464" s="3" t="n">
        <v>40</v>
      </c>
      <c r="H464" s="8" t="n">
        <f aca="false">(E464/1000)*(F464/1000)*(G464/1000)*7850</f>
        <v>6502.94</v>
      </c>
      <c r="I464" s="3" t="n">
        <v>2</v>
      </c>
      <c r="J464" s="9" t="n">
        <f aca="false">H464*I464</f>
        <v>13005.88</v>
      </c>
      <c r="K464" s="3"/>
    </row>
    <row r="465" customFormat="false" ht="19.5" hidden="false" customHeight="false" outlineLevel="0" collapsed="false">
      <c r="A465" s="3" t="s">
        <v>171</v>
      </c>
      <c r="B465" s="3" t="s">
        <v>172</v>
      </c>
      <c r="C465" s="3" t="s">
        <v>186</v>
      </c>
      <c r="D465" s="3" t="s">
        <v>8</v>
      </c>
      <c r="E465" s="3" t="n">
        <v>1450</v>
      </c>
      <c r="F465" s="3" t="n">
        <v>1200</v>
      </c>
      <c r="G465" s="3" t="n">
        <v>16</v>
      </c>
      <c r="H465" s="8" t="n">
        <f aca="false">(E465/1000)*(F465/1000)*(G465/1000)*7850</f>
        <v>218.544</v>
      </c>
      <c r="I465" s="3" t="n">
        <v>3</v>
      </c>
      <c r="J465" s="9" t="n">
        <f aca="false">H465*I465</f>
        <v>655.632</v>
      </c>
      <c r="K465" s="3"/>
    </row>
    <row r="466" customFormat="false" ht="19.5" hidden="false" customHeight="false" outlineLevel="0" collapsed="false">
      <c r="A466" s="3" t="s">
        <v>173</v>
      </c>
      <c r="B466" s="3" t="s">
        <v>174</v>
      </c>
      <c r="C466" s="3" t="s">
        <v>182</v>
      </c>
      <c r="D466" s="3" t="s">
        <v>8</v>
      </c>
      <c r="E466" s="3" t="n">
        <v>1580</v>
      </c>
      <c r="F466" s="3" t="n">
        <v>1200</v>
      </c>
      <c r="G466" s="3" t="n">
        <v>16</v>
      </c>
      <c r="H466" s="8" t="n">
        <f aca="false">(E466/1000)*(F466/1000)*(G466/1000)*7850</f>
        <v>238.1376</v>
      </c>
      <c r="I466" s="3" t="n">
        <v>3</v>
      </c>
      <c r="J466" s="9" t="n">
        <f aca="false">H466*I466</f>
        <v>714.4128</v>
      </c>
      <c r="K466" s="3"/>
    </row>
    <row r="467" customFormat="false" ht="19.5" hidden="false" customHeight="false" outlineLevel="0" collapsed="false">
      <c r="A467" s="3" t="s">
        <v>173</v>
      </c>
      <c r="B467" s="3" t="s">
        <v>174</v>
      </c>
      <c r="C467" s="3" t="s">
        <v>183</v>
      </c>
      <c r="D467" s="3" t="s">
        <v>8</v>
      </c>
      <c r="E467" s="3" t="n">
        <v>1580</v>
      </c>
      <c r="F467" s="3" t="n">
        <v>1200</v>
      </c>
      <c r="G467" s="3" t="n">
        <v>16</v>
      </c>
      <c r="H467" s="8" t="n">
        <f aca="false">(E467/1000)*(F467/1000)*(G467/1000)*7850</f>
        <v>238.1376</v>
      </c>
      <c r="I467" s="3" t="n">
        <v>2</v>
      </c>
      <c r="J467" s="9" t="n">
        <f aca="false">H467*I467</f>
        <v>476.2752</v>
      </c>
      <c r="K467" s="3"/>
    </row>
    <row r="468" customFormat="false" ht="19.5" hidden="false" customHeight="false" outlineLevel="0" collapsed="false">
      <c r="A468" s="3" t="s">
        <v>173</v>
      </c>
      <c r="B468" s="3" t="s">
        <v>174</v>
      </c>
      <c r="C468" s="3" t="s">
        <v>183</v>
      </c>
      <c r="D468" s="3" t="s">
        <v>8</v>
      </c>
      <c r="E468" s="3" t="n">
        <v>1657</v>
      </c>
      <c r="F468" s="3" t="n">
        <v>200</v>
      </c>
      <c r="G468" s="3" t="n">
        <v>16</v>
      </c>
      <c r="H468" s="8" t="n">
        <f aca="false">(E468/1000)*(F468/1000)*(G468/1000)*7850</f>
        <v>41.62384</v>
      </c>
      <c r="I468" s="3" t="n">
        <v>3</v>
      </c>
      <c r="J468" s="9" t="n">
        <f aca="false">H468*I468</f>
        <v>124.87152</v>
      </c>
      <c r="K468" s="3"/>
    </row>
    <row r="469" customFormat="false" ht="19.5" hidden="false" customHeight="false" outlineLevel="0" collapsed="false">
      <c r="A469" s="3" t="s">
        <v>173</v>
      </c>
      <c r="B469" s="3" t="s">
        <v>174</v>
      </c>
      <c r="C469" s="3" t="s">
        <v>183</v>
      </c>
      <c r="D469" s="3" t="s">
        <v>8</v>
      </c>
      <c r="E469" s="3" t="n">
        <v>1782</v>
      </c>
      <c r="F469" s="3" t="n">
        <v>40</v>
      </c>
      <c r="G469" s="3" t="n">
        <v>4</v>
      </c>
      <c r="H469" s="8" t="n">
        <f aca="false">(E469/1000)*(F469/1000)*(G469/1000)*7850</f>
        <v>2.238192</v>
      </c>
      <c r="I469" s="3" t="n">
        <v>4</v>
      </c>
      <c r="J469" s="9" t="n">
        <f aca="false">H469*I469</f>
        <v>8.952768</v>
      </c>
      <c r="K469" s="3"/>
    </row>
    <row r="470" customFormat="false" ht="19.5" hidden="false" customHeight="false" outlineLevel="0" collapsed="false">
      <c r="A470" s="3" t="s">
        <v>173</v>
      </c>
      <c r="B470" s="3" t="s">
        <v>174</v>
      </c>
      <c r="C470" s="3" t="s">
        <v>183</v>
      </c>
      <c r="D470" s="3" t="s">
        <v>8</v>
      </c>
      <c r="E470" s="3" t="n">
        <v>600</v>
      </c>
      <c r="F470" s="3" t="n">
        <v>400</v>
      </c>
      <c r="G470" s="3" t="n">
        <v>16</v>
      </c>
      <c r="H470" s="8" t="n">
        <f aca="false">(E470/1000)*(F470/1000)*(G470/1000)*7850</f>
        <v>30.144</v>
      </c>
      <c r="I470" s="3" t="n">
        <v>4</v>
      </c>
      <c r="J470" s="9" t="n">
        <f aca="false">H470*I470</f>
        <v>120.576</v>
      </c>
      <c r="K470" s="3"/>
    </row>
    <row r="471" customFormat="false" ht="19.5" hidden="false" customHeight="false" outlineLevel="0" collapsed="false">
      <c r="A471" s="3" t="s">
        <v>173</v>
      </c>
      <c r="B471" s="3" t="s">
        <v>174</v>
      </c>
      <c r="C471" s="3" t="s">
        <v>183</v>
      </c>
      <c r="D471" s="3" t="s">
        <v>8</v>
      </c>
      <c r="E471" s="3" t="n">
        <v>7300</v>
      </c>
      <c r="F471" s="3" t="n">
        <v>240</v>
      </c>
      <c r="G471" s="3" t="n">
        <v>20</v>
      </c>
      <c r="H471" s="8" t="n">
        <f aca="false">(E471/1000)*(F471/1000)*(G471/1000)*7850</f>
        <v>275.064</v>
      </c>
      <c r="I471" s="3" t="n">
        <v>2</v>
      </c>
      <c r="J471" s="9" t="n">
        <f aca="false">H471*I471</f>
        <v>550.128</v>
      </c>
      <c r="K471" s="3"/>
    </row>
    <row r="472" customFormat="false" ht="19.5" hidden="false" customHeight="false" outlineLevel="0" collapsed="false">
      <c r="A472" s="3" t="s">
        <v>173</v>
      </c>
      <c r="B472" s="3" t="s">
        <v>174</v>
      </c>
      <c r="C472" s="3" t="s">
        <v>183</v>
      </c>
      <c r="D472" s="3" t="s">
        <v>8</v>
      </c>
      <c r="E472" s="3" t="n">
        <v>7300</v>
      </c>
      <c r="F472" s="3" t="n">
        <v>240</v>
      </c>
      <c r="G472" s="3" t="n">
        <v>20</v>
      </c>
      <c r="H472" s="8" t="n">
        <f aca="false">(E472/1000)*(F472/1000)*(G472/1000)*7850</f>
        <v>275.064</v>
      </c>
      <c r="I472" s="3" t="n">
        <v>6</v>
      </c>
      <c r="J472" s="9" t="n">
        <f aca="false">H472*I472</f>
        <v>1650.384</v>
      </c>
      <c r="K472" s="3"/>
    </row>
    <row r="473" customFormat="false" ht="19.5" hidden="false" customHeight="false" outlineLevel="0" collapsed="false">
      <c r="A473" s="3" t="s">
        <v>173</v>
      </c>
      <c r="B473" s="3" t="s">
        <v>174</v>
      </c>
      <c r="C473" s="3" t="s">
        <v>186</v>
      </c>
      <c r="D473" s="3" t="s">
        <v>8</v>
      </c>
      <c r="E473" s="3" t="n">
        <v>1450</v>
      </c>
      <c r="F473" s="3" t="n">
        <v>1200</v>
      </c>
      <c r="G473" s="3" t="n">
        <v>16</v>
      </c>
      <c r="H473" s="8" t="n">
        <f aca="false">(E473/1000)*(F473/1000)*(G473/1000)*7850</f>
        <v>218.544</v>
      </c>
      <c r="I473" s="3" t="n">
        <v>3</v>
      </c>
      <c r="J473" s="9" t="n">
        <f aca="false">H473*I473</f>
        <v>655.632</v>
      </c>
      <c r="K473" s="3"/>
    </row>
    <row r="474" customFormat="false" ht="19.5" hidden="false" customHeight="false" outlineLevel="0" collapsed="false">
      <c r="A474" s="3" t="s">
        <v>173</v>
      </c>
      <c r="B474" s="3" t="s">
        <v>174</v>
      </c>
      <c r="C474" s="3" t="s">
        <v>193</v>
      </c>
      <c r="D474" s="3" t="s">
        <v>8</v>
      </c>
      <c r="E474" s="3" t="n">
        <v>1657</v>
      </c>
      <c r="F474" s="3" t="n">
        <v>200</v>
      </c>
      <c r="G474" s="3" t="n">
        <v>16</v>
      </c>
      <c r="H474" s="8" t="n">
        <f aca="false">(E474/1000)*(F474/1000)*(G474/1000)*7850</f>
        <v>41.62384</v>
      </c>
      <c r="I474" s="3" t="n">
        <v>3</v>
      </c>
      <c r="J474" s="9" t="n">
        <f aca="false">H474*I474</f>
        <v>124.87152</v>
      </c>
      <c r="K474" s="3"/>
    </row>
    <row r="475" customFormat="false" ht="19.5" hidden="false" customHeight="false" outlineLevel="0" collapsed="false">
      <c r="A475" s="3" t="s">
        <v>173</v>
      </c>
      <c r="B475" s="3" t="s">
        <v>174</v>
      </c>
      <c r="C475" s="3" t="s">
        <v>193</v>
      </c>
      <c r="D475" s="3" t="s">
        <v>8</v>
      </c>
      <c r="E475" s="3" t="n">
        <v>7900</v>
      </c>
      <c r="F475" s="3" t="n">
        <v>240</v>
      </c>
      <c r="G475" s="3" t="n">
        <v>20</v>
      </c>
      <c r="H475" s="8" t="n">
        <f aca="false">(E475/1000)*(F475/1000)*(G475/1000)*7850</f>
        <v>297.672</v>
      </c>
      <c r="I475" s="3" t="n">
        <v>4</v>
      </c>
      <c r="J475" s="9" t="n">
        <f aca="false">H475*I475</f>
        <v>1190.688</v>
      </c>
      <c r="K475" s="3"/>
    </row>
    <row r="476" customFormat="false" ht="19.5" hidden="false" customHeight="false" outlineLevel="0" collapsed="false">
      <c r="A476" s="3" t="s">
        <v>173</v>
      </c>
      <c r="B476" s="3" t="s">
        <v>174</v>
      </c>
      <c r="C476" s="3" t="s">
        <v>193</v>
      </c>
      <c r="D476" s="3" t="s">
        <v>8</v>
      </c>
      <c r="E476" s="3" t="n">
        <v>7100</v>
      </c>
      <c r="F476" s="3" t="n">
        <v>240</v>
      </c>
      <c r="G476" s="3" t="n">
        <v>20</v>
      </c>
      <c r="H476" s="8" t="n">
        <f aca="false">(E476/1000)*(F476/1000)*(G476/1000)*7850</f>
        <v>267.528</v>
      </c>
      <c r="I476" s="3" t="n">
        <v>4</v>
      </c>
      <c r="J476" s="9" t="n">
        <f aca="false">H476*I476</f>
        <v>1070.112</v>
      </c>
      <c r="K476" s="3"/>
    </row>
    <row r="477" customFormat="false" ht="19.5" hidden="false" customHeight="false" outlineLevel="0" collapsed="false">
      <c r="A477" s="3" t="s">
        <v>173</v>
      </c>
      <c r="B477" s="3" t="s">
        <v>174</v>
      </c>
      <c r="C477" s="3" t="s">
        <v>193</v>
      </c>
      <c r="D477" s="3" t="s">
        <v>8</v>
      </c>
      <c r="E477" s="3" t="n">
        <v>15000</v>
      </c>
      <c r="F477" s="3" t="n">
        <v>170</v>
      </c>
      <c r="G477" s="3" t="n">
        <v>14</v>
      </c>
      <c r="H477" s="8" t="n">
        <f aca="false">(E477/1000)*(F477/1000)*(G477/1000)*7850</f>
        <v>280.245</v>
      </c>
      <c r="I477" s="3" t="n">
        <v>1</v>
      </c>
      <c r="J477" s="9" t="n">
        <f aca="false">H477*I477</f>
        <v>280.245</v>
      </c>
      <c r="K477" s="3"/>
    </row>
    <row r="478" customFormat="false" ht="19.5" hidden="false" customHeight="false" outlineLevel="0" collapsed="false">
      <c r="A478" s="3" t="s">
        <v>175</v>
      </c>
      <c r="B478" s="3" t="s">
        <v>176</v>
      </c>
      <c r="C478" s="3" t="s">
        <v>182</v>
      </c>
      <c r="D478" s="3" t="s">
        <v>8</v>
      </c>
      <c r="E478" s="3" t="n">
        <v>1580</v>
      </c>
      <c r="F478" s="3" t="n">
        <v>1200</v>
      </c>
      <c r="G478" s="3" t="n">
        <v>16</v>
      </c>
      <c r="H478" s="8" t="n">
        <f aca="false">(E478/1000)*(F478/1000)*(G478/1000)*7850</f>
        <v>238.1376</v>
      </c>
      <c r="I478" s="3" t="n">
        <v>3</v>
      </c>
      <c r="J478" s="9" t="n">
        <f aca="false">H478*I478</f>
        <v>714.4128</v>
      </c>
      <c r="K478" s="3"/>
    </row>
    <row r="479" customFormat="false" ht="19.5" hidden="false" customHeight="false" outlineLevel="0" collapsed="false">
      <c r="A479" s="3" t="s">
        <v>175</v>
      </c>
      <c r="B479" s="3" t="s">
        <v>176</v>
      </c>
      <c r="C479" s="3" t="s">
        <v>183</v>
      </c>
      <c r="D479" s="3" t="s">
        <v>8</v>
      </c>
      <c r="E479" s="3" t="n">
        <v>1580</v>
      </c>
      <c r="F479" s="3" t="n">
        <v>1200</v>
      </c>
      <c r="G479" s="3" t="n">
        <v>16</v>
      </c>
      <c r="H479" s="8" t="n">
        <f aca="false">(E479/1000)*(F479/1000)*(G479/1000)*7850</f>
        <v>238.1376</v>
      </c>
      <c r="I479" s="3" t="n">
        <v>2</v>
      </c>
      <c r="J479" s="9" t="n">
        <f aca="false">H479*I479</f>
        <v>476.2752</v>
      </c>
      <c r="K479" s="3"/>
    </row>
    <row r="480" customFormat="false" ht="19.5" hidden="false" customHeight="false" outlineLevel="0" collapsed="false">
      <c r="A480" s="3" t="s">
        <v>175</v>
      </c>
      <c r="B480" s="3" t="s">
        <v>176</v>
      </c>
      <c r="C480" s="3" t="s">
        <v>184</v>
      </c>
      <c r="D480" s="3" t="s">
        <v>8</v>
      </c>
      <c r="E480" s="3" t="n">
        <v>1657</v>
      </c>
      <c r="F480" s="3" t="n">
        <v>200</v>
      </c>
      <c r="G480" s="3" t="n">
        <v>16</v>
      </c>
      <c r="H480" s="8" t="n">
        <f aca="false">(E480/1000)*(F480/1000)*(G480/1000)*7850</f>
        <v>41.62384</v>
      </c>
      <c r="I480" s="3" t="n">
        <v>3</v>
      </c>
      <c r="J480" s="9" t="n">
        <f aca="false">H480*I480</f>
        <v>124.87152</v>
      </c>
      <c r="K480" s="3"/>
    </row>
    <row r="481" customFormat="false" ht="19.5" hidden="false" customHeight="false" outlineLevel="0" collapsed="false">
      <c r="A481" s="3" t="s">
        <v>175</v>
      </c>
      <c r="B481" s="3" t="s">
        <v>176</v>
      </c>
      <c r="C481" s="3" t="s">
        <v>184</v>
      </c>
      <c r="D481" s="3" t="s">
        <v>8</v>
      </c>
      <c r="E481" s="3" t="n">
        <v>1782</v>
      </c>
      <c r="F481" s="3" t="n">
        <v>40</v>
      </c>
      <c r="G481" s="3" t="n">
        <v>4</v>
      </c>
      <c r="H481" s="8" t="n">
        <f aca="false">(E481/1000)*(F481/1000)*(G481/1000)*7850</f>
        <v>2.238192</v>
      </c>
      <c r="I481" s="3" t="n">
        <v>4</v>
      </c>
      <c r="J481" s="9" t="n">
        <f aca="false">H481*I481</f>
        <v>8.952768</v>
      </c>
      <c r="K481" s="3"/>
    </row>
    <row r="482" customFormat="false" ht="19.5" hidden="false" customHeight="false" outlineLevel="0" collapsed="false">
      <c r="A482" s="3" t="s">
        <v>175</v>
      </c>
      <c r="B482" s="3" t="s">
        <v>176</v>
      </c>
      <c r="C482" s="3" t="s">
        <v>184</v>
      </c>
      <c r="D482" s="3" t="s">
        <v>8</v>
      </c>
      <c r="E482" s="3" t="n">
        <v>600</v>
      </c>
      <c r="F482" s="3" t="n">
        <v>400</v>
      </c>
      <c r="G482" s="3" t="n">
        <v>16</v>
      </c>
      <c r="H482" s="8" t="n">
        <f aca="false">(E482/1000)*(F482/1000)*(G482/1000)*7850</f>
        <v>30.144</v>
      </c>
      <c r="I482" s="3" t="n">
        <v>4</v>
      </c>
      <c r="J482" s="9" t="n">
        <f aca="false">H482*I482</f>
        <v>120.576</v>
      </c>
      <c r="K482" s="3"/>
    </row>
    <row r="483" customFormat="false" ht="19.5" hidden="false" customHeight="false" outlineLevel="0" collapsed="false">
      <c r="A483" s="3" t="s">
        <v>175</v>
      </c>
      <c r="B483" s="3" t="s">
        <v>176</v>
      </c>
      <c r="C483" s="3" t="s">
        <v>184</v>
      </c>
      <c r="D483" s="3" t="s">
        <v>8</v>
      </c>
      <c r="E483" s="3" t="n">
        <v>7900</v>
      </c>
      <c r="F483" s="3" t="n">
        <v>240</v>
      </c>
      <c r="G483" s="3" t="n">
        <v>20</v>
      </c>
      <c r="H483" s="8" t="n">
        <f aca="false">(E483/1000)*(F483/1000)*(G483/1000)*7850</f>
        <v>297.672</v>
      </c>
      <c r="I483" s="3" t="n">
        <v>6</v>
      </c>
      <c r="J483" s="9" t="n">
        <f aca="false">H483*I483</f>
        <v>1786.032</v>
      </c>
      <c r="K483" s="3"/>
    </row>
    <row r="484" customFormat="false" ht="19.5" hidden="false" customHeight="false" outlineLevel="0" collapsed="false">
      <c r="A484" s="3" t="s">
        <v>175</v>
      </c>
      <c r="B484" s="3" t="s">
        <v>176</v>
      </c>
      <c r="C484" s="3" t="s">
        <v>184</v>
      </c>
      <c r="D484" s="3" t="s">
        <v>8</v>
      </c>
      <c r="E484" s="3" t="n">
        <v>8800</v>
      </c>
      <c r="F484" s="3" t="n">
        <v>240</v>
      </c>
      <c r="G484" s="3" t="n">
        <v>20</v>
      </c>
      <c r="H484" s="8" t="n">
        <f aca="false">(E484/1000)*(F484/1000)*(G484/1000)*7850</f>
        <v>331.584</v>
      </c>
      <c r="I484" s="3" t="n">
        <v>6</v>
      </c>
      <c r="J484" s="9" t="n">
        <f aca="false">H484*I484</f>
        <v>1989.504</v>
      </c>
      <c r="K484" s="3"/>
    </row>
    <row r="485" customFormat="false" ht="19.5" hidden="false" customHeight="false" outlineLevel="0" collapsed="false">
      <c r="A485" s="3" t="s">
        <v>175</v>
      </c>
      <c r="B485" s="3" t="s">
        <v>176</v>
      </c>
      <c r="C485" s="3" t="s">
        <v>186</v>
      </c>
      <c r="D485" s="3" t="s">
        <v>8</v>
      </c>
      <c r="E485" s="3" t="n">
        <v>1450</v>
      </c>
      <c r="F485" s="3" t="n">
        <v>1200</v>
      </c>
      <c r="G485" s="3" t="n">
        <v>16</v>
      </c>
      <c r="H485" s="8" t="n">
        <f aca="false">(E485/1000)*(F485/1000)*(G485/1000)*7850</f>
        <v>218.544</v>
      </c>
      <c r="I485" s="3" t="n">
        <v>3</v>
      </c>
      <c r="J485" s="9" t="n">
        <f aca="false">H485*I485</f>
        <v>655.632</v>
      </c>
      <c r="K485" s="3"/>
    </row>
    <row r="486" customFormat="false" ht="19.5" hidden="false" customHeight="false" outlineLevel="0" collapsed="false">
      <c r="A486" s="3" t="s">
        <v>175</v>
      </c>
      <c r="B486" s="3" t="s">
        <v>176</v>
      </c>
      <c r="C486" s="3" t="s">
        <v>193</v>
      </c>
      <c r="D486" s="3" t="s">
        <v>8</v>
      </c>
      <c r="E486" s="3" t="n">
        <v>1657</v>
      </c>
      <c r="F486" s="3" t="n">
        <v>200</v>
      </c>
      <c r="G486" s="3" t="n">
        <v>16</v>
      </c>
      <c r="H486" s="8" t="n">
        <f aca="false">(E486/1000)*(F486/1000)*(G486/1000)*7850</f>
        <v>41.62384</v>
      </c>
      <c r="I486" s="3" t="n">
        <v>3</v>
      </c>
      <c r="J486" s="9" t="n">
        <f aca="false">H486*I486</f>
        <v>124.87152</v>
      </c>
      <c r="K486" s="3"/>
    </row>
    <row r="487" customFormat="false" ht="19.5" hidden="false" customHeight="false" outlineLevel="0" collapsed="false">
      <c r="A487" s="3" t="s">
        <v>177</v>
      </c>
      <c r="B487" s="3" t="s">
        <v>178</v>
      </c>
      <c r="C487" s="3" t="s">
        <v>186</v>
      </c>
      <c r="D487" s="3" t="s">
        <v>8</v>
      </c>
      <c r="E487" s="3" t="n">
        <v>1450</v>
      </c>
      <c r="F487" s="3" t="n">
        <v>1200</v>
      </c>
      <c r="G487" s="3" t="n">
        <v>16</v>
      </c>
      <c r="H487" s="8" t="n">
        <f aca="false">(E487/1000)*(F487/1000)*(G487/1000)*7850</f>
        <v>218.544</v>
      </c>
      <c r="I487" s="3" t="n">
        <v>1</v>
      </c>
      <c r="J487" s="9" t="n">
        <f aca="false">H487*I487</f>
        <v>218.544</v>
      </c>
      <c r="K487" s="3"/>
    </row>
    <row r="488" customFormat="false" ht="19.5" hidden="false" customHeight="false" outlineLevel="0" collapsed="false">
      <c r="A488" s="3" t="s">
        <v>177</v>
      </c>
      <c r="B488" s="3" t="s">
        <v>178</v>
      </c>
      <c r="C488" s="3" t="s">
        <v>186</v>
      </c>
      <c r="D488" s="3" t="s">
        <v>8</v>
      </c>
      <c r="E488" s="3" t="n">
        <v>1657</v>
      </c>
      <c r="F488" s="3" t="n">
        <v>200</v>
      </c>
      <c r="G488" s="3" t="n">
        <v>16</v>
      </c>
      <c r="H488" s="8" t="n">
        <f aca="false">(E488/1000)*(F488/1000)*(G488/1000)*7850</f>
        <v>41.62384</v>
      </c>
      <c r="I488" s="3" t="n">
        <v>5</v>
      </c>
      <c r="J488" s="9" t="n">
        <f aca="false">H488*I488</f>
        <v>208.1192</v>
      </c>
      <c r="K488" s="3"/>
    </row>
    <row r="489" customFormat="false" ht="19.5" hidden="false" customHeight="false" outlineLevel="0" collapsed="false">
      <c r="A489" s="3" t="s">
        <v>177</v>
      </c>
      <c r="B489" s="3" t="s">
        <v>178</v>
      </c>
      <c r="C489" s="3" t="s">
        <v>186</v>
      </c>
      <c r="D489" s="3" t="s">
        <v>8</v>
      </c>
      <c r="E489" s="3" t="n">
        <v>1450</v>
      </c>
      <c r="F489" s="3" t="n">
        <v>1200</v>
      </c>
      <c r="G489" s="3" t="n">
        <v>16</v>
      </c>
      <c r="H489" s="8" t="n">
        <f aca="false">(E489/1000)*(F489/1000)*(G489/1000)*7850</f>
        <v>218.544</v>
      </c>
      <c r="I489" s="3" t="n">
        <v>6</v>
      </c>
      <c r="J489" s="9" t="n">
        <f aca="false">H489*I489</f>
        <v>1311.264</v>
      </c>
      <c r="K489" s="3"/>
    </row>
    <row r="491" customFormat="false" ht="15" hidden="false" customHeight="false" outlineLevel="0" collapsed="false">
      <c r="A491" s="10" t="s">
        <v>179</v>
      </c>
    </row>
    <row r="492" customFormat="false" ht="15" hidden="false" customHeight="false" outlineLevel="0" collapsed="false">
      <c r="A492" s="2" t="s">
        <v>31</v>
      </c>
      <c r="B492" s="2" t="n">
        <v>4</v>
      </c>
      <c r="C492" s="2" t="n">
        <v>6</v>
      </c>
      <c r="D492" s="2" t="n">
        <v>8</v>
      </c>
      <c r="E492" s="2" t="n">
        <v>10</v>
      </c>
      <c r="F492" s="2" t="n">
        <v>12</v>
      </c>
      <c r="G492" s="2" t="n">
        <v>14</v>
      </c>
      <c r="H492" s="2" t="n">
        <v>16</v>
      </c>
      <c r="I492" s="2" t="n">
        <v>20</v>
      </c>
      <c r="J492" s="2" t="n">
        <v>24</v>
      </c>
      <c r="K492" s="2" t="n">
        <v>28</v>
      </c>
      <c r="L492" s="2" t="n">
        <v>32</v>
      </c>
      <c r="M492" s="2" t="n">
        <v>36</v>
      </c>
      <c r="N492" s="2" t="n">
        <v>40</v>
      </c>
      <c r="O492" s="2" t="n">
        <v>44</v>
      </c>
      <c r="P492" s="2" t="n">
        <v>48</v>
      </c>
      <c r="Q492" s="2" t="n">
        <v>50</v>
      </c>
      <c r="R492" s="2" t="n">
        <v>60</v>
      </c>
      <c r="S492" s="2" t="n">
        <v>80</v>
      </c>
      <c r="T492" s="2" t="n">
        <v>100</v>
      </c>
      <c r="U492" s="2" t="s">
        <v>10</v>
      </c>
    </row>
    <row r="493" customFormat="false" ht="15" hidden="false" customHeight="false" outlineLevel="0" collapsed="false">
      <c r="A493" s="3" t="s">
        <v>180</v>
      </c>
      <c r="B493" s="9" t="n">
        <f aca="false">SUMIFS($J$4:$J$489,$D$4:$D$489,$A493,$G$4:$G$489,B$492)</f>
        <v>186.0136</v>
      </c>
      <c r="C493" s="9" t="n">
        <f aca="false">SUMIFS($J$4:$J$489,$D$4:$D$489,$A493,$G$4:$G$489,C$492)</f>
        <v>0</v>
      </c>
      <c r="D493" s="9" t="n">
        <f aca="false">SUMIFS($J$4:$J$489,$D$4:$D$489,$A493,$G$4:$G$489,D$492)</f>
        <v>0</v>
      </c>
      <c r="E493" s="9" t="n">
        <f aca="false">SUMIFS($J$4:$J$489,$D$4:$D$489,$A493,$G$4:$G$489,E$492)</f>
        <v>0</v>
      </c>
      <c r="F493" s="9" t="n">
        <f aca="false">SUMIFS($J$4:$J$489,$D$4:$D$489,$A493,$G$4:$G$489,F$492)</f>
        <v>0</v>
      </c>
      <c r="G493" s="9" t="n">
        <f aca="false">SUMIFS($J$4:$J$489,$D$4:$D$489,$A493,$G$4:$G$489,G$492)</f>
        <v>0</v>
      </c>
      <c r="H493" s="9" t="n">
        <f aca="false">SUMIFS($J$4:$J$489,$D$4:$D$489,$A493,$G$4:$G$489,H$492)</f>
        <v>0</v>
      </c>
      <c r="I493" s="9" t="n">
        <f aca="false">SUMIFS($J$4:$J$489,$D$4:$D$489,$A493,$G$4:$G$489,I$492)</f>
        <v>0</v>
      </c>
      <c r="J493" s="9" t="n">
        <f aca="false">SUMIFS($J$4:$J$489,$D$4:$D$489,$A493,$G$4:$G$489,J$492)</f>
        <v>0</v>
      </c>
      <c r="K493" s="9" t="n">
        <f aca="false">SUMIFS($J$4:$J$489,$D$4:$D$489,$A493,$G$4:$G$489,K$492)</f>
        <v>0</v>
      </c>
      <c r="L493" s="9" t="n">
        <f aca="false">SUMIFS($J$4:$J$489,$D$4:$D$489,$A493,$G$4:$G$489,L$492)</f>
        <v>0</v>
      </c>
      <c r="M493" s="9" t="n">
        <f aca="false">SUMIFS($J$4:$J$489,$D$4:$D$489,$A493,$G$4:$G$489,M$492)</f>
        <v>0</v>
      </c>
      <c r="N493" s="9" t="n">
        <f aca="false">SUMIFS($J$4:$J$489,$D$4:$D$489,$A493,$G$4:$G$489,N$492)</f>
        <v>0</v>
      </c>
      <c r="O493" s="9" t="n">
        <f aca="false">SUMIFS($J$4:$J$489,$D$4:$D$489,$A493,$G$4:$G$489,O$492)</f>
        <v>0</v>
      </c>
      <c r="P493" s="9" t="n">
        <f aca="false">SUMIFS($J$4:$J$489,$D$4:$D$489,$A493,$G$4:$G$489,P$492)</f>
        <v>0</v>
      </c>
      <c r="Q493" s="9" t="n">
        <f aca="false">SUMIFS($J$4:$J$489,$D$4:$D$489,$A493,$G$4:$G$489,Q$492)</f>
        <v>0</v>
      </c>
      <c r="R493" s="9" t="n">
        <f aca="false">SUMIFS($J$4:$J$489,$D$4:$D$489,$A493,$G$4:$G$489,R$492)</f>
        <v>0</v>
      </c>
      <c r="S493" s="9" t="n">
        <f aca="false">SUMIFS($J$4:$J$489,$D$4:$D$489,$A493,$G$4:$G$489,S$492)</f>
        <v>0</v>
      </c>
      <c r="T493" s="9" t="n">
        <f aca="false">SUMIFS($J$4:$J$489,$D$4:$D$489,$A493,$G$4:$G$489,T$492)</f>
        <v>0</v>
      </c>
      <c r="U493" s="0" t="n">
        <f aca="false">SUM(B493:T493)</f>
        <v>186.0136</v>
      </c>
    </row>
    <row r="494" customFormat="false" ht="15" hidden="false" customHeight="false" outlineLevel="0" collapsed="false">
      <c r="A494" s="3" t="s">
        <v>8</v>
      </c>
      <c r="B494" s="9" t="n">
        <f aca="false">SUMIFS($J$4:$J$489,$D$4:$D$489,$A494,$G$4:$G$489,B$492)</f>
        <v>139.457448</v>
      </c>
      <c r="C494" s="9" t="n">
        <f aca="false">SUMIFS($J$4:$J$489,$D$4:$D$489,$A494,$G$4:$G$489,C$492)</f>
        <v>0</v>
      </c>
      <c r="D494" s="9" t="n">
        <f aca="false">SUMIFS($J$4:$J$489,$D$4:$D$489,$A494,$G$4:$G$489,D$492)</f>
        <v>0</v>
      </c>
      <c r="E494" s="9" t="n">
        <f aca="false">SUMIFS($J$4:$J$489,$D$4:$D$489,$A494,$G$4:$G$489,E$492)</f>
        <v>0</v>
      </c>
      <c r="F494" s="9" t="n">
        <f aca="false">SUMIFS($J$4:$J$489,$D$4:$D$489,$A494,$G$4:$G$489,F$492)</f>
        <v>0</v>
      </c>
      <c r="G494" s="9" t="n">
        <f aca="false">SUMIFS($J$4:$J$489,$D$4:$D$489,$A494,$G$4:$G$489,G$492)</f>
        <v>33817.7694792</v>
      </c>
      <c r="H494" s="9" t="n">
        <f aca="false">SUMIFS($J$4:$J$489,$D$4:$D$489,$A494,$G$4:$G$489,H$492)</f>
        <v>86408.95664</v>
      </c>
      <c r="I494" s="9" t="n">
        <f aca="false">SUMIFS($J$4:$J$489,$D$4:$D$489,$A494,$G$4:$G$489,I$492)</f>
        <v>78136.99402</v>
      </c>
      <c r="J494" s="9" t="n">
        <f aca="false">SUMIFS($J$4:$J$489,$D$4:$D$489,$A494,$G$4:$G$489,J$492)</f>
        <v>68983.28172</v>
      </c>
      <c r="K494" s="9" t="n">
        <f aca="false">SUMIFS($J$4:$J$489,$D$4:$D$489,$A494,$G$4:$G$489,K$492)</f>
        <v>0</v>
      </c>
      <c r="L494" s="9" t="n">
        <f aca="false">SUMIFS($J$4:$J$489,$D$4:$D$489,$A494,$G$4:$G$489,L$492)</f>
        <v>27565.7947328</v>
      </c>
      <c r="M494" s="9" t="n">
        <f aca="false">SUMIFS($J$4:$J$489,$D$4:$D$489,$A494,$G$4:$G$489,M$492)</f>
        <v>4583.2068</v>
      </c>
      <c r="N494" s="9" t="n">
        <f aca="false">SUMIFS($J$4:$J$489,$D$4:$D$489,$A494,$G$4:$G$489,N$492)</f>
        <v>26018.04</v>
      </c>
      <c r="O494" s="9" t="n">
        <f aca="false">SUMIFS($J$4:$J$489,$D$4:$D$489,$A494,$G$4:$G$489,O$492)</f>
        <v>14313.376</v>
      </c>
      <c r="P494" s="9" t="n">
        <f aca="false">SUMIFS($J$4:$J$489,$D$4:$D$489,$A494,$G$4:$G$489,P$492)</f>
        <v>0</v>
      </c>
      <c r="Q494" s="9" t="n">
        <f aca="false">SUMIFS($J$4:$J$489,$D$4:$D$489,$A494,$G$4:$G$489,Q$492)</f>
        <v>0</v>
      </c>
      <c r="R494" s="9" t="n">
        <f aca="false">SUMIFS($J$4:$J$489,$D$4:$D$489,$A494,$G$4:$G$489,R$492)</f>
        <v>0</v>
      </c>
      <c r="S494" s="9" t="n">
        <f aca="false">SUMIFS($J$4:$J$489,$D$4:$D$489,$A494,$G$4:$G$489,S$492)</f>
        <v>0</v>
      </c>
      <c r="T494" s="9" t="n">
        <f aca="false">SUMIFS($J$4:$J$489,$D$4:$D$489,$A494,$G$4:$G$489,T$492)</f>
        <v>0</v>
      </c>
      <c r="U494" s="0" t="n">
        <f aca="false">SUM(B494:T494)</f>
        <v>339966.87684</v>
      </c>
    </row>
    <row r="495" customFormat="false" ht="15" hidden="false" customHeight="false" outlineLevel="0" collapsed="false">
      <c r="A495" s="3" t="s">
        <v>9</v>
      </c>
      <c r="B495" s="9" t="n">
        <f aca="false">SUMIFS($J$4:$J$489,$D$4:$D$489,$A495,$G$4:$G$489,B$492)</f>
        <v>26.858304</v>
      </c>
      <c r="C495" s="9" t="n">
        <f aca="false">SUMIFS($J$4:$J$489,$D$4:$D$489,$A495,$G$4:$G$489,C$492)</f>
        <v>0</v>
      </c>
      <c r="D495" s="9" t="n">
        <f aca="false">SUMIFS($J$4:$J$489,$D$4:$D$489,$A495,$G$4:$G$489,D$492)</f>
        <v>0</v>
      </c>
      <c r="E495" s="9" t="n">
        <f aca="false">SUMIFS($J$4:$J$489,$D$4:$D$489,$A495,$G$4:$G$489,E$492)</f>
        <v>0</v>
      </c>
      <c r="F495" s="9" t="n">
        <f aca="false">SUMIFS($J$4:$J$489,$D$4:$D$489,$A495,$G$4:$G$489,F$492)</f>
        <v>0</v>
      </c>
      <c r="G495" s="9" t="n">
        <f aca="false">SUMIFS($J$4:$J$489,$D$4:$D$489,$A495,$G$4:$G$489,G$492)</f>
        <v>560.49</v>
      </c>
      <c r="H495" s="9" t="n">
        <f aca="false">SUMIFS($J$4:$J$489,$D$4:$D$489,$A495,$G$4:$G$489,H$492)</f>
        <v>17290.92496</v>
      </c>
      <c r="I495" s="9" t="n">
        <f aca="false">SUMIFS($J$4:$J$489,$D$4:$D$489,$A495,$G$4:$G$489,I$492)</f>
        <v>0</v>
      </c>
      <c r="J495" s="9" t="n">
        <f aca="false">SUMIFS($J$4:$J$489,$D$4:$D$489,$A495,$G$4:$G$489,J$492)</f>
        <v>0</v>
      </c>
      <c r="K495" s="9" t="n">
        <f aca="false">SUMIFS($J$4:$J$489,$D$4:$D$489,$A495,$G$4:$G$489,K$492)</f>
        <v>0</v>
      </c>
      <c r="L495" s="9" t="n">
        <f aca="false">SUMIFS($J$4:$J$489,$D$4:$D$489,$A495,$G$4:$G$489,L$492)</f>
        <v>120039.456896</v>
      </c>
      <c r="M495" s="9" t="n">
        <f aca="false">SUMIFS($J$4:$J$489,$D$4:$D$489,$A495,$G$4:$G$489,M$492)</f>
        <v>0</v>
      </c>
      <c r="N495" s="9" t="n">
        <f aca="false">SUMIFS($J$4:$J$489,$D$4:$D$489,$A495,$G$4:$G$489,N$492)</f>
        <v>5473.02</v>
      </c>
      <c r="O495" s="9" t="n">
        <f aca="false">SUMIFS($J$4:$J$489,$D$4:$D$489,$A495,$G$4:$G$489,O$492)</f>
        <v>4491.30528</v>
      </c>
      <c r="P495" s="9" t="n">
        <f aca="false">SUMIFS($J$4:$J$489,$D$4:$D$489,$A495,$G$4:$G$489,P$492)</f>
        <v>0</v>
      </c>
      <c r="Q495" s="9" t="n">
        <f aca="false">SUMIFS($J$4:$J$489,$D$4:$D$489,$A495,$G$4:$G$489,Q$492)</f>
        <v>0</v>
      </c>
      <c r="R495" s="9" t="n">
        <f aca="false">SUMIFS($J$4:$J$489,$D$4:$D$489,$A495,$G$4:$G$489,R$492)</f>
        <v>1233.4077</v>
      </c>
      <c r="S495" s="9" t="n">
        <f aca="false">SUMIFS($J$4:$J$489,$D$4:$D$489,$A495,$G$4:$G$489,S$492)</f>
        <v>9319.52</v>
      </c>
      <c r="T495" s="9" t="n">
        <f aca="false">SUMIFS($J$4:$J$489,$D$4:$D$489,$A495,$G$4:$G$489,T$492)</f>
        <v>5824.7</v>
      </c>
      <c r="U495" s="0" t="n">
        <f aca="false">SUM(B495:T495)</f>
        <v>164259.68314</v>
      </c>
    </row>
    <row r="496" customFormat="false" ht="15" hidden="false" customHeight="false" outlineLevel="0" collapsed="false">
      <c r="A496" s="2" t="s">
        <v>10</v>
      </c>
      <c r="B496" s="11" t="n">
        <f aca="false">SUM(B493:B495)</f>
        <v>352.329352</v>
      </c>
      <c r="C496" s="11" t="n">
        <f aca="false">SUM(C493:C495)</f>
        <v>0</v>
      </c>
      <c r="D496" s="11" t="n">
        <f aca="false">SUM(D493:D495)</f>
        <v>0</v>
      </c>
      <c r="E496" s="11" t="n">
        <f aca="false">SUM(E493:E495)</f>
        <v>0</v>
      </c>
      <c r="F496" s="11" t="n">
        <f aca="false">SUM(F493:F495)</f>
        <v>0</v>
      </c>
      <c r="G496" s="11" t="n">
        <f aca="false">SUM(G493:G495)</f>
        <v>34378.2594792</v>
      </c>
      <c r="H496" s="11" t="n">
        <f aca="false">SUM(H493:H495)</f>
        <v>103699.8816</v>
      </c>
      <c r="I496" s="11" t="n">
        <f aca="false">SUM(I493:I495)</f>
        <v>78136.99402</v>
      </c>
      <c r="J496" s="11" t="n">
        <f aca="false">SUM(J493:J495)</f>
        <v>68983.28172</v>
      </c>
      <c r="K496" s="11" t="n">
        <f aca="false">SUM(K493:K495)</f>
        <v>0</v>
      </c>
      <c r="L496" s="11" t="n">
        <f aca="false">SUM(L493:L495)</f>
        <v>147605.2516288</v>
      </c>
      <c r="M496" s="11" t="n">
        <f aca="false">SUM(M493:M495)</f>
        <v>4583.2068</v>
      </c>
      <c r="N496" s="11" t="n">
        <f aca="false">SUM(N493:N495)</f>
        <v>31491.06</v>
      </c>
      <c r="O496" s="11" t="n">
        <f aca="false">SUM(O493:O495)</f>
        <v>18804.68128</v>
      </c>
      <c r="P496" s="11" t="n">
        <f aca="false">SUM(P493:P495)</f>
        <v>0</v>
      </c>
      <c r="Q496" s="11" t="n">
        <f aca="false">SUM(Q493:Q495)</f>
        <v>0</v>
      </c>
      <c r="R496" s="11" t="n">
        <f aca="false">SUM(R493:R495)</f>
        <v>1233.4077</v>
      </c>
      <c r="S496" s="11" t="n">
        <f aca="false">SUM(S493:S495)</f>
        <v>9319.52</v>
      </c>
      <c r="T496" s="11" t="n">
        <f aca="false">SUM(T493:T495)</f>
        <v>5824.7</v>
      </c>
      <c r="U496" s="11" t="n">
        <f aca="false">SUM(U493:U495)</f>
        <v>504412.57358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0" min="2" style="0" width="8"/>
  </cols>
  <sheetData>
    <row r="1" customFormat="false" ht="15" hidden="false" customHeight="true" outlineLevel="0" collapsed="false">
      <c r="A1" s="7" t="s">
        <v>201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customFormat="false" ht="19.5" hidden="false" customHeight="false" outlineLevel="0" collapsed="false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 t="s">
        <v>37</v>
      </c>
      <c r="K2" s="2" t="s">
        <v>7</v>
      </c>
    </row>
    <row r="3" customFormat="false" ht="15" hidden="false" customHeight="false" outlineLevel="0" collapsed="false">
      <c r="A3" s="2"/>
      <c r="B3" s="2"/>
      <c r="C3" s="2"/>
      <c r="D3" s="2"/>
      <c r="E3" s="2" t="s">
        <v>38</v>
      </c>
      <c r="F3" s="2" t="s">
        <v>38</v>
      </c>
      <c r="G3" s="2" t="s">
        <v>38</v>
      </c>
      <c r="H3" s="2" t="s">
        <v>12</v>
      </c>
      <c r="I3" s="2" t="s">
        <v>39</v>
      </c>
      <c r="J3" s="2" t="s">
        <v>12</v>
      </c>
      <c r="K3" s="2"/>
    </row>
    <row r="4" customFormat="false" ht="19.5" hidden="false" customHeight="false" outlineLevel="0" collapsed="false">
      <c r="A4" s="3" t="s">
        <v>202</v>
      </c>
      <c r="B4" s="3" t="s">
        <v>203</v>
      </c>
      <c r="C4" s="3" t="s">
        <v>204</v>
      </c>
      <c r="D4" s="3" t="s">
        <v>8</v>
      </c>
      <c r="E4" s="3" t="n">
        <v>1700</v>
      </c>
      <c r="F4" s="3" t="n">
        <v>820</v>
      </c>
      <c r="G4" s="3" t="n">
        <v>20</v>
      </c>
      <c r="H4" s="8" t="n">
        <f aca="false">(E4/1000)*(F4/1000)*(G4/1000)*7850</f>
        <v>218.858</v>
      </c>
      <c r="I4" s="3" t="n">
        <v>2</v>
      </c>
      <c r="J4" s="9" t="n">
        <f aca="false">H4*I4</f>
        <v>437.716</v>
      </c>
      <c r="K4" s="3"/>
    </row>
    <row r="5" customFormat="false" ht="19.5" hidden="false" customHeight="false" outlineLevel="0" collapsed="false">
      <c r="A5" s="3" t="s">
        <v>202</v>
      </c>
      <c r="B5" s="3" t="s">
        <v>203</v>
      </c>
      <c r="C5" s="3" t="s">
        <v>205</v>
      </c>
      <c r="D5" s="3" t="s">
        <v>8</v>
      </c>
      <c r="E5" s="3" t="n">
        <v>820</v>
      </c>
      <c r="F5" s="3" t="n">
        <v>800</v>
      </c>
      <c r="G5" s="3" t="n">
        <v>20</v>
      </c>
      <c r="H5" s="8" t="n">
        <f aca="false">(E5/1000)*(F5/1000)*(G5/1000)*7850</f>
        <v>102.992</v>
      </c>
      <c r="I5" s="3" t="n">
        <v>4</v>
      </c>
      <c r="J5" s="9" t="n">
        <f aca="false">H5*I5</f>
        <v>411.968</v>
      </c>
      <c r="K5" s="3"/>
    </row>
    <row r="6" customFormat="false" ht="19.5" hidden="false" customHeight="false" outlineLevel="0" collapsed="false">
      <c r="A6" s="3" t="s">
        <v>202</v>
      </c>
      <c r="B6" s="3" t="s">
        <v>203</v>
      </c>
      <c r="C6" s="3" t="s">
        <v>206</v>
      </c>
      <c r="D6" s="3" t="s">
        <v>8</v>
      </c>
      <c r="E6" s="3" t="n">
        <v>1120</v>
      </c>
      <c r="F6" s="3" t="n">
        <v>1100</v>
      </c>
      <c r="G6" s="3" t="n">
        <v>32</v>
      </c>
      <c r="H6" s="8" t="n">
        <f aca="false">(E6/1000)*(F6/1000)*(G6/1000)*7850</f>
        <v>309.4784</v>
      </c>
      <c r="I6" s="3" t="n">
        <v>1</v>
      </c>
      <c r="J6" s="9" t="n">
        <f aca="false">H6*I6</f>
        <v>309.4784</v>
      </c>
      <c r="K6" s="3"/>
    </row>
    <row r="7" customFormat="false" ht="19.5" hidden="false" customHeight="false" outlineLevel="0" collapsed="false">
      <c r="A7" s="3" t="s">
        <v>202</v>
      </c>
      <c r="B7" s="3" t="s">
        <v>203</v>
      </c>
      <c r="C7" s="3" t="s">
        <v>207</v>
      </c>
      <c r="D7" s="3" t="s">
        <v>8</v>
      </c>
      <c r="E7" s="3" t="n">
        <v>1120</v>
      </c>
      <c r="F7" s="3" t="n">
        <v>400</v>
      </c>
      <c r="G7" s="3" t="n">
        <v>32</v>
      </c>
      <c r="H7" s="8" t="n">
        <f aca="false">(E7/1000)*(F7/1000)*(G7/1000)*7850</f>
        <v>112.5376</v>
      </c>
      <c r="I7" s="3" t="n">
        <v>2</v>
      </c>
      <c r="J7" s="9" t="n">
        <f aca="false">H7*I7</f>
        <v>225.0752</v>
      </c>
      <c r="K7" s="3"/>
    </row>
    <row r="8" customFormat="false" ht="19.5" hidden="false" customHeight="false" outlineLevel="0" collapsed="false">
      <c r="A8" s="3" t="s">
        <v>202</v>
      </c>
      <c r="B8" s="3" t="s">
        <v>203</v>
      </c>
      <c r="C8" s="3" t="s">
        <v>208</v>
      </c>
      <c r="D8" s="3" t="s">
        <v>8</v>
      </c>
      <c r="E8" s="3" t="n">
        <v>920</v>
      </c>
      <c r="F8" s="3" t="n">
        <v>200</v>
      </c>
      <c r="G8" s="3" t="n">
        <v>20</v>
      </c>
      <c r="H8" s="8" t="n">
        <f aca="false">(E8/1000)*(F8/1000)*(G8/1000)*7850</f>
        <v>28.888</v>
      </c>
      <c r="I8" s="3" t="n">
        <v>6</v>
      </c>
      <c r="J8" s="9" t="n">
        <f aca="false">H8*I8</f>
        <v>173.328</v>
      </c>
      <c r="K8" s="3"/>
    </row>
    <row r="9" customFormat="false" ht="19.5" hidden="false" customHeight="false" outlineLevel="0" collapsed="false">
      <c r="A9" s="3" t="s">
        <v>202</v>
      </c>
      <c r="B9" s="3" t="s">
        <v>203</v>
      </c>
      <c r="C9" s="3" t="s">
        <v>209</v>
      </c>
      <c r="D9" s="3" t="s">
        <v>8</v>
      </c>
      <c r="E9" s="3" t="n">
        <v>1700</v>
      </c>
      <c r="F9" s="3" t="n">
        <v>400</v>
      </c>
      <c r="G9" s="3" t="n">
        <v>20</v>
      </c>
      <c r="H9" s="8" t="n">
        <f aca="false">(E9/1000)*(F9/1000)*(G9/1000)*7850</f>
        <v>106.76</v>
      </c>
      <c r="I9" s="3" t="n">
        <v>2</v>
      </c>
      <c r="J9" s="9" t="n">
        <f aca="false">H9*I9</f>
        <v>213.52</v>
      </c>
      <c r="K9" s="3"/>
    </row>
    <row r="10" customFormat="false" ht="15" hidden="false" customHeight="false" outlineLevel="0" collapsed="false">
      <c r="A10" s="3" t="s">
        <v>202</v>
      </c>
      <c r="B10" s="3" t="s">
        <v>210</v>
      </c>
      <c r="C10" s="3" t="s">
        <v>211</v>
      </c>
      <c r="D10" s="3" t="s">
        <v>8</v>
      </c>
      <c r="E10" s="3" t="n">
        <v>1520</v>
      </c>
      <c r="F10" s="3" t="n">
        <v>1100</v>
      </c>
      <c r="G10" s="3" t="n">
        <v>24</v>
      </c>
      <c r="H10" s="8" t="n">
        <f aca="false">(E10/1000)*(F10/1000)*(G10/1000)*7850</f>
        <v>315.0048</v>
      </c>
      <c r="I10" s="3" t="n">
        <v>2</v>
      </c>
      <c r="J10" s="9" t="n">
        <f aca="false">H10*I10</f>
        <v>630.0096</v>
      </c>
      <c r="K10" s="3"/>
    </row>
    <row r="11" customFormat="false" ht="15" hidden="false" customHeight="false" outlineLevel="0" collapsed="false">
      <c r="A11" s="3" t="s">
        <v>202</v>
      </c>
      <c r="B11" s="3" t="s">
        <v>210</v>
      </c>
      <c r="C11" s="3" t="s">
        <v>212</v>
      </c>
      <c r="D11" s="3" t="s">
        <v>8</v>
      </c>
      <c r="E11" s="3" t="n">
        <v>1520</v>
      </c>
      <c r="F11" s="3" t="n">
        <v>500</v>
      </c>
      <c r="G11" s="3" t="n">
        <v>24</v>
      </c>
      <c r="H11" s="8" t="n">
        <f aca="false">(E11/1000)*(F11/1000)*(G11/1000)*7850</f>
        <v>143.184</v>
      </c>
      <c r="I11" s="3" t="n">
        <v>4</v>
      </c>
      <c r="J11" s="9" t="n">
        <f aca="false">H11*I11</f>
        <v>572.736</v>
      </c>
      <c r="K11" s="3"/>
    </row>
    <row r="12" customFormat="false" ht="15" hidden="false" customHeight="false" outlineLevel="0" collapsed="false">
      <c r="A12" s="3" t="s">
        <v>202</v>
      </c>
      <c r="B12" s="3" t="s">
        <v>210</v>
      </c>
      <c r="C12" s="3" t="s">
        <v>213</v>
      </c>
      <c r="D12" s="3" t="s">
        <v>8</v>
      </c>
      <c r="E12" s="3" t="n">
        <v>1320</v>
      </c>
      <c r="F12" s="3" t="n">
        <v>1100</v>
      </c>
      <c r="G12" s="3" t="n">
        <v>28</v>
      </c>
      <c r="H12" s="8" t="n">
        <f aca="false">(E12/1000)*(F12/1000)*(G12/1000)*7850</f>
        <v>319.1496</v>
      </c>
      <c r="I12" s="3" t="n">
        <v>1</v>
      </c>
      <c r="J12" s="9" t="n">
        <f aca="false">H12*I12</f>
        <v>319.1496</v>
      </c>
      <c r="K12" s="3"/>
    </row>
    <row r="13" customFormat="false" ht="15" hidden="false" customHeight="false" outlineLevel="0" collapsed="false">
      <c r="A13" s="3" t="s">
        <v>202</v>
      </c>
      <c r="B13" s="3" t="s">
        <v>210</v>
      </c>
      <c r="C13" s="3" t="s">
        <v>214</v>
      </c>
      <c r="D13" s="3" t="s">
        <v>8</v>
      </c>
      <c r="E13" s="3" t="n">
        <v>1320</v>
      </c>
      <c r="F13" s="3" t="n">
        <v>500</v>
      </c>
      <c r="G13" s="3" t="n">
        <v>28</v>
      </c>
      <c r="H13" s="8" t="n">
        <f aca="false">(E13/1000)*(F13/1000)*(G13/1000)*7850</f>
        <v>145.068</v>
      </c>
      <c r="I13" s="3" t="n">
        <v>2</v>
      </c>
      <c r="J13" s="9" t="n">
        <f aca="false">H13*I13</f>
        <v>290.136</v>
      </c>
      <c r="K13" s="3"/>
    </row>
    <row r="14" customFormat="false" ht="15" hidden="false" customHeight="false" outlineLevel="0" collapsed="false">
      <c r="A14" s="3" t="s">
        <v>202</v>
      </c>
      <c r="B14" s="3" t="s">
        <v>210</v>
      </c>
      <c r="C14" s="3" t="s">
        <v>215</v>
      </c>
      <c r="D14" s="3" t="s">
        <v>8</v>
      </c>
      <c r="E14" s="3" t="n">
        <v>1520</v>
      </c>
      <c r="F14" s="3" t="n">
        <v>1100</v>
      </c>
      <c r="G14" s="3" t="n">
        <v>44</v>
      </c>
      <c r="H14" s="8" t="n">
        <f aca="false">(E14/1000)*(F14/1000)*(G14/1000)*7850</f>
        <v>577.5088</v>
      </c>
      <c r="I14" s="3" t="n">
        <v>1</v>
      </c>
      <c r="J14" s="9" t="n">
        <f aca="false">H14*I14</f>
        <v>577.5088</v>
      </c>
      <c r="K14" s="3"/>
    </row>
    <row r="15" customFormat="false" ht="15" hidden="false" customHeight="false" outlineLevel="0" collapsed="false">
      <c r="A15" s="3" t="s">
        <v>202</v>
      </c>
      <c r="B15" s="3" t="s">
        <v>210</v>
      </c>
      <c r="C15" s="3" t="s">
        <v>216</v>
      </c>
      <c r="D15" s="3" t="s">
        <v>8</v>
      </c>
      <c r="E15" s="3" t="n">
        <v>1520</v>
      </c>
      <c r="F15" s="3" t="n">
        <v>240</v>
      </c>
      <c r="G15" s="3" t="n">
        <v>44</v>
      </c>
      <c r="H15" s="8" t="n">
        <f aca="false">(E15/1000)*(F15/1000)*(G15/1000)*7850</f>
        <v>126.00192</v>
      </c>
      <c r="I15" s="3" t="n">
        <v>2</v>
      </c>
      <c r="J15" s="9" t="n">
        <f aca="false">H15*I15</f>
        <v>252.00384</v>
      </c>
      <c r="K15" s="3"/>
    </row>
    <row r="16" customFormat="false" ht="15" hidden="false" customHeight="false" outlineLevel="0" collapsed="false">
      <c r="A16" s="3" t="s">
        <v>202</v>
      </c>
      <c r="B16" s="3" t="s">
        <v>210</v>
      </c>
      <c r="C16" s="3" t="s">
        <v>217</v>
      </c>
      <c r="D16" s="3" t="s">
        <v>8</v>
      </c>
      <c r="E16" s="3" t="n">
        <v>1220</v>
      </c>
      <c r="F16" s="3" t="n">
        <v>240</v>
      </c>
      <c r="G16" s="3" t="n">
        <v>24</v>
      </c>
      <c r="H16" s="8" t="n">
        <f aca="false">(E16/1000)*(F16/1000)*(G16/1000)*7850</f>
        <v>55.16352</v>
      </c>
      <c r="I16" s="3" t="n">
        <v>4</v>
      </c>
      <c r="J16" s="9" t="n">
        <f aca="false">H16*I16</f>
        <v>220.65408</v>
      </c>
      <c r="K16" s="3"/>
    </row>
    <row r="17" customFormat="false" ht="15" hidden="false" customHeight="false" outlineLevel="0" collapsed="false">
      <c r="A17" s="3" t="s">
        <v>202</v>
      </c>
      <c r="B17" s="3" t="s">
        <v>210</v>
      </c>
      <c r="C17" s="3" t="s">
        <v>218</v>
      </c>
      <c r="D17" s="3" t="s">
        <v>8</v>
      </c>
      <c r="E17" s="3" t="n">
        <v>1320</v>
      </c>
      <c r="F17" s="3" t="n">
        <v>240</v>
      </c>
      <c r="G17" s="3" t="n">
        <v>24</v>
      </c>
      <c r="H17" s="8" t="n">
        <f aca="false">(E17/1000)*(F17/1000)*(G17/1000)*7850</f>
        <v>59.68512</v>
      </c>
      <c r="I17" s="3" t="n">
        <v>2</v>
      </c>
      <c r="J17" s="9" t="n">
        <f aca="false">H17*I17</f>
        <v>119.37024</v>
      </c>
      <c r="K17" s="3"/>
    </row>
    <row r="18" customFormat="false" ht="19.5" hidden="false" customHeight="false" outlineLevel="0" collapsed="false">
      <c r="A18" s="3" t="s">
        <v>202</v>
      </c>
      <c r="B18" s="3" t="s">
        <v>219</v>
      </c>
      <c r="C18" s="3" t="s">
        <v>220</v>
      </c>
      <c r="D18" s="3" t="s">
        <v>8</v>
      </c>
      <c r="E18" s="3" t="n">
        <v>1800</v>
      </c>
      <c r="F18" s="3" t="n">
        <v>1020</v>
      </c>
      <c r="G18" s="3" t="n">
        <v>16</v>
      </c>
      <c r="H18" s="8" t="n">
        <f aca="false">(E18/1000)*(F18/1000)*(G18/1000)*7850</f>
        <v>230.6016</v>
      </c>
      <c r="I18" s="3" t="n">
        <v>2</v>
      </c>
      <c r="J18" s="9" t="n">
        <f aca="false">H18*I18</f>
        <v>461.2032</v>
      </c>
      <c r="K18" s="3"/>
    </row>
    <row r="19" customFormat="false" ht="19.5" hidden="false" customHeight="false" outlineLevel="0" collapsed="false">
      <c r="A19" s="3" t="s">
        <v>202</v>
      </c>
      <c r="B19" s="3" t="s">
        <v>219</v>
      </c>
      <c r="C19" s="3" t="s">
        <v>221</v>
      </c>
      <c r="D19" s="3" t="s">
        <v>8</v>
      </c>
      <c r="E19" s="3" t="n">
        <v>1020</v>
      </c>
      <c r="F19" s="3" t="n">
        <v>500</v>
      </c>
      <c r="G19" s="3" t="n">
        <v>16</v>
      </c>
      <c r="H19" s="8" t="n">
        <f aca="false">(E19/1000)*(F19/1000)*(G19/1000)*7850</f>
        <v>64.056</v>
      </c>
      <c r="I19" s="3" t="n">
        <v>2</v>
      </c>
      <c r="J19" s="9" t="n">
        <f aca="false">H19*I19</f>
        <v>128.112</v>
      </c>
      <c r="K19" s="3"/>
    </row>
    <row r="20" customFormat="false" ht="19.5" hidden="false" customHeight="false" outlineLevel="0" collapsed="false">
      <c r="A20" s="3" t="s">
        <v>202</v>
      </c>
      <c r="B20" s="3" t="s">
        <v>219</v>
      </c>
      <c r="C20" s="3" t="s">
        <v>222</v>
      </c>
      <c r="D20" s="3" t="s">
        <v>8</v>
      </c>
      <c r="E20" s="3" t="n">
        <v>1020</v>
      </c>
      <c r="F20" s="3" t="n">
        <v>500</v>
      </c>
      <c r="G20" s="3" t="n">
        <v>16</v>
      </c>
      <c r="H20" s="8" t="n">
        <f aca="false">(E20/1000)*(F20/1000)*(G20/1000)*7850</f>
        <v>64.056</v>
      </c>
      <c r="I20" s="3" t="n">
        <v>2</v>
      </c>
      <c r="J20" s="9" t="n">
        <f aca="false">H20*I20</f>
        <v>128.112</v>
      </c>
      <c r="K20" s="3"/>
    </row>
    <row r="21" customFormat="false" ht="19.5" hidden="false" customHeight="false" outlineLevel="0" collapsed="false">
      <c r="A21" s="3" t="s">
        <v>202</v>
      </c>
      <c r="B21" s="3" t="s">
        <v>219</v>
      </c>
      <c r="C21" s="3" t="s">
        <v>223</v>
      </c>
      <c r="D21" s="3" t="s">
        <v>8</v>
      </c>
      <c r="E21" s="3" t="n">
        <v>1020</v>
      </c>
      <c r="F21" s="3" t="n">
        <v>600</v>
      </c>
      <c r="G21" s="3" t="n">
        <v>16</v>
      </c>
      <c r="H21" s="8" t="n">
        <f aca="false">(E21/1000)*(F21/1000)*(G21/1000)*7850</f>
        <v>76.8672</v>
      </c>
      <c r="I21" s="3" t="n">
        <v>2</v>
      </c>
      <c r="J21" s="9" t="n">
        <f aca="false">H21*I21</f>
        <v>153.7344</v>
      </c>
      <c r="K21" s="3"/>
    </row>
    <row r="22" customFormat="false" ht="19.5" hidden="false" customHeight="false" outlineLevel="0" collapsed="false">
      <c r="A22" s="3" t="s">
        <v>202</v>
      </c>
      <c r="B22" s="3" t="s">
        <v>219</v>
      </c>
      <c r="C22" s="3" t="s">
        <v>224</v>
      </c>
      <c r="D22" s="3" t="s">
        <v>8</v>
      </c>
      <c r="E22" s="3" t="n">
        <v>1420</v>
      </c>
      <c r="F22" s="3" t="n">
        <v>1100</v>
      </c>
      <c r="G22" s="3" t="n">
        <v>28</v>
      </c>
      <c r="H22" s="8" t="n">
        <f aca="false">(E22/1000)*(F22/1000)*(G22/1000)*7850</f>
        <v>343.3276</v>
      </c>
      <c r="I22" s="3" t="n">
        <v>1</v>
      </c>
      <c r="J22" s="9" t="n">
        <f aca="false">H22*I22</f>
        <v>343.3276</v>
      </c>
      <c r="K22" s="3"/>
    </row>
    <row r="23" customFormat="false" ht="19.5" hidden="false" customHeight="false" outlineLevel="0" collapsed="false">
      <c r="A23" s="3" t="s">
        <v>202</v>
      </c>
      <c r="B23" s="3" t="s">
        <v>219</v>
      </c>
      <c r="C23" s="3" t="s">
        <v>225</v>
      </c>
      <c r="D23" s="3" t="s">
        <v>8</v>
      </c>
      <c r="E23" s="3" t="n">
        <v>1420</v>
      </c>
      <c r="F23" s="3" t="n">
        <v>400</v>
      </c>
      <c r="G23" s="3" t="n">
        <v>28</v>
      </c>
      <c r="H23" s="8" t="n">
        <f aca="false">(E23/1000)*(F23/1000)*(G23/1000)*7850</f>
        <v>124.8464</v>
      </c>
      <c r="I23" s="3" t="n">
        <v>2</v>
      </c>
      <c r="J23" s="9" t="n">
        <f aca="false">H23*I23</f>
        <v>249.6928</v>
      </c>
      <c r="K23" s="3"/>
    </row>
    <row r="24" customFormat="false" ht="19.5" hidden="false" customHeight="false" outlineLevel="0" collapsed="false">
      <c r="A24" s="3" t="s">
        <v>202</v>
      </c>
      <c r="B24" s="3" t="s">
        <v>219</v>
      </c>
      <c r="C24" s="3" t="s">
        <v>226</v>
      </c>
      <c r="D24" s="3" t="s">
        <v>8</v>
      </c>
      <c r="E24" s="3" t="n">
        <v>920</v>
      </c>
      <c r="F24" s="3" t="n">
        <v>200</v>
      </c>
      <c r="G24" s="3" t="n">
        <v>20</v>
      </c>
      <c r="H24" s="8" t="n">
        <f aca="false">(E24/1000)*(F24/1000)*(G24/1000)*7850</f>
        <v>28.888</v>
      </c>
      <c r="I24" s="3" t="n">
        <v>10</v>
      </c>
      <c r="J24" s="9" t="n">
        <f aca="false">H24*I24</f>
        <v>288.88</v>
      </c>
      <c r="K24" s="3"/>
    </row>
    <row r="25" customFormat="false" ht="19.5" hidden="false" customHeight="false" outlineLevel="0" collapsed="false">
      <c r="A25" s="3" t="s">
        <v>202</v>
      </c>
      <c r="B25" s="3" t="s">
        <v>219</v>
      </c>
      <c r="C25" s="3" t="s">
        <v>227</v>
      </c>
      <c r="D25" s="3" t="s">
        <v>8</v>
      </c>
      <c r="E25" s="3" t="n">
        <v>1800</v>
      </c>
      <c r="F25" s="3" t="n">
        <v>600</v>
      </c>
      <c r="G25" s="3" t="n">
        <v>20</v>
      </c>
      <c r="H25" s="8" t="n">
        <f aca="false">(E25/1000)*(F25/1000)*(G25/1000)*7850</f>
        <v>169.56</v>
      </c>
      <c r="I25" s="3" t="n">
        <v>2</v>
      </c>
      <c r="J25" s="9" t="n">
        <f aca="false">H25*I25</f>
        <v>339.12</v>
      </c>
      <c r="K25" s="3"/>
    </row>
    <row r="26" customFormat="false" ht="19.5" hidden="false" customHeight="false" outlineLevel="0" collapsed="false">
      <c r="A26" s="3" t="s">
        <v>228</v>
      </c>
      <c r="B26" s="3" t="s">
        <v>203</v>
      </c>
      <c r="C26" s="3" t="s">
        <v>204</v>
      </c>
      <c r="D26" s="3" t="s">
        <v>8</v>
      </c>
      <c r="E26" s="3" t="n">
        <v>1700</v>
      </c>
      <c r="F26" s="3" t="n">
        <v>820</v>
      </c>
      <c r="G26" s="3" t="n">
        <v>20</v>
      </c>
      <c r="H26" s="8" t="n">
        <f aca="false">(E26/1000)*(F26/1000)*(G26/1000)*7850</f>
        <v>218.858</v>
      </c>
      <c r="I26" s="3" t="n">
        <v>2</v>
      </c>
      <c r="J26" s="9" t="n">
        <f aca="false">H26*I26</f>
        <v>437.716</v>
      </c>
      <c r="K26" s="3"/>
    </row>
    <row r="27" customFormat="false" ht="19.5" hidden="false" customHeight="false" outlineLevel="0" collapsed="false">
      <c r="A27" s="3" t="s">
        <v>228</v>
      </c>
      <c r="B27" s="3" t="s">
        <v>203</v>
      </c>
      <c r="C27" s="3" t="s">
        <v>205</v>
      </c>
      <c r="D27" s="3" t="s">
        <v>8</v>
      </c>
      <c r="E27" s="3" t="n">
        <v>820</v>
      </c>
      <c r="F27" s="3" t="n">
        <v>800</v>
      </c>
      <c r="G27" s="3" t="n">
        <v>20</v>
      </c>
      <c r="H27" s="8" t="n">
        <f aca="false">(E27/1000)*(F27/1000)*(G27/1000)*7850</f>
        <v>102.992</v>
      </c>
      <c r="I27" s="3" t="n">
        <v>4</v>
      </c>
      <c r="J27" s="9" t="n">
        <f aca="false">H27*I27</f>
        <v>411.968</v>
      </c>
      <c r="K27" s="3"/>
    </row>
    <row r="28" customFormat="false" ht="19.5" hidden="false" customHeight="false" outlineLevel="0" collapsed="false">
      <c r="A28" s="3" t="s">
        <v>228</v>
      </c>
      <c r="B28" s="3" t="s">
        <v>203</v>
      </c>
      <c r="C28" s="3" t="s">
        <v>206</v>
      </c>
      <c r="D28" s="3" t="s">
        <v>8</v>
      </c>
      <c r="E28" s="3" t="n">
        <v>1120</v>
      </c>
      <c r="F28" s="3" t="n">
        <v>1100</v>
      </c>
      <c r="G28" s="3" t="n">
        <v>32</v>
      </c>
      <c r="H28" s="8" t="n">
        <f aca="false">(E28/1000)*(F28/1000)*(G28/1000)*7850</f>
        <v>309.4784</v>
      </c>
      <c r="I28" s="3" t="n">
        <v>1</v>
      </c>
      <c r="J28" s="9" t="n">
        <f aca="false">H28*I28</f>
        <v>309.4784</v>
      </c>
      <c r="K28" s="3"/>
    </row>
    <row r="29" customFormat="false" ht="19.5" hidden="false" customHeight="false" outlineLevel="0" collapsed="false">
      <c r="A29" s="3" t="s">
        <v>228</v>
      </c>
      <c r="B29" s="3" t="s">
        <v>203</v>
      </c>
      <c r="C29" s="3" t="s">
        <v>207</v>
      </c>
      <c r="D29" s="3" t="s">
        <v>8</v>
      </c>
      <c r="E29" s="3" t="n">
        <v>1120</v>
      </c>
      <c r="F29" s="3" t="n">
        <v>400</v>
      </c>
      <c r="G29" s="3" t="n">
        <v>32</v>
      </c>
      <c r="H29" s="8" t="n">
        <f aca="false">(E29/1000)*(F29/1000)*(G29/1000)*7850</f>
        <v>112.5376</v>
      </c>
      <c r="I29" s="3" t="n">
        <v>2</v>
      </c>
      <c r="J29" s="9" t="n">
        <f aca="false">H29*I29</f>
        <v>225.0752</v>
      </c>
      <c r="K29" s="3"/>
    </row>
    <row r="30" customFormat="false" ht="19.5" hidden="false" customHeight="false" outlineLevel="0" collapsed="false">
      <c r="A30" s="3" t="s">
        <v>228</v>
      </c>
      <c r="B30" s="3" t="s">
        <v>203</v>
      </c>
      <c r="C30" s="3" t="s">
        <v>208</v>
      </c>
      <c r="D30" s="3" t="s">
        <v>8</v>
      </c>
      <c r="E30" s="3" t="n">
        <v>920</v>
      </c>
      <c r="F30" s="3" t="n">
        <v>200</v>
      </c>
      <c r="G30" s="3" t="n">
        <v>20</v>
      </c>
      <c r="H30" s="8" t="n">
        <f aca="false">(E30/1000)*(F30/1000)*(G30/1000)*7850</f>
        <v>28.888</v>
      </c>
      <c r="I30" s="3" t="n">
        <v>6</v>
      </c>
      <c r="J30" s="9" t="n">
        <f aca="false">H30*I30</f>
        <v>173.328</v>
      </c>
      <c r="K30" s="3"/>
    </row>
    <row r="31" customFormat="false" ht="19.5" hidden="false" customHeight="false" outlineLevel="0" collapsed="false">
      <c r="A31" s="3" t="s">
        <v>228</v>
      </c>
      <c r="B31" s="3" t="s">
        <v>203</v>
      </c>
      <c r="C31" s="3" t="s">
        <v>209</v>
      </c>
      <c r="D31" s="3" t="s">
        <v>8</v>
      </c>
      <c r="E31" s="3" t="n">
        <v>1700</v>
      </c>
      <c r="F31" s="3" t="n">
        <v>400</v>
      </c>
      <c r="G31" s="3" t="n">
        <v>20</v>
      </c>
      <c r="H31" s="8" t="n">
        <f aca="false">(E31/1000)*(F31/1000)*(G31/1000)*7850</f>
        <v>106.76</v>
      </c>
      <c r="I31" s="3" t="n">
        <v>2</v>
      </c>
      <c r="J31" s="9" t="n">
        <f aca="false">H31*I31</f>
        <v>213.52</v>
      </c>
      <c r="K31" s="3"/>
    </row>
    <row r="32" customFormat="false" ht="15" hidden="false" customHeight="false" outlineLevel="0" collapsed="false">
      <c r="A32" s="3" t="s">
        <v>228</v>
      </c>
      <c r="B32" s="3" t="s">
        <v>210</v>
      </c>
      <c r="C32" s="3" t="s">
        <v>211</v>
      </c>
      <c r="D32" s="3" t="s">
        <v>8</v>
      </c>
      <c r="E32" s="3" t="n">
        <v>1320</v>
      </c>
      <c r="F32" s="3" t="n">
        <v>900</v>
      </c>
      <c r="G32" s="3" t="n">
        <v>28</v>
      </c>
      <c r="H32" s="8" t="n">
        <f aca="false">(E32/1000)*(F32/1000)*(G32/1000)*7850</f>
        <v>261.1224</v>
      </c>
      <c r="I32" s="3" t="n">
        <v>2</v>
      </c>
      <c r="J32" s="9" t="n">
        <f aca="false">H32*I32</f>
        <v>522.2448</v>
      </c>
      <c r="K32" s="3"/>
    </row>
    <row r="33" customFormat="false" ht="15" hidden="false" customHeight="false" outlineLevel="0" collapsed="false">
      <c r="A33" s="3" t="s">
        <v>228</v>
      </c>
      <c r="B33" s="3" t="s">
        <v>210</v>
      </c>
      <c r="C33" s="3" t="s">
        <v>212</v>
      </c>
      <c r="D33" s="3" t="s">
        <v>8</v>
      </c>
      <c r="E33" s="3" t="n">
        <v>1320</v>
      </c>
      <c r="F33" s="3" t="n">
        <v>400</v>
      </c>
      <c r="G33" s="3" t="n">
        <v>28</v>
      </c>
      <c r="H33" s="8" t="n">
        <f aca="false">(E33/1000)*(F33/1000)*(G33/1000)*7850</f>
        <v>116.0544</v>
      </c>
      <c r="I33" s="3" t="n">
        <v>4</v>
      </c>
      <c r="J33" s="9" t="n">
        <f aca="false">H33*I33</f>
        <v>464.2176</v>
      </c>
      <c r="K33" s="3"/>
    </row>
    <row r="34" customFormat="false" ht="15" hidden="false" customHeight="false" outlineLevel="0" collapsed="false">
      <c r="A34" s="3" t="s">
        <v>228</v>
      </c>
      <c r="B34" s="3" t="s">
        <v>210</v>
      </c>
      <c r="C34" s="3" t="s">
        <v>213</v>
      </c>
      <c r="D34" s="3" t="s">
        <v>8</v>
      </c>
      <c r="E34" s="3" t="n">
        <v>1320</v>
      </c>
      <c r="F34" s="3" t="n">
        <v>500</v>
      </c>
      <c r="G34" s="3" t="n">
        <v>28</v>
      </c>
      <c r="H34" s="8" t="n">
        <f aca="false">(E34/1000)*(F34/1000)*(G34/1000)*7850</f>
        <v>145.068</v>
      </c>
      <c r="I34" s="3" t="n">
        <v>4</v>
      </c>
      <c r="J34" s="9" t="n">
        <f aca="false">H34*I34</f>
        <v>580.272</v>
      </c>
      <c r="K34" s="3"/>
    </row>
    <row r="35" customFormat="false" ht="15" hidden="false" customHeight="false" outlineLevel="0" collapsed="false">
      <c r="A35" s="3" t="s">
        <v>228</v>
      </c>
      <c r="B35" s="3" t="s">
        <v>210</v>
      </c>
      <c r="C35" s="3" t="s">
        <v>214</v>
      </c>
      <c r="D35" s="3" t="s">
        <v>8</v>
      </c>
      <c r="E35" s="3" t="n">
        <v>820</v>
      </c>
      <c r="F35" s="3" t="n">
        <v>200</v>
      </c>
      <c r="G35" s="3" t="n">
        <v>20</v>
      </c>
      <c r="H35" s="8" t="n">
        <f aca="false">(E35/1000)*(F35/1000)*(G35/1000)*7850</f>
        <v>25.748</v>
      </c>
      <c r="I35" s="3" t="n">
        <v>4</v>
      </c>
      <c r="J35" s="9" t="n">
        <f aca="false">H35*I35</f>
        <v>102.992</v>
      </c>
      <c r="K35" s="3"/>
    </row>
    <row r="36" customFormat="false" ht="19.5" hidden="false" customHeight="false" outlineLevel="0" collapsed="false">
      <c r="A36" s="3" t="s">
        <v>228</v>
      </c>
      <c r="B36" s="3" t="s">
        <v>219</v>
      </c>
      <c r="C36" s="3" t="s">
        <v>220</v>
      </c>
      <c r="D36" s="3" t="s">
        <v>8</v>
      </c>
      <c r="E36" s="3" t="n">
        <v>1800</v>
      </c>
      <c r="F36" s="3" t="n">
        <v>1020</v>
      </c>
      <c r="G36" s="3" t="n">
        <v>16</v>
      </c>
      <c r="H36" s="8" t="n">
        <f aca="false">(E36/1000)*(F36/1000)*(G36/1000)*7850</f>
        <v>230.6016</v>
      </c>
      <c r="I36" s="3" t="n">
        <v>2</v>
      </c>
      <c r="J36" s="9" t="n">
        <f aca="false">H36*I36</f>
        <v>461.2032</v>
      </c>
      <c r="K36" s="3"/>
    </row>
    <row r="37" customFormat="false" ht="19.5" hidden="false" customHeight="false" outlineLevel="0" collapsed="false">
      <c r="A37" s="3" t="s">
        <v>228</v>
      </c>
      <c r="B37" s="3" t="s">
        <v>219</v>
      </c>
      <c r="C37" s="3" t="s">
        <v>221</v>
      </c>
      <c r="D37" s="3" t="s">
        <v>8</v>
      </c>
      <c r="E37" s="3" t="n">
        <v>1020</v>
      </c>
      <c r="F37" s="3" t="n">
        <v>500</v>
      </c>
      <c r="G37" s="3" t="n">
        <v>16</v>
      </c>
      <c r="H37" s="8" t="n">
        <f aca="false">(E37/1000)*(F37/1000)*(G37/1000)*7850</f>
        <v>64.056</v>
      </c>
      <c r="I37" s="3" t="n">
        <v>2</v>
      </c>
      <c r="J37" s="9" t="n">
        <f aca="false">H37*I37</f>
        <v>128.112</v>
      </c>
      <c r="K37" s="3"/>
    </row>
    <row r="38" customFormat="false" ht="19.5" hidden="false" customHeight="false" outlineLevel="0" collapsed="false">
      <c r="A38" s="3" t="s">
        <v>228</v>
      </c>
      <c r="B38" s="3" t="s">
        <v>219</v>
      </c>
      <c r="C38" s="3" t="s">
        <v>222</v>
      </c>
      <c r="D38" s="3" t="s">
        <v>8</v>
      </c>
      <c r="E38" s="3" t="n">
        <v>1020</v>
      </c>
      <c r="F38" s="3" t="n">
        <v>500</v>
      </c>
      <c r="G38" s="3" t="n">
        <v>16</v>
      </c>
      <c r="H38" s="8" t="n">
        <f aca="false">(E38/1000)*(F38/1000)*(G38/1000)*7850</f>
        <v>64.056</v>
      </c>
      <c r="I38" s="3" t="n">
        <v>2</v>
      </c>
      <c r="J38" s="9" t="n">
        <f aca="false">H38*I38</f>
        <v>128.112</v>
      </c>
      <c r="K38" s="3"/>
    </row>
    <row r="39" customFormat="false" ht="19.5" hidden="false" customHeight="false" outlineLevel="0" collapsed="false">
      <c r="A39" s="3" t="s">
        <v>228</v>
      </c>
      <c r="B39" s="3" t="s">
        <v>219</v>
      </c>
      <c r="C39" s="3" t="s">
        <v>223</v>
      </c>
      <c r="D39" s="3" t="s">
        <v>8</v>
      </c>
      <c r="E39" s="3" t="n">
        <v>1020</v>
      </c>
      <c r="F39" s="3" t="n">
        <v>600</v>
      </c>
      <c r="G39" s="3" t="n">
        <v>16</v>
      </c>
      <c r="H39" s="8" t="n">
        <f aca="false">(E39/1000)*(F39/1000)*(G39/1000)*7850</f>
        <v>76.8672</v>
      </c>
      <c r="I39" s="3" t="n">
        <v>2</v>
      </c>
      <c r="J39" s="9" t="n">
        <f aca="false">H39*I39</f>
        <v>153.7344</v>
      </c>
      <c r="K39" s="3"/>
    </row>
    <row r="40" customFormat="false" ht="19.5" hidden="false" customHeight="false" outlineLevel="0" collapsed="false">
      <c r="A40" s="3" t="s">
        <v>228</v>
      </c>
      <c r="B40" s="3" t="s">
        <v>219</v>
      </c>
      <c r="C40" s="3" t="s">
        <v>224</v>
      </c>
      <c r="D40" s="3" t="s">
        <v>8</v>
      </c>
      <c r="E40" s="3" t="n">
        <v>1420</v>
      </c>
      <c r="F40" s="3" t="n">
        <v>1100</v>
      </c>
      <c r="G40" s="3" t="n">
        <v>28</v>
      </c>
      <c r="H40" s="8" t="n">
        <f aca="false">(E40/1000)*(F40/1000)*(G40/1000)*7850</f>
        <v>343.3276</v>
      </c>
      <c r="I40" s="3" t="n">
        <v>1</v>
      </c>
      <c r="J40" s="9" t="n">
        <f aca="false">H40*I40</f>
        <v>343.3276</v>
      </c>
      <c r="K40" s="3"/>
    </row>
    <row r="41" customFormat="false" ht="19.5" hidden="false" customHeight="false" outlineLevel="0" collapsed="false">
      <c r="A41" s="3" t="s">
        <v>228</v>
      </c>
      <c r="B41" s="3" t="s">
        <v>219</v>
      </c>
      <c r="C41" s="3" t="s">
        <v>225</v>
      </c>
      <c r="D41" s="3" t="s">
        <v>8</v>
      </c>
      <c r="E41" s="3" t="n">
        <v>1420</v>
      </c>
      <c r="F41" s="3" t="n">
        <v>400</v>
      </c>
      <c r="G41" s="3" t="n">
        <v>28</v>
      </c>
      <c r="H41" s="8" t="n">
        <f aca="false">(E41/1000)*(F41/1000)*(G41/1000)*7850</f>
        <v>124.8464</v>
      </c>
      <c r="I41" s="3" t="n">
        <v>2</v>
      </c>
      <c r="J41" s="9" t="n">
        <f aca="false">H41*I41</f>
        <v>249.6928</v>
      </c>
      <c r="K41" s="3"/>
    </row>
    <row r="42" customFormat="false" ht="19.5" hidden="false" customHeight="false" outlineLevel="0" collapsed="false">
      <c r="A42" s="3" t="s">
        <v>228</v>
      </c>
      <c r="B42" s="3" t="s">
        <v>219</v>
      </c>
      <c r="C42" s="3" t="s">
        <v>226</v>
      </c>
      <c r="D42" s="3" t="s">
        <v>8</v>
      </c>
      <c r="E42" s="3" t="n">
        <v>920</v>
      </c>
      <c r="F42" s="3" t="n">
        <v>200</v>
      </c>
      <c r="G42" s="3" t="n">
        <v>20</v>
      </c>
      <c r="H42" s="8" t="n">
        <f aca="false">(E42/1000)*(F42/1000)*(G42/1000)*7850</f>
        <v>28.888</v>
      </c>
      <c r="I42" s="3" t="n">
        <v>10</v>
      </c>
      <c r="J42" s="9" t="n">
        <f aca="false">H42*I42</f>
        <v>288.88</v>
      </c>
      <c r="K42" s="3"/>
    </row>
    <row r="43" customFormat="false" ht="19.5" hidden="false" customHeight="false" outlineLevel="0" collapsed="false">
      <c r="A43" s="3" t="s">
        <v>228</v>
      </c>
      <c r="B43" s="3" t="s">
        <v>219</v>
      </c>
      <c r="C43" s="3" t="s">
        <v>227</v>
      </c>
      <c r="D43" s="3" t="s">
        <v>8</v>
      </c>
      <c r="E43" s="3" t="n">
        <v>1800</v>
      </c>
      <c r="F43" s="3" t="n">
        <v>600</v>
      </c>
      <c r="G43" s="3" t="n">
        <v>20</v>
      </c>
      <c r="H43" s="8" t="n">
        <f aca="false">(E43/1000)*(F43/1000)*(G43/1000)*7850</f>
        <v>169.56</v>
      </c>
      <c r="I43" s="3" t="n">
        <v>2</v>
      </c>
      <c r="J43" s="9" t="n">
        <f aca="false">H43*I43</f>
        <v>339.12</v>
      </c>
      <c r="K43" s="3"/>
    </row>
    <row r="44" customFormat="false" ht="19.5" hidden="false" customHeight="false" outlineLevel="0" collapsed="false">
      <c r="A44" s="3" t="s">
        <v>229</v>
      </c>
      <c r="B44" s="3" t="s">
        <v>203</v>
      </c>
      <c r="C44" s="3" t="s">
        <v>204</v>
      </c>
      <c r="D44" s="3" t="s">
        <v>8</v>
      </c>
      <c r="E44" s="3" t="n">
        <v>1700</v>
      </c>
      <c r="F44" s="3" t="n">
        <v>820</v>
      </c>
      <c r="G44" s="3" t="n">
        <v>20</v>
      </c>
      <c r="H44" s="8" t="n">
        <f aca="false">(E44/1000)*(F44/1000)*(G44/1000)*7850</f>
        <v>218.858</v>
      </c>
      <c r="I44" s="3" t="n">
        <v>2</v>
      </c>
      <c r="J44" s="9" t="n">
        <f aca="false">H44*I44</f>
        <v>437.716</v>
      </c>
      <c r="K44" s="3"/>
    </row>
    <row r="45" customFormat="false" ht="19.5" hidden="false" customHeight="false" outlineLevel="0" collapsed="false">
      <c r="A45" s="3" t="s">
        <v>229</v>
      </c>
      <c r="B45" s="3" t="s">
        <v>203</v>
      </c>
      <c r="C45" s="3" t="s">
        <v>205</v>
      </c>
      <c r="D45" s="3" t="s">
        <v>8</v>
      </c>
      <c r="E45" s="3" t="n">
        <v>820</v>
      </c>
      <c r="F45" s="3" t="n">
        <v>800</v>
      </c>
      <c r="G45" s="3" t="n">
        <v>20</v>
      </c>
      <c r="H45" s="8" t="n">
        <f aca="false">(E45/1000)*(F45/1000)*(G45/1000)*7850</f>
        <v>102.992</v>
      </c>
      <c r="I45" s="3" t="n">
        <v>4</v>
      </c>
      <c r="J45" s="9" t="n">
        <f aca="false">H45*I45</f>
        <v>411.968</v>
      </c>
      <c r="K45" s="3"/>
    </row>
    <row r="46" customFormat="false" ht="19.5" hidden="false" customHeight="false" outlineLevel="0" collapsed="false">
      <c r="A46" s="3" t="s">
        <v>229</v>
      </c>
      <c r="B46" s="3" t="s">
        <v>203</v>
      </c>
      <c r="C46" s="3" t="s">
        <v>206</v>
      </c>
      <c r="D46" s="3" t="s">
        <v>8</v>
      </c>
      <c r="E46" s="3" t="n">
        <v>1120</v>
      </c>
      <c r="F46" s="3" t="n">
        <v>1100</v>
      </c>
      <c r="G46" s="3" t="n">
        <v>32</v>
      </c>
      <c r="H46" s="8" t="n">
        <f aca="false">(E46/1000)*(F46/1000)*(G46/1000)*7850</f>
        <v>309.4784</v>
      </c>
      <c r="I46" s="3" t="n">
        <v>1</v>
      </c>
      <c r="J46" s="9" t="n">
        <f aca="false">H46*I46</f>
        <v>309.4784</v>
      </c>
      <c r="K46" s="3"/>
    </row>
    <row r="47" customFormat="false" ht="19.5" hidden="false" customHeight="false" outlineLevel="0" collapsed="false">
      <c r="A47" s="3" t="s">
        <v>229</v>
      </c>
      <c r="B47" s="3" t="s">
        <v>203</v>
      </c>
      <c r="C47" s="3" t="s">
        <v>207</v>
      </c>
      <c r="D47" s="3" t="s">
        <v>8</v>
      </c>
      <c r="E47" s="3" t="n">
        <v>1120</v>
      </c>
      <c r="F47" s="3" t="n">
        <v>400</v>
      </c>
      <c r="G47" s="3" t="n">
        <v>32</v>
      </c>
      <c r="H47" s="8" t="n">
        <f aca="false">(E47/1000)*(F47/1000)*(G47/1000)*7850</f>
        <v>112.5376</v>
      </c>
      <c r="I47" s="3" t="n">
        <v>2</v>
      </c>
      <c r="J47" s="9" t="n">
        <f aca="false">H47*I47</f>
        <v>225.0752</v>
      </c>
      <c r="K47" s="3"/>
    </row>
    <row r="48" customFormat="false" ht="19.5" hidden="false" customHeight="false" outlineLevel="0" collapsed="false">
      <c r="A48" s="3" t="s">
        <v>229</v>
      </c>
      <c r="B48" s="3" t="s">
        <v>203</v>
      </c>
      <c r="C48" s="3" t="s">
        <v>208</v>
      </c>
      <c r="D48" s="3" t="s">
        <v>8</v>
      </c>
      <c r="E48" s="3" t="n">
        <v>920</v>
      </c>
      <c r="F48" s="3" t="n">
        <v>200</v>
      </c>
      <c r="G48" s="3" t="n">
        <v>20</v>
      </c>
      <c r="H48" s="8" t="n">
        <f aca="false">(E48/1000)*(F48/1000)*(G48/1000)*7850</f>
        <v>28.888</v>
      </c>
      <c r="I48" s="3" t="n">
        <v>6</v>
      </c>
      <c r="J48" s="9" t="n">
        <f aca="false">H48*I48</f>
        <v>173.328</v>
      </c>
      <c r="K48" s="3"/>
    </row>
    <row r="49" customFormat="false" ht="19.5" hidden="false" customHeight="false" outlineLevel="0" collapsed="false">
      <c r="A49" s="3" t="s">
        <v>229</v>
      </c>
      <c r="B49" s="3" t="s">
        <v>203</v>
      </c>
      <c r="C49" s="3" t="s">
        <v>209</v>
      </c>
      <c r="D49" s="3" t="s">
        <v>8</v>
      </c>
      <c r="E49" s="3" t="n">
        <v>1700</v>
      </c>
      <c r="F49" s="3" t="n">
        <v>400</v>
      </c>
      <c r="G49" s="3" t="n">
        <v>20</v>
      </c>
      <c r="H49" s="8" t="n">
        <f aca="false">(E49/1000)*(F49/1000)*(G49/1000)*7850</f>
        <v>106.76</v>
      </c>
      <c r="I49" s="3" t="n">
        <v>2</v>
      </c>
      <c r="J49" s="9" t="n">
        <f aca="false">H49*I49</f>
        <v>213.52</v>
      </c>
      <c r="K49" s="3"/>
    </row>
    <row r="50" customFormat="false" ht="15" hidden="false" customHeight="false" outlineLevel="0" collapsed="false">
      <c r="A50" s="3" t="s">
        <v>229</v>
      </c>
      <c r="B50" s="3" t="s">
        <v>210</v>
      </c>
      <c r="C50" s="3" t="s">
        <v>211</v>
      </c>
      <c r="D50" s="3" t="s">
        <v>8</v>
      </c>
      <c r="E50" s="3" t="n">
        <v>1320</v>
      </c>
      <c r="F50" s="3" t="n">
        <v>900</v>
      </c>
      <c r="G50" s="3" t="n">
        <v>28</v>
      </c>
      <c r="H50" s="8" t="n">
        <f aca="false">(E50/1000)*(F50/1000)*(G50/1000)*7850</f>
        <v>261.1224</v>
      </c>
      <c r="I50" s="3" t="n">
        <v>2</v>
      </c>
      <c r="J50" s="9" t="n">
        <f aca="false">H50*I50</f>
        <v>522.2448</v>
      </c>
      <c r="K50" s="3"/>
    </row>
    <row r="51" customFormat="false" ht="15" hidden="false" customHeight="false" outlineLevel="0" collapsed="false">
      <c r="A51" s="3" t="s">
        <v>229</v>
      </c>
      <c r="B51" s="3" t="s">
        <v>210</v>
      </c>
      <c r="C51" s="3" t="s">
        <v>212</v>
      </c>
      <c r="D51" s="3" t="s">
        <v>8</v>
      </c>
      <c r="E51" s="3" t="n">
        <v>1320</v>
      </c>
      <c r="F51" s="3" t="n">
        <v>400</v>
      </c>
      <c r="G51" s="3" t="n">
        <v>28</v>
      </c>
      <c r="H51" s="8" t="n">
        <f aca="false">(E51/1000)*(F51/1000)*(G51/1000)*7850</f>
        <v>116.0544</v>
      </c>
      <c r="I51" s="3" t="n">
        <v>4</v>
      </c>
      <c r="J51" s="9" t="n">
        <f aca="false">H51*I51</f>
        <v>464.2176</v>
      </c>
      <c r="K51" s="3"/>
    </row>
    <row r="52" customFormat="false" ht="15" hidden="false" customHeight="false" outlineLevel="0" collapsed="false">
      <c r="A52" s="3" t="s">
        <v>229</v>
      </c>
      <c r="B52" s="3" t="s">
        <v>210</v>
      </c>
      <c r="C52" s="3" t="s">
        <v>213</v>
      </c>
      <c r="D52" s="3" t="s">
        <v>8</v>
      </c>
      <c r="E52" s="3" t="n">
        <v>1320</v>
      </c>
      <c r="F52" s="3" t="n">
        <v>500</v>
      </c>
      <c r="G52" s="3" t="n">
        <v>28</v>
      </c>
      <c r="H52" s="8" t="n">
        <f aca="false">(E52/1000)*(F52/1000)*(G52/1000)*7850</f>
        <v>145.068</v>
      </c>
      <c r="I52" s="3" t="n">
        <v>4</v>
      </c>
      <c r="J52" s="9" t="n">
        <f aca="false">H52*I52</f>
        <v>580.272</v>
      </c>
      <c r="K52" s="3"/>
    </row>
    <row r="53" customFormat="false" ht="15" hidden="false" customHeight="false" outlineLevel="0" collapsed="false">
      <c r="A53" s="3" t="s">
        <v>229</v>
      </c>
      <c r="B53" s="3" t="s">
        <v>210</v>
      </c>
      <c r="C53" s="3" t="s">
        <v>214</v>
      </c>
      <c r="D53" s="3" t="s">
        <v>8</v>
      </c>
      <c r="E53" s="3" t="n">
        <v>820</v>
      </c>
      <c r="F53" s="3" t="n">
        <v>200</v>
      </c>
      <c r="G53" s="3" t="n">
        <v>20</v>
      </c>
      <c r="H53" s="8" t="n">
        <f aca="false">(E53/1000)*(F53/1000)*(G53/1000)*7850</f>
        <v>25.748</v>
      </c>
      <c r="I53" s="3" t="n">
        <v>4</v>
      </c>
      <c r="J53" s="9" t="n">
        <f aca="false">H53*I53</f>
        <v>102.992</v>
      </c>
      <c r="K53" s="3"/>
    </row>
    <row r="54" customFormat="false" ht="19.5" hidden="false" customHeight="false" outlineLevel="0" collapsed="false">
      <c r="A54" s="3" t="s">
        <v>229</v>
      </c>
      <c r="B54" s="3" t="s">
        <v>219</v>
      </c>
      <c r="C54" s="3" t="s">
        <v>220</v>
      </c>
      <c r="D54" s="3" t="s">
        <v>8</v>
      </c>
      <c r="E54" s="3" t="n">
        <v>1800</v>
      </c>
      <c r="F54" s="3" t="n">
        <v>1020</v>
      </c>
      <c r="G54" s="3" t="n">
        <v>16</v>
      </c>
      <c r="H54" s="8" t="n">
        <f aca="false">(E54/1000)*(F54/1000)*(G54/1000)*7850</f>
        <v>230.6016</v>
      </c>
      <c r="I54" s="3" t="n">
        <v>2</v>
      </c>
      <c r="J54" s="9" t="n">
        <f aca="false">H54*I54</f>
        <v>461.2032</v>
      </c>
      <c r="K54" s="3"/>
    </row>
    <row r="55" customFormat="false" ht="19.5" hidden="false" customHeight="false" outlineLevel="0" collapsed="false">
      <c r="A55" s="3" t="s">
        <v>229</v>
      </c>
      <c r="B55" s="3" t="s">
        <v>219</v>
      </c>
      <c r="C55" s="3" t="s">
        <v>221</v>
      </c>
      <c r="D55" s="3" t="s">
        <v>8</v>
      </c>
      <c r="E55" s="3" t="n">
        <v>1020</v>
      </c>
      <c r="F55" s="3" t="n">
        <v>500</v>
      </c>
      <c r="G55" s="3" t="n">
        <v>16</v>
      </c>
      <c r="H55" s="8" t="n">
        <f aca="false">(E55/1000)*(F55/1000)*(G55/1000)*7850</f>
        <v>64.056</v>
      </c>
      <c r="I55" s="3" t="n">
        <v>2</v>
      </c>
      <c r="J55" s="9" t="n">
        <f aca="false">H55*I55</f>
        <v>128.112</v>
      </c>
      <c r="K55" s="3"/>
    </row>
    <row r="56" customFormat="false" ht="19.5" hidden="false" customHeight="false" outlineLevel="0" collapsed="false">
      <c r="A56" s="3" t="s">
        <v>229</v>
      </c>
      <c r="B56" s="3" t="s">
        <v>219</v>
      </c>
      <c r="C56" s="3" t="s">
        <v>222</v>
      </c>
      <c r="D56" s="3" t="s">
        <v>8</v>
      </c>
      <c r="E56" s="3" t="n">
        <v>1020</v>
      </c>
      <c r="F56" s="3" t="n">
        <v>500</v>
      </c>
      <c r="G56" s="3" t="n">
        <v>16</v>
      </c>
      <c r="H56" s="8" t="n">
        <f aca="false">(E56/1000)*(F56/1000)*(G56/1000)*7850</f>
        <v>64.056</v>
      </c>
      <c r="I56" s="3" t="n">
        <v>2</v>
      </c>
      <c r="J56" s="9" t="n">
        <f aca="false">H56*I56</f>
        <v>128.112</v>
      </c>
      <c r="K56" s="3"/>
    </row>
    <row r="57" customFormat="false" ht="19.5" hidden="false" customHeight="false" outlineLevel="0" collapsed="false">
      <c r="A57" s="3" t="s">
        <v>229</v>
      </c>
      <c r="B57" s="3" t="s">
        <v>219</v>
      </c>
      <c r="C57" s="3" t="s">
        <v>223</v>
      </c>
      <c r="D57" s="3" t="s">
        <v>8</v>
      </c>
      <c r="E57" s="3" t="n">
        <v>1020</v>
      </c>
      <c r="F57" s="3" t="n">
        <v>600</v>
      </c>
      <c r="G57" s="3" t="n">
        <v>16</v>
      </c>
      <c r="H57" s="8" t="n">
        <f aca="false">(E57/1000)*(F57/1000)*(G57/1000)*7850</f>
        <v>76.8672</v>
      </c>
      <c r="I57" s="3" t="n">
        <v>2</v>
      </c>
      <c r="J57" s="9" t="n">
        <f aca="false">H57*I57</f>
        <v>153.7344</v>
      </c>
      <c r="K57" s="3"/>
    </row>
    <row r="58" customFormat="false" ht="19.5" hidden="false" customHeight="false" outlineLevel="0" collapsed="false">
      <c r="A58" s="3" t="s">
        <v>229</v>
      </c>
      <c r="B58" s="3" t="s">
        <v>219</v>
      </c>
      <c r="C58" s="3" t="s">
        <v>224</v>
      </c>
      <c r="D58" s="3" t="s">
        <v>8</v>
      </c>
      <c r="E58" s="3" t="n">
        <v>1420</v>
      </c>
      <c r="F58" s="3" t="n">
        <v>1100</v>
      </c>
      <c r="G58" s="3" t="n">
        <v>28</v>
      </c>
      <c r="H58" s="8" t="n">
        <f aca="false">(E58/1000)*(F58/1000)*(G58/1000)*7850</f>
        <v>343.3276</v>
      </c>
      <c r="I58" s="3" t="n">
        <v>1</v>
      </c>
      <c r="J58" s="9" t="n">
        <f aca="false">H58*I58</f>
        <v>343.3276</v>
      </c>
      <c r="K58" s="3"/>
    </row>
    <row r="59" customFormat="false" ht="19.5" hidden="false" customHeight="false" outlineLevel="0" collapsed="false">
      <c r="A59" s="3" t="s">
        <v>229</v>
      </c>
      <c r="B59" s="3" t="s">
        <v>219</v>
      </c>
      <c r="C59" s="3" t="s">
        <v>225</v>
      </c>
      <c r="D59" s="3" t="s">
        <v>8</v>
      </c>
      <c r="E59" s="3" t="n">
        <v>1420</v>
      </c>
      <c r="F59" s="3" t="n">
        <v>400</v>
      </c>
      <c r="G59" s="3" t="n">
        <v>28</v>
      </c>
      <c r="H59" s="8" t="n">
        <f aca="false">(E59/1000)*(F59/1000)*(G59/1000)*7850</f>
        <v>124.8464</v>
      </c>
      <c r="I59" s="3" t="n">
        <v>2</v>
      </c>
      <c r="J59" s="9" t="n">
        <f aca="false">H59*I59</f>
        <v>249.6928</v>
      </c>
      <c r="K59" s="3"/>
    </row>
    <row r="60" customFormat="false" ht="19.5" hidden="false" customHeight="false" outlineLevel="0" collapsed="false">
      <c r="A60" s="3" t="s">
        <v>229</v>
      </c>
      <c r="B60" s="3" t="s">
        <v>219</v>
      </c>
      <c r="C60" s="3" t="s">
        <v>226</v>
      </c>
      <c r="D60" s="3" t="s">
        <v>8</v>
      </c>
      <c r="E60" s="3" t="n">
        <v>920</v>
      </c>
      <c r="F60" s="3" t="n">
        <v>200</v>
      </c>
      <c r="G60" s="3" t="n">
        <v>20</v>
      </c>
      <c r="H60" s="8" t="n">
        <f aca="false">(E60/1000)*(F60/1000)*(G60/1000)*7850</f>
        <v>28.888</v>
      </c>
      <c r="I60" s="3" t="n">
        <v>10</v>
      </c>
      <c r="J60" s="9" t="n">
        <f aca="false">H60*I60</f>
        <v>288.88</v>
      </c>
      <c r="K60" s="3"/>
    </row>
    <row r="61" customFormat="false" ht="19.5" hidden="false" customHeight="false" outlineLevel="0" collapsed="false">
      <c r="A61" s="3" t="s">
        <v>229</v>
      </c>
      <c r="B61" s="3" t="s">
        <v>219</v>
      </c>
      <c r="C61" s="3" t="s">
        <v>227</v>
      </c>
      <c r="D61" s="3" t="s">
        <v>8</v>
      </c>
      <c r="E61" s="3" t="n">
        <v>1800</v>
      </c>
      <c r="F61" s="3" t="n">
        <v>600</v>
      </c>
      <c r="G61" s="3" t="n">
        <v>20</v>
      </c>
      <c r="H61" s="8" t="n">
        <f aca="false">(E61/1000)*(F61/1000)*(G61/1000)*7850</f>
        <v>169.56</v>
      </c>
      <c r="I61" s="3" t="n">
        <v>2</v>
      </c>
      <c r="J61" s="9" t="n">
        <f aca="false">H61*I61</f>
        <v>339.12</v>
      </c>
      <c r="K61" s="3"/>
    </row>
    <row r="62" customFormat="false" ht="19.5" hidden="false" customHeight="false" outlineLevel="0" collapsed="false">
      <c r="A62" s="3" t="s">
        <v>230</v>
      </c>
      <c r="B62" s="3" t="s">
        <v>203</v>
      </c>
      <c r="C62" s="3" t="s">
        <v>204</v>
      </c>
      <c r="D62" s="3" t="s">
        <v>8</v>
      </c>
      <c r="E62" s="3" t="n">
        <v>1700</v>
      </c>
      <c r="F62" s="3" t="n">
        <v>820</v>
      </c>
      <c r="G62" s="3" t="n">
        <v>20</v>
      </c>
      <c r="H62" s="8" t="n">
        <f aca="false">(E62/1000)*(F62/1000)*(G62/1000)*7850</f>
        <v>218.858</v>
      </c>
      <c r="I62" s="3" t="n">
        <v>2</v>
      </c>
      <c r="J62" s="9" t="n">
        <f aca="false">H62*I62</f>
        <v>437.716</v>
      </c>
      <c r="K62" s="3"/>
    </row>
    <row r="63" customFormat="false" ht="19.5" hidden="false" customHeight="false" outlineLevel="0" collapsed="false">
      <c r="A63" s="3" t="s">
        <v>230</v>
      </c>
      <c r="B63" s="3" t="s">
        <v>203</v>
      </c>
      <c r="C63" s="3" t="s">
        <v>205</v>
      </c>
      <c r="D63" s="3" t="s">
        <v>8</v>
      </c>
      <c r="E63" s="3" t="n">
        <v>820</v>
      </c>
      <c r="F63" s="3" t="n">
        <v>800</v>
      </c>
      <c r="G63" s="3" t="n">
        <v>20</v>
      </c>
      <c r="H63" s="8" t="n">
        <f aca="false">(E63/1000)*(F63/1000)*(G63/1000)*7850</f>
        <v>102.992</v>
      </c>
      <c r="I63" s="3" t="n">
        <v>4</v>
      </c>
      <c r="J63" s="9" t="n">
        <f aca="false">H63*I63</f>
        <v>411.968</v>
      </c>
      <c r="K63" s="3"/>
    </row>
    <row r="64" customFormat="false" ht="19.5" hidden="false" customHeight="false" outlineLevel="0" collapsed="false">
      <c r="A64" s="3" t="s">
        <v>230</v>
      </c>
      <c r="B64" s="3" t="s">
        <v>203</v>
      </c>
      <c r="C64" s="3" t="s">
        <v>206</v>
      </c>
      <c r="D64" s="3" t="s">
        <v>8</v>
      </c>
      <c r="E64" s="3" t="n">
        <v>1120</v>
      </c>
      <c r="F64" s="3" t="n">
        <v>1100</v>
      </c>
      <c r="G64" s="3" t="n">
        <v>32</v>
      </c>
      <c r="H64" s="8" t="n">
        <f aca="false">(E64/1000)*(F64/1000)*(G64/1000)*7850</f>
        <v>309.4784</v>
      </c>
      <c r="I64" s="3" t="n">
        <v>1</v>
      </c>
      <c r="J64" s="9" t="n">
        <f aca="false">H64*I64</f>
        <v>309.4784</v>
      </c>
      <c r="K64" s="3"/>
    </row>
    <row r="65" customFormat="false" ht="19.5" hidden="false" customHeight="false" outlineLevel="0" collapsed="false">
      <c r="A65" s="3" t="s">
        <v>230</v>
      </c>
      <c r="B65" s="3" t="s">
        <v>203</v>
      </c>
      <c r="C65" s="3" t="s">
        <v>207</v>
      </c>
      <c r="D65" s="3" t="s">
        <v>8</v>
      </c>
      <c r="E65" s="3" t="n">
        <v>1120</v>
      </c>
      <c r="F65" s="3" t="n">
        <v>400</v>
      </c>
      <c r="G65" s="3" t="n">
        <v>32</v>
      </c>
      <c r="H65" s="8" t="n">
        <f aca="false">(E65/1000)*(F65/1000)*(G65/1000)*7850</f>
        <v>112.5376</v>
      </c>
      <c r="I65" s="3" t="n">
        <v>2</v>
      </c>
      <c r="J65" s="9" t="n">
        <f aca="false">H65*I65</f>
        <v>225.0752</v>
      </c>
      <c r="K65" s="3"/>
    </row>
    <row r="66" customFormat="false" ht="19.5" hidden="false" customHeight="false" outlineLevel="0" collapsed="false">
      <c r="A66" s="3" t="s">
        <v>230</v>
      </c>
      <c r="B66" s="3" t="s">
        <v>203</v>
      </c>
      <c r="C66" s="3" t="s">
        <v>208</v>
      </c>
      <c r="D66" s="3" t="s">
        <v>8</v>
      </c>
      <c r="E66" s="3" t="n">
        <v>920</v>
      </c>
      <c r="F66" s="3" t="n">
        <v>200</v>
      </c>
      <c r="G66" s="3" t="n">
        <v>20</v>
      </c>
      <c r="H66" s="8" t="n">
        <f aca="false">(E66/1000)*(F66/1000)*(G66/1000)*7850</f>
        <v>28.888</v>
      </c>
      <c r="I66" s="3" t="n">
        <v>6</v>
      </c>
      <c r="J66" s="9" t="n">
        <f aca="false">H66*I66</f>
        <v>173.328</v>
      </c>
      <c r="K66" s="3"/>
    </row>
    <row r="67" customFormat="false" ht="19.5" hidden="false" customHeight="false" outlineLevel="0" collapsed="false">
      <c r="A67" s="3" t="s">
        <v>230</v>
      </c>
      <c r="B67" s="3" t="s">
        <v>203</v>
      </c>
      <c r="C67" s="3" t="s">
        <v>209</v>
      </c>
      <c r="D67" s="3" t="s">
        <v>8</v>
      </c>
      <c r="E67" s="3" t="n">
        <v>1700</v>
      </c>
      <c r="F67" s="3" t="n">
        <v>400</v>
      </c>
      <c r="G67" s="3" t="n">
        <v>16</v>
      </c>
      <c r="H67" s="8" t="n">
        <f aca="false">(E67/1000)*(F67/1000)*(G67/1000)*7850</f>
        <v>85.408</v>
      </c>
      <c r="I67" s="3" t="n">
        <v>2</v>
      </c>
      <c r="J67" s="9" t="n">
        <f aca="false">H67*I67</f>
        <v>170.816</v>
      </c>
      <c r="K67" s="3"/>
    </row>
    <row r="68" customFormat="false" ht="15" hidden="false" customHeight="false" outlineLevel="0" collapsed="false">
      <c r="A68" s="3" t="s">
        <v>230</v>
      </c>
      <c r="B68" s="3" t="s">
        <v>210</v>
      </c>
      <c r="C68" s="3" t="s">
        <v>211</v>
      </c>
      <c r="D68" s="3" t="s">
        <v>8</v>
      </c>
      <c r="E68" s="3" t="n">
        <v>1320</v>
      </c>
      <c r="F68" s="3" t="n">
        <v>1100</v>
      </c>
      <c r="G68" s="3" t="n">
        <v>20</v>
      </c>
      <c r="H68" s="8" t="n">
        <f aca="false">(E68/1000)*(F68/1000)*(G68/1000)*7850</f>
        <v>227.964</v>
      </c>
      <c r="I68" s="3" t="n">
        <v>2</v>
      </c>
      <c r="J68" s="9" t="n">
        <f aca="false">H68*I68</f>
        <v>455.928</v>
      </c>
      <c r="K68" s="3"/>
    </row>
    <row r="69" customFormat="false" ht="15" hidden="false" customHeight="false" outlineLevel="0" collapsed="false">
      <c r="A69" s="3" t="s">
        <v>230</v>
      </c>
      <c r="B69" s="3" t="s">
        <v>210</v>
      </c>
      <c r="C69" s="3" t="s">
        <v>212</v>
      </c>
      <c r="D69" s="3" t="s">
        <v>8</v>
      </c>
      <c r="E69" s="3" t="n">
        <v>1320</v>
      </c>
      <c r="F69" s="3" t="n">
        <v>500</v>
      </c>
      <c r="G69" s="3" t="n">
        <v>20</v>
      </c>
      <c r="H69" s="8" t="n">
        <f aca="false">(E69/1000)*(F69/1000)*(G69/1000)*7850</f>
        <v>103.62</v>
      </c>
      <c r="I69" s="3" t="n">
        <v>4</v>
      </c>
      <c r="J69" s="9" t="n">
        <f aca="false">H69*I69</f>
        <v>414.48</v>
      </c>
      <c r="K69" s="3"/>
    </row>
    <row r="70" customFormat="false" ht="15" hidden="false" customHeight="false" outlineLevel="0" collapsed="false">
      <c r="A70" s="3" t="s">
        <v>230</v>
      </c>
      <c r="B70" s="3" t="s">
        <v>210</v>
      </c>
      <c r="C70" s="3" t="s">
        <v>213</v>
      </c>
      <c r="D70" s="3" t="s">
        <v>8</v>
      </c>
      <c r="E70" s="3" t="n">
        <v>1120</v>
      </c>
      <c r="F70" s="3" t="n">
        <v>1100</v>
      </c>
      <c r="G70" s="3" t="n">
        <v>24</v>
      </c>
      <c r="H70" s="8" t="n">
        <f aca="false">(E70/1000)*(F70/1000)*(G70/1000)*7850</f>
        <v>232.1088</v>
      </c>
      <c r="I70" s="3" t="n">
        <v>1</v>
      </c>
      <c r="J70" s="9" t="n">
        <f aca="false">H70*I70</f>
        <v>232.1088</v>
      </c>
      <c r="K70" s="3"/>
    </row>
    <row r="71" customFormat="false" ht="15" hidden="false" customHeight="false" outlineLevel="0" collapsed="false">
      <c r="A71" s="3" t="s">
        <v>230</v>
      </c>
      <c r="B71" s="3" t="s">
        <v>210</v>
      </c>
      <c r="C71" s="3" t="s">
        <v>214</v>
      </c>
      <c r="D71" s="3" t="s">
        <v>8</v>
      </c>
      <c r="E71" s="3" t="n">
        <v>1120</v>
      </c>
      <c r="F71" s="3" t="n">
        <v>500</v>
      </c>
      <c r="G71" s="3" t="n">
        <v>24</v>
      </c>
      <c r="H71" s="8" t="n">
        <f aca="false">(E71/1000)*(F71/1000)*(G71/1000)*7850</f>
        <v>105.504</v>
      </c>
      <c r="I71" s="3" t="n">
        <v>2</v>
      </c>
      <c r="J71" s="9" t="n">
        <f aca="false">H71*I71</f>
        <v>211.008</v>
      </c>
      <c r="K71" s="3"/>
    </row>
    <row r="72" customFormat="false" ht="15" hidden="false" customHeight="false" outlineLevel="0" collapsed="false">
      <c r="A72" s="3" t="s">
        <v>230</v>
      </c>
      <c r="B72" s="3" t="s">
        <v>210</v>
      </c>
      <c r="C72" s="3" t="s">
        <v>215</v>
      </c>
      <c r="D72" s="3" t="s">
        <v>8</v>
      </c>
      <c r="E72" s="3" t="n">
        <v>1320</v>
      </c>
      <c r="F72" s="3" t="n">
        <v>1100</v>
      </c>
      <c r="G72" s="3" t="n">
        <v>36</v>
      </c>
      <c r="H72" s="8" t="n">
        <f aca="false">(E72/1000)*(F72/1000)*(G72/1000)*7850</f>
        <v>410.3352</v>
      </c>
      <c r="I72" s="3" t="n">
        <v>1</v>
      </c>
      <c r="J72" s="9" t="n">
        <f aca="false">H72*I72</f>
        <v>410.3352</v>
      </c>
      <c r="K72" s="3"/>
    </row>
    <row r="73" customFormat="false" ht="15" hidden="false" customHeight="false" outlineLevel="0" collapsed="false">
      <c r="A73" s="3" t="s">
        <v>230</v>
      </c>
      <c r="B73" s="3" t="s">
        <v>210</v>
      </c>
      <c r="C73" s="3" t="s">
        <v>216</v>
      </c>
      <c r="D73" s="3" t="s">
        <v>8</v>
      </c>
      <c r="E73" s="3" t="n">
        <v>1320</v>
      </c>
      <c r="F73" s="3" t="n">
        <v>240</v>
      </c>
      <c r="G73" s="3" t="n">
        <v>36</v>
      </c>
      <c r="H73" s="8" t="n">
        <f aca="false">(E73/1000)*(F73/1000)*(G73/1000)*7850</f>
        <v>89.52768</v>
      </c>
      <c r="I73" s="3" t="n">
        <v>2</v>
      </c>
      <c r="J73" s="9" t="n">
        <f aca="false">H73*I73</f>
        <v>179.05536</v>
      </c>
      <c r="K73" s="3"/>
    </row>
    <row r="74" customFormat="false" ht="15" hidden="false" customHeight="false" outlineLevel="0" collapsed="false">
      <c r="A74" s="3" t="s">
        <v>230</v>
      </c>
      <c r="B74" s="3" t="s">
        <v>210</v>
      </c>
      <c r="C74" s="3" t="s">
        <v>217</v>
      </c>
      <c r="D74" s="3" t="s">
        <v>8</v>
      </c>
      <c r="E74" s="3" t="n">
        <v>1220</v>
      </c>
      <c r="F74" s="3" t="n">
        <v>240</v>
      </c>
      <c r="G74" s="3" t="n">
        <v>24</v>
      </c>
      <c r="H74" s="8" t="n">
        <f aca="false">(E74/1000)*(F74/1000)*(G74/1000)*7850</f>
        <v>55.16352</v>
      </c>
      <c r="I74" s="3" t="n">
        <v>4</v>
      </c>
      <c r="J74" s="9" t="n">
        <f aca="false">H74*I74</f>
        <v>220.65408</v>
      </c>
      <c r="K74" s="3"/>
    </row>
    <row r="75" customFormat="false" ht="15" hidden="false" customHeight="false" outlineLevel="0" collapsed="false">
      <c r="A75" s="3" t="s">
        <v>230</v>
      </c>
      <c r="B75" s="3" t="s">
        <v>210</v>
      </c>
      <c r="C75" s="3" t="s">
        <v>218</v>
      </c>
      <c r="D75" s="3" t="s">
        <v>8</v>
      </c>
      <c r="E75" s="3" t="n">
        <v>1221</v>
      </c>
      <c r="F75" s="3" t="n">
        <v>240</v>
      </c>
      <c r="G75" s="3" t="n">
        <v>24</v>
      </c>
      <c r="H75" s="8" t="n">
        <f aca="false">(E75/1000)*(F75/1000)*(G75/1000)*7850</f>
        <v>55.208736</v>
      </c>
      <c r="I75" s="3" t="n">
        <v>2</v>
      </c>
      <c r="J75" s="9" t="n">
        <f aca="false">H75*I75</f>
        <v>110.417472</v>
      </c>
      <c r="K75" s="3"/>
    </row>
    <row r="76" customFormat="false" ht="19.5" hidden="false" customHeight="false" outlineLevel="0" collapsed="false">
      <c r="A76" s="3" t="s">
        <v>230</v>
      </c>
      <c r="B76" s="3" t="s">
        <v>219</v>
      </c>
      <c r="C76" s="3" t="s">
        <v>220</v>
      </c>
      <c r="D76" s="3" t="s">
        <v>8</v>
      </c>
      <c r="E76" s="3" t="n">
        <v>1800</v>
      </c>
      <c r="F76" s="3" t="n">
        <v>1220</v>
      </c>
      <c r="G76" s="3" t="n">
        <v>28</v>
      </c>
      <c r="H76" s="8" t="n">
        <f aca="false">(E76/1000)*(F76/1000)*(G76/1000)*7850</f>
        <v>482.6808</v>
      </c>
      <c r="I76" s="3" t="n">
        <v>2</v>
      </c>
      <c r="J76" s="9" t="n">
        <f aca="false">H76*I76</f>
        <v>965.3616</v>
      </c>
      <c r="K76" s="3"/>
    </row>
    <row r="77" customFormat="false" ht="19.5" hidden="false" customHeight="false" outlineLevel="0" collapsed="false">
      <c r="A77" s="3" t="s">
        <v>230</v>
      </c>
      <c r="B77" s="3" t="s">
        <v>219</v>
      </c>
      <c r="C77" s="3" t="s">
        <v>221</v>
      </c>
      <c r="D77" s="3" t="s">
        <v>8</v>
      </c>
      <c r="E77" s="3" t="n">
        <v>1220</v>
      </c>
      <c r="F77" s="3" t="n">
        <v>500</v>
      </c>
      <c r="G77" s="3" t="n">
        <v>28</v>
      </c>
      <c r="H77" s="8" t="n">
        <f aca="false">(E77/1000)*(F77/1000)*(G77/1000)*7850</f>
        <v>134.078</v>
      </c>
      <c r="I77" s="3" t="n">
        <v>2</v>
      </c>
      <c r="J77" s="9" t="n">
        <f aca="false">H77*I77</f>
        <v>268.156</v>
      </c>
      <c r="K77" s="3"/>
    </row>
    <row r="78" customFormat="false" ht="19.5" hidden="false" customHeight="false" outlineLevel="0" collapsed="false">
      <c r="A78" s="3" t="s">
        <v>230</v>
      </c>
      <c r="B78" s="3" t="s">
        <v>219</v>
      </c>
      <c r="C78" s="3" t="s">
        <v>222</v>
      </c>
      <c r="D78" s="3" t="s">
        <v>8</v>
      </c>
      <c r="E78" s="3" t="n">
        <v>1220</v>
      </c>
      <c r="F78" s="3" t="n">
        <v>500</v>
      </c>
      <c r="G78" s="3" t="n">
        <v>28</v>
      </c>
      <c r="H78" s="8" t="n">
        <f aca="false">(E78/1000)*(F78/1000)*(G78/1000)*7850</f>
        <v>134.078</v>
      </c>
      <c r="I78" s="3" t="n">
        <v>2</v>
      </c>
      <c r="J78" s="9" t="n">
        <f aca="false">H78*I78</f>
        <v>268.156</v>
      </c>
      <c r="K78" s="3"/>
    </row>
    <row r="79" customFormat="false" ht="19.5" hidden="false" customHeight="false" outlineLevel="0" collapsed="false">
      <c r="A79" s="3" t="s">
        <v>230</v>
      </c>
      <c r="B79" s="3" t="s">
        <v>219</v>
      </c>
      <c r="C79" s="3" t="s">
        <v>223</v>
      </c>
      <c r="D79" s="3" t="s">
        <v>8</v>
      </c>
      <c r="E79" s="3" t="n">
        <v>1220</v>
      </c>
      <c r="F79" s="3" t="n">
        <v>600</v>
      </c>
      <c r="G79" s="3" t="n">
        <v>28</v>
      </c>
      <c r="H79" s="8" t="n">
        <f aca="false">(E79/1000)*(F79/1000)*(G79/1000)*7850</f>
        <v>160.8936</v>
      </c>
      <c r="I79" s="3" t="n">
        <v>2</v>
      </c>
      <c r="J79" s="9" t="n">
        <f aca="false">H79*I79</f>
        <v>321.7872</v>
      </c>
      <c r="K79" s="3"/>
    </row>
    <row r="80" customFormat="false" ht="19.5" hidden="false" customHeight="false" outlineLevel="0" collapsed="false">
      <c r="A80" s="3" t="s">
        <v>230</v>
      </c>
      <c r="B80" s="3" t="s">
        <v>219</v>
      </c>
      <c r="C80" s="3" t="s">
        <v>224</v>
      </c>
      <c r="D80" s="3" t="s">
        <v>8</v>
      </c>
      <c r="E80" s="3" t="n">
        <v>1420</v>
      </c>
      <c r="F80" s="3" t="n">
        <v>1100</v>
      </c>
      <c r="G80" s="3" t="n">
        <v>32</v>
      </c>
      <c r="H80" s="8" t="n">
        <f aca="false">(E80/1000)*(F80/1000)*(G80/1000)*7850</f>
        <v>392.3744</v>
      </c>
      <c r="I80" s="3" t="n">
        <v>1</v>
      </c>
      <c r="J80" s="9" t="n">
        <f aca="false">H80*I80</f>
        <v>392.3744</v>
      </c>
      <c r="K80" s="3"/>
    </row>
    <row r="81" customFormat="false" ht="19.5" hidden="false" customHeight="false" outlineLevel="0" collapsed="false">
      <c r="A81" s="3" t="s">
        <v>230</v>
      </c>
      <c r="B81" s="3" t="s">
        <v>219</v>
      </c>
      <c r="C81" s="3" t="s">
        <v>225</v>
      </c>
      <c r="D81" s="3" t="s">
        <v>8</v>
      </c>
      <c r="E81" s="3" t="n">
        <v>1420</v>
      </c>
      <c r="F81" s="3" t="n">
        <v>400</v>
      </c>
      <c r="G81" s="3" t="n">
        <v>32</v>
      </c>
      <c r="H81" s="8" t="n">
        <f aca="false">(E81/1000)*(F81/1000)*(G81/1000)*7850</f>
        <v>142.6816</v>
      </c>
      <c r="I81" s="3" t="n">
        <v>2</v>
      </c>
      <c r="J81" s="9" t="n">
        <f aca="false">H81*I81</f>
        <v>285.3632</v>
      </c>
      <c r="K81" s="3"/>
    </row>
    <row r="82" customFormat="false" ht="19.5" hidden="false" customHeight="false" outlineLevel="0" collapsed="false">
      <c r="A82" s="3" t="s">
        <v>230</v>
      </c>
      <c r="B82" s="3" t="s">
        <v>219</v>
      </c>
      <c r="C82" s="3" t="s">
        <v>226</v>
      </c>
      <c r="D82" s="3" t="s">
        <v>8</v>
      </c>
      <c r="E82" s="3" t="n">
        <v>920</v>
      </c>
      <c r="F82" s="3" t="n">
        <v>200</v>
      </c>
      <c r="G82" s="3" t="n">
        <v>20</v>
      </c>
      <c r="H82" s="8" t="n">
        <f aca="false">(E82/1000)*(F82/1000)*(G82/1000)*7850</f>
        <v>28.888</v>
      </c>
      <c r="I82" s="3" t="n">
        <v>10</v>
      </c>
      <c r="J82" s="9" t="n">
        <f aca="false">H82*I82</f>
        <v>288.88</v>
      </c>
      <c r="K82" s="3"/>
    </row>
    <row r="83" customFormat="false" ht="19.5" hidden="false" customHeight="false" outlineLevel="0" collapsed="false">
      <c r="A83" s="3" t="s">
        <v>230</v>
      </c>
      <c r="B83" s="3" t="s">
        <v>219</v>
      </c>
      <c r="C83" s="3" t="s">
        <v>227</v>
      </c>
      <c r="D83" s="3" t="s">
        <v>8</v>
      </c>
      <c r="E83" s="3" t="n">
        <v>1800</v>
      </c>
      <c r="F83" s="3" t="n">
        <v>600</v>
      </c>
      <c r="G83" s="3" t="n">
        <v>8</v>
      </c>
      <c r="H83" s="8" t="n">
        <f aca="false">(E83/1000)*(F83/1000)*(G83/1000)*7850</f>
        <v>67.824</v>
      </c>
      <c r="I83" s="3" t="n">
        <v>2</v>
      </c>
      <c r="J83" s="9" t="n">
        <f aca="false">H83*I83</f>
        <v>135.648</v>
      </c>
      <c r="K83" s="3"/>
    </row>
    <row r="84" customFormat="false" ht="19.5" hidden="false" customHeight="false" outlineLevel="0" collapsed="false">
      <c r="A84" s="3" t="s">
        <v>231</v>
      </c>
      <c r="B84" s="3" t="s">
        <v>219</v>
      </c>
      <c r="C84" s="3" t="s">
        <v>220</v>
      </c>
      <c r="D84" s="3" t="s">
        <v>8</v>
      </c>
      <c r="E84" s="3" t="n">
        <v>1820</v>
      </c>
      <c r="F84" s="3" t="n">
        <v>1800</v>
      </c>
      <c r="G84" s="3" t="n">
        <v>40</v>
      </c>
      <c r="H84" s="8" t="n">
        <f aca="false">(E84/1000)*(F84/1000)*(G84/1000)*7850</f>
        <v>1028.664</v>
      </c>
      <c r="I84" s="3" t="n">
        <v>2</v>
      </c>
      <c r="J84" s="9" t="n">
        <f aca="false">H84*I84</f>
        <v>2057.328</v>
      </c>
      <c r="K84" s="3"/>
    </row>
    <row r="85" customFormat="false" ht="19.5" hidden="false" customHeight="false" outlineLevel="0" collapsed="false">
      <c r="A85" s="3" t="s">
        <v>231</v>
      </c>
      <c r="B85" s="3" t="s">
        <v>219</v>
      </c>
      <c r="C85" s="3" t="s">
        <v>221</v>
      </c>
      <c r="D85" s="3" t="s">
        <v>8</v>
      </c>
      <c r="E85" s="3" t="n">
        <v>1820</v>
      </c>
      <c r="F85" s="3" t="n">
        <v>500</v>
      </c>
      <c r="G85" s="3" t="n">
        <v>40</v>
      </c>
      <c r="H85" s="8" t="n">
        <f aca="false">(E85/1000)*(F85/1000)*(G85/1000)*7850</f>
        <v>285.74</v>
      </c>
      <c r="I85" s="3" t="n">
        <v>2</v>
      </c>
      <c r="J85" s="9" t="n">
        <f aca="false">H85*I85</f>
        <v>571.48</v>
      </c>
      <c r="K85" s="3"/>
    </row>
    <row r="86" customFormat="false" ht="19.5" hidden="false" customHeight="false" outlineLevel="0" collapsed="false">
      <c r="A86" s="3" t="s">
        <v>231</v>
      </c>
      <c r="B86" s="3" t="s">
        <v>219</v>
      </c>
      <c r="C86" s="3" t="s">
        <v>222</v>
      </c>
      <c r="D86" s="3" t="s">
        <v>8</v>
      </c>
      <c r="E86" s="3" t="n">
        <v>1820</v>
      </c>
      <c r="F86" s="3" t="n">
        <v>500</v>
      </c>
      <c r="G86" s="3" t="n">
        <v>40</v>
      </c>
      <c r="H86" s="8" t="n">
        <f aca="false">(E86/1000)*(F86/1000)*(G86/1000)*7850</f>
        <v>285.74</v>
      </c>
      <c r="I86" s="3" t="n">
        <v>2</v>
      </c>
      <c r="J86" s="9" t="n">
        <f aca="false">H86*I86</f>
        <v>571.48</v>
      </c>
      <c r="K86" s="3"/>
    </row>
    <row r="87" customFormat="false" ht="19.5" hidden="false" customHeight="false" outlineLevel="0" collapsed="false">
      <c r="A87" s="3" t="s">
        <v>231</v>
      </c>
      <c r="B87" s="3" t="s">
        <v>219</v>
      </c>
      <c r="C87" s="3" t="s">
        <v>223</v>
      </c>
      <c r="D87" s="3" t="s">
        <v>8</v>
      </c>
      <c r="E87" s="3" t="n">
        <v>1820</v>
      </c>
      <c r="F87" s="3" t="n">
        <v>600</v>
      </c>
      <c r="G87" s="3" t="n">
        <v>40</v>
      </c>
      <c r="H87" s="8" t="n">
        <f aca="false">(E87/1000)*(F87/1000)*(G87/1000)*7850</f>
        <v>342.888</v>
      </c>
      <c r="I87" s="3" t="n">
        <v>2</v>
      </c>
      <c r="J87" s="9" t="n">
        <f aca="false">H87*I87</f>
        <v>685.776</v>
      </c>
      <c r="K87" s="3"/>
    </row>
    <row r="88" customFormat="false" ht="19.5" hidden="false" customHeight="false" outlineLevel="0" collapsed="false">
      <c r="A88" s="3" t="s">
        <v>231</v>
      </c>
      <c r="B88" s="3" t="s">
        <v>219</v>
      </c>
      <c r="C88" s="3" t="s">
        <v>224</v>
      </c>
      <c r="D88" s="3" t="s">
        <v>8</v>
      </c>
      <c r="E88" s="3" t="n">
        <v>1720</v>
      </c>
      <c r="F88" s="3" t="n">
        <v>1100</v>
      </c>
      <c r="G88" s="3" t="n">
        <v>44</v>
      </c>
      <c r="H88" s="8" t="n">
        <f aca="false">(E88/1000)*(F88/1000)*(G88/1000)*7850</f>
        <v>653.4968</v>
      </c>
      <c r="I88" s="3" t="n">
        <v>1</v>
      </c>
      <c r="J88" s="9" t="n">
        <f aca="false">H88*I88</f>
        <v>653.4968</v>
      </c>
      <c r="K88" s="3"/>
    </row>
    <row r="89" customFormat="false" ht="19.5" hidden="false" customHeight="false" outlineLevel="0" collapsed="false">
      <c r="A89" s="3" t="s">
        <v>231</v>
      </c>
      <c r="B89" s="3" t="s">
        <v>219</v>
      </c>
      <c r="C89" s="3" t="s">
        <v>225</v>
      </c>
      <c r="D89" s="3" t="s">
        <v>8</v>
      </c>
      <c r="E89" s="3" t="n">
        <v>1720</v>
      </c>
      <c r="F89" s="3" t="n">
        <v>400</v>
      </c>
      <c r="G89" s="3" t="n">
        <v>44</v>
      </c>
      <c r="H89" s="8" t="n">
        <f aca="false">(E89/1000)*(F89/1000)*(G89/1000)*7850</f>
        <v>237.6352</v>
      </c>
      <c r="I89" s="3" t="n">
        <v>2</v>
      </c>
      <c r="J89" s="9" t="n">
        <f aca="false">H89*I89</f>
        <v>475.2704</v>
      </c>
      <c r="K89" s="3"/>
    </row>
    <row r="90" customFormat="false" ht="19.5" hidden="false" customHeight="false" outlineLevel="0" collapsed="false">
      <c r="A90" s="3" t="s">
        <v>231</v>
      </c>
      <c r="B90" s="3" t="s">
        <v>219</v>
      </c>
      <c r="C90" s="3" t="s">
        <v>226</v>
      </c>
      <c r="D90" s="3" t="s">
        <v>8</v>
      </c>
      <c r="E90" s="3" t="n">
        <v>1320</v>
      </c>
      <c r="F90" s="3" t="n">
        <v>240</v>
      </c>
      <c r="G90" s="3" t="n">
        <v>24</v>
      </c>
      <c r="H90" s="8" t="n">
        <f aca="false">(E90/1000)*(F90/1000)*(G90/1000)*7850</f>
        <v>59.68512</v>
      </c>
      <c r="I90" s="3" t="n">
        <v>10</v>
      </c>
      <c r="J90" s="9" t="n">
        <f aca="false">H90*I90</f>
        <v>596.8512</v>
      </c>
      <c r="K90" s="3"/>
    </row>
    <row r="91" customFormat="false" ht="19.5" hidden="false" customHeight="false" outlineLevel="0" collapsed="false">
      <c r="A91" s="3" t="s">
        <v>232</v>
      </c>
      <c r="B91" s="3" t="s">
        <v>203</v>
      </c>
      <c r="C91" s="3" t="s">
        <v>204</v>
      </c>
      <c r="D91" s="3" t="s">
        <v>8</v>
      </c>
      <c r="E91" s="3" t="n">
        <v>1700</v>
      </c>
      <c r="F91" s="3" t="n">
        <v>1220</v>
      </c>
      <c r="G91" s="3" t="n">
        <v>28</v>
      </c>
      <c r="H91" s="8" t="n">
        <f aca="false">(E91/1000)*(F91/1000)*(G91/1000)*7850</f>
        <v>455.8652</v>
      </c>
      <c r="I91" s="3" t="n">
        <v>2</v>
      </c>
      <c r="J91" s="9" t="n">
        <f aca="false">H91*I91</f>
        <v>911.7304</v>
      </c>
      <c r="K91" s="3"/>
    </row>
    <row r="92" customFormat="false" ht="19.5" hidden="false" customHeight="false" outlineLevel="0" collapsed="false">
      <c r="A92" s="3" t="s">
        <v>232</v>
      </c>
      <c r="B92" s="3" t="s">
        <v>203</v>
      </c>
      <c r="C92" s="3" t="s">
        <v>205</v>
      </c>
      <c r="D92" s="3" t="s">
        <v>8</v>
      </c>
      <c r="E92" s="3" t="n">
        <v>1220</v>
      </c>
      <c r="F92" s="3" t="n">
        <v>800</v>
      </c>
      <c r="G92" s="3" t="n">
        <v>28</v>
      </c>
      <c r="H92" s="8" t="n">
        <f aca="false">(E92/1000)*(F92/1000)*(G92/1000)*7850</f>
        <v>214.5248</v>
      </c>
      <c r="I92" s="3" t="n">
        <v>4</v>
      </c>
      <c r="J92" s="9" t="n">
        <f aca="false">H92*I92</f>
        <v>858.0992</v>
      </c>
      <c r="K92" s="3"/>
    </row>
    <row r="93" customFormat="false" ht="19.5" hidden="false" customHeight="false" outlineLevel="0" collapsed="false">
      <c r="A93" s="3" t="s">
        <v>232</v>
      </c>
      <c r="B93" s="3" t="s">
        <v>203</v>
      </c>
      <c r="C93" s="3" t="s">
        <v>206</v>
      </c>
      <c r="D93" s="3" t="s">
        <v>8</v>
      </c>
      <c r="E93" s="3" t="n">
        <v>1520</v>
      </c>
      <c r="F93" s="3" t="n">
        <v>1100</v>
      </c>
      <c r="G93" s="3" t="n">
        <v>36</v>
      </c>
      <c r="H93" s="8" t="n">
        <f aca="false">(E93/1000)*(F93/1000)*(G93/1000)*7850</f>
        <v>472.5072</v>
      </c>
      <c r="I93" s="3" t="n">
        <v>1</v>
      </c>
      <c r="J93" s="9" t="n">
        <f aca="false">H93*I93</f>
        <v>472.5072</v>
      </c>
      <c r="K93" s="3"/>
    </row>
    <row r="94" customFormat="false" ht="19.5" hidden="false" customHeight="false" outlineLevel="0" collapsed="false">
      <c r="A94" s="3" t="s">
        <v>232</v>
      </c>
      <c r="B94" s="3" t="s">
        <v>203</v>
      </c>
      <c r="C94" s="3" t="s">
        <v>207</v>
      </c>
      <c r="D94" s="3" t="s">
        <v>8</v>
      </c>
      <c r="E94" s="3" t="n">
        <v>1520</v>
      </c>
      <c r="F94" s="3" t="n">
        <v>400</v>
      </c>
      <c r="G94" s="3" t="n">
        <v>36</v>
      </c>
      <c r="H94" s="8" t="n">
        <f aca="false">(E94/1000)*(F94/1000)*(G94/1000)*7850</f>
        <v>171.8208</v>
      </c>
      <c r="I94" s="3" t="n">
        <v>2</v>
      </c>
      <c r="J94" s="9" t="n">
        <f aca="false">H94*I94</f>
        <v>343.6416</v>
      </c>
      <c r="K94" s="3"/>
    </row>
    <row r="95" customFormat="false" ht="19.5" hidden="false" customHeight="false" outlineLevel="0" collapsed="false">
      <c r="A95" s="3" t="s">
        <v>232</v>
      </c>
      <c r="B95" s="3" t="s">
        <v>203</v>
      </c>
      <c r="C95" s="3" t="s">
        <v>208</v>
      </c>
      <c r="D95" s="3" t="s">
        <v>8</v>
      </c>
      <c r="E95" s="3" t="n">
        <v>1320</v>
      </c>
      <c r="F95" s="3" t="n">
        <v>240</v>
      </c>
      <c r="G95" s="3" t="n">
        <v>24</v>
      </c>
      <c r="H95" s="8" t="n">
        <f aca="false">(E95/1000)*(F95/1000)*(G95/1000)*7850</f>
        <v>59.68512</v>
      </c>
      <c r="I95" s="3" t="n">
        <v>6</v>
      </c>
      <c r="J95" s="9" t="n">
        <f aca="false">H95*I95</f>
        <v>358.11072</v>
      </c>
      <c r="K95" s="3"/>
    </row>
    <row r="96" customFormat="false" ht="15" hidden="false" customHeight="false" outlineLevel="0" collapsed="false">
      <c r="A96" s="3" t="s">
        <v>232</v>
      </c>
      <c r="B96" s="3" t="s">
        <v>210</v>
      </c>
      <c r="C96" s="3" t="s">
        <v>211</v>
      </c>
      <c r="D96" s="3" t="s">
        <v>8</v>
      </c>
      <c r="E96" s="3" t="n">
        <v>1520</v>
      </c>
      <c r="F96" s="3" t="n">
        <v>1500</v>
      </c>
      <c r="G96" s="3" t="n">
        <v>32</v>
      </c>
      <c r="H96" s="8" t="n">
        <f aca="false">(E96/1000)*(F96/1000)*(G96/1000)*7850</f>
        <v>572.736</v>
      </c>
      <c r="I96" s="3" t="n">
        <v>2</v>
      </c>
      <c r="J96" s="9" t="n">
        <f aca="false">H96*I96</f>
        <v>1145.472</v>
      </c>
      <c r="K96" s="3"/>
    </row>
    <row r="97" customFormat="false" ht="15" hidden="false" customHeight="false" outlineLevel="0" collapsed="false">
      <c r="A97" s="3" t="s">
        <v>232</v>
      </c>
      <c r="B97" s="3" t="s">
        <v>210</v>
      </c>
      <c r="C97" s="3" t="s">
        <v>212</v>
      </c>
      <c r="D97" s="3" t="s">
        <v>8</v>
      </c>
      <c r="E97" s="3" t="n">
        <v>1520</v>
      </c>
      <c r="F97" s="3" t="n">
        <v>400</v>
      </c>
      <c r="G97" s="3" t="n">
        <v>32</v>
      </c>
      <c r="H97" s="8" t="n">
        <f aca="false">(E97/1000)*(F97/1000)*(G97/1000)*7850</f>
        <v>152.7296</v>
      </c>
      <c r="I97" s="3" t="n">
        <v>4</v>
      </c>
      <c r="J97" s="9" t="n">
        <f aca="false">H97*I97</f>
        <v>610.9184</v>
      </c>
      <c r="K97" s="3"/>
    </row>
    <row r="98" customFormat="false" ht="15" hidden="false" customHeight="false" outlineLevel="0" collapsed="false">
      <c r="A98" s="3" t="s">
        <v>232</v>
      </c>
      <c r="B98" s="3" t="s">
        <v>210</v>
      </c>
      <c r="C98" s="3" t="s">
        <v>213</v>
      </c>
      <c r="D98" s="3" t="s">
        <v>8</v>
      </c>
      <c r="E98" s="3" t="n">
        <v>1520</v>
      </c>
      <c r="F98" s="3" t="n">
        <v>500</v>
      </c>
      <c r="G98" s="3" t="n">
        <v>32</v>
      </c>
      <c r="H98" s="8" t="n">
        <f aca="false">(E98/1000)*(F98/1000)*(G98/1000)*7850</f>
        <v>190.912</v>
      </c>
      <c r="I98" s="3" t="n">
        <v>2</v>
      </c>
      <c r="J98" s="9" t="n">
        <f aca="false">H98*I98</f>
        <v>381.824</v>
      </c>
      <c r="K98" s="3"/>
    </row>
    <row r="99" customFormat="false" ht="15" hidden="false" customHeight="false" outlineLevel="0" collapsed="false">
      <c r="A99" s="3" t="s">
        <v>232</v>
      </c>
      <c r="B99" s="3" t="s">
        <v>210</v>
      </c>
      <c r="C99" s="3" t="s">
        <v>214</v>
      </c>
      <c r="D99" s="3" t="s">
        <v>8</v>
      </c>
      <c r="E99" s="3" t="n">
        <v>1520</v>
      </c>
      <c r="F99" s="3" t="n">
        <v>1100</v>
      </c>
      <c r="G99" s="3" t="n">
        <v>28</v>
      </c>
      <c r="H99" s="8" t="n">
        <f aca="false">(E99/1000)*(F99/1000)*(G99/1000)*7850</f>
        <v>367.5056</v>
      </c>
      <c r="I99" s="3" t="n">
        <v>1</v>
      </c>
      <c r="J99" s="9" t="n">
        <f aca="false">H99*I99</f>
        <v>367.5056</v>
      </c>
      <c r="K99" s="3"/>
    </row>
    <row r="100" customFormat="false" ht="15" hidden="false" customHeight="false" outlineLevel="0" collapsed="false">
      <c r="A100" s="3" t="s">
        <v>232</v>
      </c>
      <c r="B100" s="3" t="s">
        <v>210</v>
      </c>
      <c r="C100" s="3" t="s">
        <v>215</v>
      </c>
      <c r="D100" s="3" t="s">
        <v>8</v>
      </c>
      <c r="E100" s="3" t="n">
        <v>1520</v>
      </c>
      <c r="F100" s="3" t="n">
        <v>500</v>
      </c>
      <c r="G100" s="3" t="n">
        <v>28</v>
      </c>
      <c r="H100" s="8" t="n">
        <f aca="false">(E100/1000)*(F100/1000)*(G100/1000)*7850</f>
        <v>167.048</v>
      </c>
      <c r="I100" s="3" t="n">
        <v>2</v>
      </c>
      <c r="J100" s="9" t="n">
        <f aca="false">H100*I100</f>
        <v>334.096</v>
      </c>
      <c r="K100" s="3"/>
    </row>
    <row r="101" customFormat="false" ht="15" hidden="false" customHeight="false" outlineLevel="0" collapsed="false">
      <c r="A101" s="3" t="s">
        <v>232</v>
      </c>
      <c r="B101" s="3" t="s">
        <v>210</v>
      </c>
      <c r="C101" s="3" t="s">
        <v>216</v>
      </c>
      <c r="D101" s="3" t="s">
        <v>8</v>
      </c>
      <c r="E101" s="3" t="n">
        <v>1520</v>
      </c>
      <c r="F101" s="3" t="n">
        <v>1100</v>
      </c>
      <c r="G101" s="3" t="n">
        <v>40</v>
      </c>
      <c r="H101" s="8" t="n">
        <f aca="false">(E101/1000)*(F101/1000)*(G101/1000)*7850</f>
        <v>525.008</v>
      </c>
      <c r="I101" s="3" t="n">
        <v>1</v>
      </c>
      <c r="J101" s="9" t="n">
        <f aca="false">H101*I101</f>
        <v>525.008</v>
      </c>
      <c r="K101" s="3"/>
    </row>
    <row r="102" customFormat="false" ht="15" hidden="false" customHeight="false" outlineLevel="0" collapsed="false">
      <c r="A102" s="3" t="s">
        <v>232</v>
      </c>
      <c r="B102" s="3" t="s">
        <v>210</v>
      </c>
      <c r="C102" s="3" t="s">
        <v>217</v>
      </c>
      <c r="D102" s="3" t="s">
        <v>8</v>
      </c>
      <c r="E102" s="3" t="n">
        <v>1520</v>
      </c>
      <c r="F102" s="3" t="n">
        <v>400</v>
      </c>
      <c r="G102" s="3" t="n">
        <v>40</v>
      </c>
      <c r="H102" s="8" t="n">
        <f aca="false">(E102/1000)*(F102/1000)*(G102/1000)*7850</f>
        <v>190.912</v>
      </c>
      <c r="I102" s="3" t="n">
        <v>2</v>
      </c>
      <c r="J102" s="9" t="n">
        <f aca="false">H102*I102</f>
        <v>381.824</v>
      </c>
      <c r="K102" s="3"/>
    </row>
    <row r="103" customFormat="false" ht="15" hidden="false" customHeight="false" outlineLevel="0" collapsed="false">
      <c r="A103" s="3" t="s">
        <v>232</v>
      </c>
      <c r="B103" s="3" t="s">
        <v>210</v>
      </c>
      <c r="C103" s="3" t="s">
        <v>218</v>
      </c>
      <c r="D103" s="3" t="s">
        <v>8</v>
      </c>
      <c r="E103" s="3" t="n">
        <v>1320</v>
      </c>
      <c r="F103" s="3" t="n">
        <v>240</v>
      </c>
      <c r="G103" s="3" t="n">
        <v>24</v>
      </c>
      <c r="H103" s="8" t="n">
        <f aca="false">(E103/1000)*(F103/1000)*(G103/1000)*7850</f>
        <v>59.68512</v>
      </c>
      <c r="I103" s="3" t="n">
        <v>10</v>
      </c>
      <c r="J103" s="9" t="n">
        <f aca="false">H103*I103</f>
        <v>596.8512</v>
      </c>
      <c r="K103" s="3"/>
    </row>
    <row r="104" customFormat="false" ht="19.5" hidden="false" customHeight="false" outlineLevel="0" collapsed="false">
      <c r="A104" s="3" t="s">
        <v>232</v>
      </c>
      <c r="B104" s="3" t="s">
        <v>219</v>
      </c>
      <c r="C104" s="3" t="s">
        <v>220</v>
      </c>
      <c r="D104" s="3" t="s">
        <v>8</v>
      </c>
      <c r="E104" s="3" t="n">
        <v>1820</v>
      </c>
      <c r="F104" s="3" t="n">
        <v>1800</v>
      </c>
      <c r="G104" s="3" t="n">
        <v>40</v>
      </c>
      <c r="H104" s="8" t="n">
        <f aca="false">(E104/1000)*(F104/1000)*(G104/1000)*7850</f>
        <v>1028.664</v>
      </c>
      <c r="I104" s="3" t="n">
        <v>2</v>
      </c>
      <c r="J104" s="9" t="n">
        <f aca="false">H104*I104</f>
        <v>2057.328</v>
      </c>
      <c r="K104" s="3"/>
    </row>
    <row r="105" customFormat="false" ht="19.5" hidden="false" customHeight="false" outlineLevel="0" collapsed="false">
      <c r="A105" s="3" t="s">
        <v>232</v>
      </c>
      <c r="B105" s="3" t="s">
        <v>219</v>
      </c>
      <c r="C105" s="3" t="s">
        <v>221</v>
      </c>
      <c r="D105" s="3" t="s">
        <v>8</v>
      </c>
      <c r="E105" s="3" t="n">
        <v>1820</v>
      </c>
      <c r="F105" s="3" t="n">
        <v>500</v>
      </c>
      <c r="G105" s="3" t="n">
        <v>40</v>
      </c>
      <c r="H105" s="8" t="n">
        <f aca="false">(E105/1000)*(F105/1000)*(G105/1000)*7850</f>
        <v>285.74</v>
      </c>
      <c r="I105" s="3" t="n">
        <v>2</v>
      </c>
      <c r="J105" s="9" t="n">
        <f aca="false">H105*I105</f>
        <v>571.48</v>
      </c>
      <c r="K105" s="3"/>
    </row>
    <row r="106" customFormat="false" ht="19.5" hidden="false" customHeight="false" outlineLevel="0" collapsed="false">
      <c r="A106" s="3" t="s">
        <v>232</v>
      </c>
      <c r="B106" s="3" t="s">
        <v>219</v>
      </c>
      <c r="C106" s="3" t="s">
        <v>222</v>
      </c>
      <c r="D106" s="3" t="s">
        <v>8</v>
      </c>
      <c r="E106" s="3" t="n">
        <v>1820</v>
      </c>
      <c r="F106" s="3" t="n">
        <v>500</v>
      </c>
      <c r="G106" s="3" t="n">
        <v>40</v>
      </c>
      <c r="H106" s="8" t="n">
        <f aca="false">(E106/1000)*(F106/1000)*(G106/1000)*7850</f>
        <v>285.74</v>
      </c>
      <c r="I106" s="3" t="n">
        <v>2</v>
      </c>
      <c r="J106" s="9" t="n">
        <f aca="false">H106*I106</f>
        <v>571.48</v>
      </c>
      <c r="K106" s="3"/>
    </row>
    <row r="107" customFormat="false" ht="19.5" hidden="false" customHeight="false" outlineLevel="0" collapsed="false">
      <c r="A107" s="3" t="s">
        <v>232</v>
      </c>
      <c r="B107" s="3" t="s">
        <v>219</v>
      </c>
      <c r="C107" s="3" t="s">
        <v>223</v>
      </c>
      <c r="D107" s="3" t="s">
        <v>8</v>
      </c>
      <c r="E107" s="3" t="n">
        <v>1820</v>
      </c>
      <c r="F107" s="3" t="n">
        <v>600</v>
      </c>
      <c r="G107" s="3" t="n">
        <v>40</v>
      </c>
      <c r="H107" s="8" t="n">
        <f aca="false">(E107/1000)*(F107/1000)*(G107/1000)*7850</f>
        <v>342.888</v>
      </c>
      <c r="I107" s="3" t="n">
        <v>2</v>
      </c>
      <c r="J107" s="9" t="n">
        <f aca="false">H107*I107</f>
        <v>685.776</v>
      </c>
      <c r="K107" s="3"/>
    </row>
    <row r="108" customFormat="false" ht="19.5" hidden="false" customHeight="false" outlineLevel="0" collapsed="false">
      <c r="A108" s="3" t="s">
        <v>232</v>
      </c>
      <c r="B108" s="3" t="s">
        <v>219</v>
      </c>
      <c r="C108" s="3" t="s">
        <v>224</v>
      </c>
      <c r="D108" s="3" t="s">
        <v>8</v>
      </c>
      <c r="E108" s="3" t="n">
        <v>1720</v>
      </c>
      <c r="F108" s="3" t="n">
        <v>1100</v>
      </c>
      <c r="G108" s="3" t="n">
        <v>44</v>
      </c>
      <c r="H108" s="8" t="n">
        <f aca="false">(E108/1000)*(F108/1000)*(G108/1000)*7850</f>
        <v>653.4968</v>
      </c>
      <c r="I108" s="3" t="n">
        <v>1</v>
      </c>
      <c r="J108" s="9" t="n">
        <f aca="false">H108*I108</f>
        <v>653.4968</v>
      </c>
      <c r="K108" s="3"/>
    </row>
    <row r="109" customFormat="false" ht="19.5" hidden="false" customHeight="false" outlineLevel="0" collapsed="false">
      <c r="A109" s="3" t="s">
        <v>232</v>
      </c>
      <c r="B109" s="3" t="s">
        <v>219</v>
      </c>
      <c r="C109" s="3" t="s">
        <v>225</v>
      </c>
      <c r="D109" s="3" t="s">
        <v>8</v>
      </c>
      <c r="E109" s="3" t="n">
        <v>1720</v>
      </c>
      <c r="F109" s="3" t="n">
        <v>400</v>
      </c>
      <c r="G109" s="3" t="n">
        <v>44</v>
      </c>
      <c r="H109" s="8" t="n">
        <f aca="false">(E109/1000)*(F109/1000)*(G109/1000)*7850</f>
        <v>237.6352</v>
      </c>
      <c r="I109" s="3" t="n">
        <v>2</v>
      </c>
      <c r="J109" s="9" t="n">
        <f aca="false">H109*I109</f>
        <v>475.2704</v>
      </c>
      <c r="K109" s="3"/>
    </row>
    <row r="110" customFormat="false" ht="19.5" hidden="false" customHeight="false" outlineLevel="0" collapsed="false">
      <c r="A110" s="3" t="s">
        <v>232</v>
      </c>
      <c r="B110" s="3" t="s">
        <v>219</v>
      </c>
      <c r="C110" s="3" t="s">
        <v>226</v>
      </c>
      <c r="D110" s="3" t="s">
        <v>8</v>
      </c>
      <c r="E110" s="3" t="n">
        <v>1320</v>
      </c>
      <c r="F110" s="3" t="n">
        <v>240</v>
      </c>
      <c r="G110" s="3" t="n">
        <v>24</v>
      </c>
      <c r="H110" s="8" t="n">
        <f aca="false">(E110/1000)*(F110/1000)*(G110/1000)*7850</f>
        <v>59.68512</v>
      </c>
      <c r="I110" s="3" t="n">
        <v>10</v>
      </c>
      <c r="J110" s="9" t="n">
        <f aca="false">H110*I110</f>
        <v>596.8512</v>
      </c>
      <c r="K110" s="3"/>
    </row>
    <row r="111" customFormat="false" ht="19.5" hidden="false" customHeight="false" outlineLevel="0" collapsed="false">
      <c r="A111" s="3" t="s">
        <v>233</v>
      </c>
      <c r="B111" s="3" t="s">
        <v>203</v>
      </c>
      <c r="C111" s="3" t="s">
        <v>204</v>
      </c>
      <c r="D111" s="3" t="s">
        <v>8</v>
      </c>
      <c r="E111" s="3" t="n">
        <v>1700</v>
      </c>
      <c r="F111" s="3" t="n">
        <v>1220</v>
      </c>
      <c r="G111" s="3" t="n">
        <v>28</v>
      </c>
      <c r="H111" s="8" t="n">
        <f aca="false">(E111/1000)*(F111/1000)*(G111/1000)*7850</f>
        <v>455.8652</v>
      </c>
      <c r="I111" s="3" t="n">
        <v>2</v>
      </c>
      <c r="J111" s="9" t="n">
        <f aca="false">H111*I111</f>
        <v>911.7304</v>
      </c>
      <c r="K111" s="3"/>
    </row>
    <row r="112" customFormat="false" ht="19.5" hidden="false" customHeight="false" outlineLevel="0" collapsed="false">
      <c r="A112" s="3" t="s">
        <v>233</v>
      </c>
      <c r="B112" s="3" t="s">
        <v>203</v>
      </c>
      <c r="C112" s="3" t="s">
        <v>205</v>
      </c>
      <c r="D112" s="3" t="s">
        <v>8</v>
      </c>
      <c r="E112" s="3" t="n">
        <v>1220</v>
      </c>
      <c r="F112" s="3" t="n">
        <v>800</v>
      </c>
      <c r="G112" s="3" t="n">
        <v>28</v>
      </c>
      <c r="H112" s="8" t="n">
        <f aca="false">(E112/1000)*(F112/1000)*(G112/1000)*7850</f>
        <v>214.5248</v>
      </c>
      <c r="I112" s="3" t="n">
        <v>4</v>
      </c>
      <c r="J112" s="9" t="n">
        <f aca="false">H112*I112</f>
        <v>858.0992</v>
      </c>
      <c r="K112" s="3"/>
    </row>
    <row r="113" customFormat="false" ht="19.5" hidden="false" customHeight="false" outlineLevel="0" collapsed="false">
      <c r="A113" s="3" t="s">
        <v>233</v>
      </c>
      <c r="B113" s="3" t="s">
        <v>203</v>
      </c>
      <c r="C113" s="3" t="s">
        <v>206</v>
      </c>
      <c r="D113" s="3" t="s">
        <v>8</v>
      </c>
      <c r="E113" s="3" t="n">
        <v>1520</v>
      </c>
      <c r="F113" s="3" t="n">
        <v>1100</v>
      </c>
      <c r="G113" s="3" t="n">
        <v>36</v>
      </c>
      <c r="H113" s="8" t="n">
        <f aca="false">(E113/1000)*(F113/1000)*(G113/1000)*7850</f>
        <v>472.5072</v>
      </c>
      <c r="I113" s="3" t="n">
        <v>1</v>
      </c>
      <c r="J113" s="9" t="n">
        <f aca="false">H113*I113</f>
        <v>472.5072</v>
      </c>
      <c r="K113" s="3"/>
    </row>
    <row r="114" customFormat="false" ht="19.5" hidden="false" customHeight="false" outlineLevel="0" collapsed="false">
      <c r="A114" s="3" t="s">
        <v>233</v>
      </c>
      <c r="B114" s="3" t="s">
        <v>203</v>
      </c>
      <c r="C114" s="3" t="s">
        <v>207</v>
      </c>
      <c r="D114" s="3" t="s">
        <v>8</v>
      </c>
      <c r="E114" s="3" t="n">
        <v>1520</v>
      </c>
      <c r="F114" s="3" t="n">
        <v>400</v>
      </c>
      <c r="G114" s="3" t="n">
        <v>36</v>
      </c>
      <c r="H114" s="8" t="n">
        <f aca="false">(E114/1000)*(F114/1000)*(G114/1000)*7850</f>
        <v>171.8208</v>
      </c>
      <c r="I114" s="3" t="n">
        <v>2</v>
      </c>
      <c r="J114" s="9" t="n">
        <f aca="false">H114*I114</f>
        <v>343.6416</v>
      </c>
      <c r="K114" s="3"/>
    </row>
    <row r="115" customFormat="false" ht="19.5" hidden="false" customHeight="false" outlineLevel="0" collapsed="false">
      <c r="A115" s="3" t="s">
        <v>233</v>
      </c>
      <c r="B115" s="3" t="s">
        <v>203</v>
      </c>
      <c r="C115" s="3" t="s">
        <v>208</v>
      </c>
      <c r="D115" s="3" t="s">
        <v>8</v>
      </c>
      <c r="E115" s="3" t="n">
        <v>1320</v>
      </c>
      <c r="F115" s="3" t="n">
        <v>240</v>
      </c>
      <c r="G115" s="3" t="n">
        <v>24</v>
      </c>
      <c r="H115" s="8" t="n">
        <f aca="false">(E115/1000)*(F115/1000)*(G115/1000)*7850</f>
        <v>59.68512</v>
      </c>
      <c r="I115" s="3" t="n">
        <v>6</v>
      </c>
      <c r="J115" s="9" t="n">
        <f aca="false">H115*I115</f>
        <v>358.11072</v>
      </c>
      <c r="K115" s="3"/>
    </row>
    <row r="116" customFormat="false" ht="19.5" hidden="false" customHeight="false" outlineLevel="0" collapsed="false">
      <c r="A116" s="3" t="s">
        <v>233</v>
      </c>
      <c r="B116" s="3" t="s">
        <v>203</v>
      </c>
      <c r="C116" s="3" t="s">
        <v>209</v>
      </c>
      <c r="D116" s="3" t="s">
        <v>8</v>
      </c>
      <c r="E116" s="3" t="n">
        <v>1100</v>
      </c>
      <c r="F116" s="3" t="n">
        <v>650</v>
      </c>
      <c r="G116" s="3" t="n">
        <v>4</v>
      </c>
      <c r="H116" s="8" t="n">
        <f aca="false">(E116/1000)*(F116/1000)*(G116/1000)*7850</f>
        <v>22.451</v>
      </c>
      <c r="I116" s="3" t="n">
        <v>1</v>
      </c>
      <c r="J116" s="9" t="n">
        <f aca="false">H116*I116</f>
        <v>22.451</v>
      </c>
      <c r="K116" s="3"/>
    </row>
    <row r="117" customFormat="false" ht="15" hidden="false" customHeight="false" outlineLevel="0" collapsed="false">
      <c r="A117" s="3" t="s">
        <v>233</v>
      </c>
      <c r="B117" s="3" t="s">
        <v>210</v>
      </c>
      <c r="C117" s="3" t="s">
        <v>211</v>
      </c>
      <c r="D117" s="3" t="s">
        <v>8</v>
      </c>
      <c r="E117" s="3" t="n">
        <v>1720</v>
      </c>
      <c r="F117" s="3" t="n">
        <v>1500</v>
      </c>
      <c r="G117" s="3" t="n">
        <v>36</v>
      </c>
      <c r="H117" s="8" t="n">
        <f aca="false">(E117/1000)*(F117/1000)*(G117/1000)*7850</f>
        <v>729.108</v>
      </c>
      <c r="I117" s="3" t="n">
        <v>2</v>
      </c>
      <c r="J117" s="9" t="n">
        <f aca="false">H117*I117</f>
        <v>1458.216</v>
      </c>
      <c r="K117" s="3"/>
    </row>
    <row r="118" customFormat="false" ht="15" hidden="false" customHeight="false" outlineLevel="0" collapsed="false">
      <c r="A118" s="3" t="s">
        <v>233</v>
      </c>
      <c r="B118" s="3" t="s">
        <v>210</v>
      </c>
      <c r="C118" s="3" t="s">
        <v>212</v>
      </c>
      <c r="D118" s="3" t="s">
        <v>8</v>
      </c>
      <c r="E118" s="3" t="n">
        <v>1720</v>
      </c>
      <c r="F118" s="3" t="n">
        <v>400</v>
      </c>
      <c r="G118" s="3" t="n">
        <v>36</v>
      </c>
      <c r="H118" s="8" t="n">
        <f aca="false">(E118/1000)*(F118/1000)*(G118/1000)*7850</f>
        <v>194.4288</v>
      </c>
      <c r="I118" s="3" t="n">
        <v>4</v>
      </c>
      <c r="J118" s="9" t="n">
        <f aca="false">H118*I118</f>
        <v>777.7152</v>
      </c>
      <c r="K118" s="3"/>
    </row>
    <row r="119" customFormat="false" ht="15" hidden="false" customHeight="false" outlineLevel="0" collapsed="false">
      <c r="A119" s="3" t="s">
        <v>233</v>
      </c>
      <c r="B119" s="3" t="s">
        <v>210</v>
      </c>
      <c r="C119" s="3" t="s">
        <v>213</v>
      </c>
      <c r="D119" s="3" t="s">
        <v>8</v>
      </c>
      <c r="E119" s="3" t="n">
        <v>1720</v>
      </c>
      <c r="F119" s="3" t="n">
        <v>500</v>
      </c>
      <c r="G119" s="3" t="n">
        <v>36</v>
      </c>
      <c r="H119" s="8" t="n">
        <f aca="false">(E119/1000)*(F119/1000)*(G119/1000)*7850</f>
        <v>243.036</v>
      </c>
      <c r="I119" s="3" t="n">
        <v>2</v>
      </c>
      <c r="J119" s="9" t="n">
        <f aca="false">H119*I119</f>
        <v>486.072</v>
      </c>
      <c r="K119" s="3"/>
    </row>
    <row r="120" customFormat="false" ht="15" hidden="false" customHeight="false" outlineLevel="0" collapsed="false">
      <c r="A120" s="3" t="s">
        <v>233</v>
      </c>
      <c r="B120" s="3" t="s">
        <v>210</v>
      </c>
      <c r="C120" s="3" t="s">
        <v>214</v>
      </c>
      <c r="D120" s="3" t="s">
        <v>8</v>
      </c>
      <c r="E120" s="3" t="n">
        <v>1720</v>
      </c>
      <c r="F120" s="3" t="n">
        <v>1100</v>
      </c>
      <c r="G120" s="3" t="n">
        <v>32</v>
      </c>
      <c r="H120" s="8" t="n">
        <f aca="false">(E120/1000)*(F120/1000)*(G120/1000)*7850</f>
        <v>475.2704</v>
      </c>
      <c r="I120" s="3" t="n">
        <v>1</v>
      </c>
      <c r="J120" s="9" t="n">
        <f aca="false">H120*I120</f>
        <v>475.2704</v>
      </c>
      <c r="K120" s="3"/>
    </row>
    <row r="121" customFormat="false" ht="15" hidden="false" customHeight="false" outlineLevel="0" collapsed="false">
      <c r="A121" s="3" t="s">
        <v>233</v>
      </c>
      <c r="B121" s="3" t="s">
        <v>210</v>
      </c>
      <c r="C121" s="3" t="s">
        <v>215</v>
      </c>
      <c r="D121" s="3" t="s">
        <v>8</v>
      </c>
      <c r="E121" s="3" t="n">
        <v>1720</v>
      </c>
      <c r="F121" s="3" t="n">
        <v>500</v>
      </c>
      <c r="G121" s="3" t="n">
        <v>32</v>
      </c>
      <c r="H121" s="8" t="n">
        <f aca="false">(E121/1000)*(F121/1000)*(G121/1000)*7850</f>
        <v>216.032</v>
      </c>
      <c r="I121" s="3" t="n">
        <v>2</v>
      </c>
      <c r="J121" s="9" t="n">
        <f aca="false">H121*I121</f>
        <v>432.064</v>
      </c>
      <c r="K121" s="3"/>
    </row>
    <row r="122" customFormat="false" ht="15" hidden="false" customHeight="false" outlineLevel="0" collapsed="false">
      <c r="A122" s="3" t="s">
        <v>233</v>
      </c>
      <c r="B122" s="3" t="s">
        <v>210</v>
      </c>
      <c r="C122" s="3" t="s">
        <v>216</v>
      </c>
      <c r="D122" s="3" t="s">
        <v>8</v>
      </c>
      <c r="E122" s="3" t="n">
        <v>1520</v>
      </c>
      <c r="F122" s="3" t="n">
        <v>1100</v>
      </c>
      <c r="G122" s="3" t="n">
        <v>48</v>
      </c>
      <c r="H122" s="8" t="n">
        <f aca="false">(E122/1000)*(F122/1000)*(G122/1000)*7850</f>
        <v>630.0096</v>
      </c>
      <c r="I122" s="3" t="n">
        <v>1</v>
      </c>
      <c r="J122" s="9" t="n">
        <f aca="false">H122*I122</f>
        <v>630.0096</v>
      </c>
      <c r="K122" s="3"/>
    </row>
    <row r="123" customFormat="false" ht="15" hidden="false" customHeight="false" outlineLevel="0" collapsed="false">
      <c r="A123" s="3" t="s">
        <v>233</v>
      </c>
      <c r="B123" s="3" t="s">
        <v>210</v>
      </c>
      <c r="C123" s="3" t="s">
        <v>217</v>
      </c>
      <c r="D123" s="3" t="s">
        <v>8</v>
      </c>
      <c r="E123" s="3" t="n">
        <v>1520</v>
      </c>
      <c r="F123" s="3" t="n">
        <v>400</v>
      </c>
      <c r="G123" s="3" t="n">
        <v>48</v>
      </c>
      <c r="H123" s="8" t="n">
        <f aca="false">(E123/1000)*(F123/1000)*(G123/1000)*7850</f>
        <v>229.0944</v>
      </c>
      <c r="I123" s="3" t="n">
        <v>2</v>
      </c>
      <c r="J123" s="9" t="n">
        <f aca="false">H123*I123</f>
        <v>458.1888</v>
      </c>
      <c r="K123" s="3"/>
    </row>
    <row r="124" customFormat="false" ht="15" hidden="false" customHeight="false" outlineLevel="0" collapsed="false">
      <c r="A124" s="3" t="s">
        <v>233</v>
      </c>
      <c r="B124" s="3" t="s">
        <v>210</v>
      </c>
      <c r="C124" s="3" t="s">
        <v>218</v>
      </c>
      <c r="D124" s="3" t="s">
        <v>8</v>
      </c>
      <c r="E124" s="3" t="n">
        <v>1320</v>
      </c>
      <c r="F124" s="3" t="n">
        <v>240</v>
      </c>
      <c r="G124" s="3" t="n">
        <v>24</v>
      </c>
      <c r="H124" s="8" t="n">
        <f aca="false">(E124/1000)*(F124/1000)*(G124/1000)*7850</f>
        <v>59.68512</v>
      </c>
      <c r="I124" s="3" t="n">
        <v>8</v>
      </c>
      <c r="J124" s="9" t="n">
        <f aca="false">H124*I124</f>
        <v>477.48096</v>
      </c>
      <c r="K124" s="3"/>
    </row>
    <row r="125" customFormat="false" ht="15" hidden="false" customHeight="false" outlineLevel="0" collapsed="false">
      <c r="A125" s="3" t="s">
        <v>233</v>
      </c>
      <c r="B125" s="3" t="s">
        <v>210</v>
      </c>
      <c r="C125" s="3" t="s">
        <v>234</v>
      </c>
      <c r="D125" s="3" t="s">
        <v>8</v>
      </c>
      <c r="E125" s="3" t="n">
        <v>1220</v>
      </c>
      <c r="F125" s="3" t="n">
        <v>240</v>
      </c>
      <c r="G125" s="3" t="n">
        <v>24</v>
      </c>
      <c r="H125" s="8" t="n">
        <f aca="false">(E125/1000)*(F125/1000)*(G125/1000)*7850</f>
        <v>55.16352</v>
      </c>
      <c r="I125" s="3" t="n">
        <v>2</v>
      </c>
      <c r="J125" s="9" t="n">
        <f aca="false">H125*I125</f>
        <v>110.32704</v>
      </c>
      <c r="K125" s="3"/>
    </row>
    <row r="126" customFormat="false" ht="19.5" hidden="false" customHeight="false" outlineLevel="0" collapsed="false">
      <c r="A126" s="3" t="s">
        <v>233</v>
      </c>
      <c r="B126" s="3" t="s">
        <v>219</v>
      </c>
      <c r="C126" s="3" t="s">
        <v>220</v>
      </c>
      <c r="D126" s="3" t="s">
        <v>8</v>
      </c>
      <c r="E126" s="3" t="n">
        <v>1820</v>
      </c>
      <c r="F126" s="3" t="n">
        <v>1800</v>
      </c>
      <c r="G126" s="3" t="n">
        <v>40</v>
      </c>
      <c r="H126" s="8" t="n">
        <f aca="false">(E126/1000)*(F126/1000)*(G126/1000)*7850</f>
        <v>1028.664</v>
      </c>
      <c r="I126" s="3" t="n">
        <v>2</v>
      </c>
      <c r="J126" s="9" t="n">
        <f aca="false">H126*I126</f>
        <v>2057.328</v>
      </c>
      <c r="K126" s="3"/>
    </row>
    <row r="127" customFormat="false" ht="19.5" hidden="false" customHeight="false" outlineLevel="0" collapsed="false">
      <c r="A127" s="3" t="s">
        <v>233</v>
      </c>
      <c r="B127" s="3" t="s">
        <v>219</v>
      </c>
      <c r="C127" s="3" t="s">
        <v>221</v>
      </c>
      <c r="D127" s="3" t="s">
        <v>8</v>
      </c>
      <c r="E127" s="3" t="n">
        <v>1820</v>
      </c>
      <c r="F127" s="3" t="n">
        <v>500</v>
      </c>
      <c r="G127" s="3" t="n">
        <v>40</v>
      </c>
      <c r="H127" s="8" t="n">
        <f aca="false">(E127/1000)*(F127/1000)*(G127/1000)*7850</f>
        <v>285.74</v>
      </c>
      <c r="I127" s="3" t="n">
        <v>2</v>
      </c>
      <c r="J127" s="9" t="n">
        <f aca="false">H127*I127</f>
        <v>571.48</v>
      </c>
      <c r="K127" s="3"/>
    </row>
    <row r="128" customFormat="false" ht="19.5" hidden="false" customHeight="false" outlineLevel="0" collapsed="false">
      <c r="A128" s="3" t="s">
        <v>233</v>
      </c>
      <c r="B128" s="3" t="s">
        <v>219</v>
      </c>
      <c r="C128" s="3" t="s">
        <v>222</v>
      </c>
      <c r="D128" s="3" t="s">
        <v>8</v>
      </c>
      <c r="E128" s="3" t="n">
        <v>1820</v>
      </c>
      <c r="F128" s="3" t="n">
        <v>500</v>
      </c>
      <c r="G128" s="3" t="n">
        <v>40</v>
      </c>
      <c r="H128" s="8" t="n">
        <f aca="false">(E128/1000)*(F128/1000)*(G128/1000)*7850</f>
        <v>285.74</v>
      </c>
      <c r="I128" s="3" t="n">
        <v>2</v>
      </c>
      <c r="J128" s="9" t="n">
        <f aca="false">H128*I128</f>
        <v>571.48</v>
      </c>
      <c r="K128" s="3"/>
    </row>
    <row r="129" customFormat="false" ht="19.5" hidden="false" customHeight="false" outlineLevel="0" collapsed="false">
      <c r="A129" s="3" t="s">
        <v>233</v>
      </c>
      <c r="B129" s="3" t="s">
        <v>219</v>
      </c>
      <c r="C129" s="3" t="s">
        <v>223</v>
      </c>
      <c r="D129" s="3" t="s">
        <v>8</v>
      </c>
      <c r="E129" s="3" t="n">
        <v>1820</v>
      </c>
      <c r="F129" s="3" t="n">
        <v>600</v>
      </c>
      <c r="G129" s="3" t="n">
        <v>40</v>
      </c>
      <c r="H129" s="8" t="n">
        <f aca="false">(E129/1000)*(F129/1000)*(G129/1000)*7850</f>
        <v>342.888</v>
      </c>
      <c r="I129" s="3" t="n">
        <v>2</v>
      </c>
      <c r="J129" s="9" t="n">
        <f aca="false">H129*I129</f>
        <v>685.776</v>
      </c>
      <c r="K129" s="3"/>
    </row>
    <row r="130" customFormat="false" ht="19.5" hidden="false" customHeight="false" outlineLevel="0" collapsed="false">
      <c r="A130" s="3" t="s">
        <v>233</v>
      </c>
      <c r="B130" s="3" t="s">
        <v>219</v>
      </c>
      <c r="C130" s="3" t="s">
        <v>224</v>
      </c>
      <c r="D130" s="3" t="s">
        <v>8</v>
      </c>
      <c r="E130" s="3" t="n">
        <v>1720</v>
      </c>
      <c r="F130" s="3" t="n">
        <v>1100</v>
      </c>
      <c r="G130" s="3" t="n">
        <v>44</v>
      </c>
      <c r="H130" s="8" t="n">
        <f aca="false">(E130/1000)*(F130/1000)*(G130/1000)*7850</f>
        <v>653.4968</v>
      </c>
      <c r="I130" s="3" t="n">
        <v>1</v>
      </c>
      <c r="J130" s="9" t="n">
        <f aca="false">H130*I130</f>
        <v>653.4968</v>
      </c>
      <c r="K130" s="3"/>
    </row>
    <row r="131" customFormat="false" ht="19.5" hidden="false" customHeight="false" outlineLevel="0" collapsed="false">
      <c r="A131" s="3" t="s">
        <v>233</v>
      </c>
      <c r="B131" s="3" t="s">
        <v>219</v>
      </c>
      <c r="C131" s="3" t="s">
        <v>225</v>
      </c>
      <c r="D131" s="3" t="s">
        <v>8</v>
      </c>
      <c r="E131" s="3" t="n">
        <v>1720</v>
      </c>
      <c r="F131" s="3" t="n">
        <v>400</v>
      </c>
      <c r="G131" s="3" t="n">
        <v>44</v>
      </c>
      <c r="H131" s="8" t="n">
        <f aca="false">(E131/1000)*(F131/1000)*(G131/1000)*7850</f>
        <v>237.6352</v>
      </c>
      <c r="I131" s="3" t="n">
        <v>2</v>
      </c>
      <c r="J131" s="9" t="n">
        <f aca="false">H131*I131</f>
        <v>475.2704</v>
      </c>
      <c r="K131" s="3"/>
    </row>
    <row r="132" customFormat="false" ht="19.5" hidden="false" customHeight="false" outlineLevel="0" collapsed="false">
      <c r="A132" s="3" t="s">
        <v>233</v>
      </c>
      <c r="B132" s="3" t="s">
        <v>219</v>
      </c>
      <c r="C132" s="3" t="s">
        <v>226</v>
      </c>
      <c r="D132" s="3" t="s">
        <v>8</v>
      </c>
      <c r="E132" s="3" t="n">
        <v>1320</v>
      </c>
      <c r="F132" s="3" t="n">
        <v>240</v>
      </c>
      <c r="G132" s="3" t="n">
        <v>24</v>
      </c>
      <c r="H132" s="8" t="n">
        <f aca="false">(E132/1000)*(F132/1000)*(G132/1000)*7850</f>
        <v>59.68512</v>
      </c>
      <c r="I132" s="3" t="n">
        <v>10</v>
      </c>
      <c r="J132" s="9" t="n">
        <f aca="false">H132*I132</f>
        <v>596.8512</v>
      </c>
      <c r="K132" s="3"/>
    </row>
    <row r="133" customFormat="false" ht="19.5" hidden="false" customHeight="false" outlineLevel="0" collapsed="false">
      <c r="A133" s="3" t="s">
        <v>235</v>
      </c>
      <c r="B133" s="3" t="s">
        <v>203</v>
      </c>
      <c r="C133" s="3" t="s">
        <v>204</v>
      </c>
      <c r="D133" s="3" t="s">
        <v>8</v>
      </c>
      <c r="E133" s="3" t="n">
        <v>1700</v>
      </c>
      <c r="F133" s="3" t="n">
        <v>1020</v>
      </c>
      <c r="G133" s="3" t="n">
        <v>24</v>
      </c>
      <c r="H133" s="8" t="n">
        <f aca="false">(E133/1000)*(F133/1000)*(G133/1000)*7850</f>
        <v>326.6856</v>
      </c>
      <c r="I133" s="3" t="n">
        <v>2</v>
      </c>
      <c r="J133" s="9" t="n">
        <f aca="false">H133*I133</f>
        <v>653.3712</v>
      </c>
      <c r="K133" s="3"/>
    </row>
    <row r="134" customFormat="false" ht="19.5" hidden="false" customHeight="false" outlineLevel="0" collapsed="false">
      <c r="A134" s="3" t="s">
        <v>235</v>
      </c>
      <c r="B134" s="3" t="s">
        <v>203</v>
      </c>
      <c r="C134" s="3" t="s">
        <v>205</v>
      </c>
      <c r="D134" s="3" t="s">
        <v>8</v>
      </c>
      <c r="E134" s="3" t="n">
        <v>1020</v>
      </c>
      <c r="F134" s="3" t="n">
        <v>800</v>
      </c>
      <c r="G134" s="3" t="n">
        <v>24</v>
      </c>
      <c r="H134" s="8" t="n">
        <f aca="false">(E134/1000)*(F134/1000)*(G134/1000)*7850</f>
        <v>153.7344</v>
      </c>
      <c r="I134" s="3" t="n">
        <v>4</v>
      </c>
      <c r="J134" s="9" t="n">
        <f aca="false">H134*I134</f>
        <v>614.9376</v>
      </c>
      <c r="K134" s="3"/>
    </row>
    <row r="135" customFormat="false" ht="19.5" hidden="false" customHeight="false" outlineLevel="0" collapsed="false">
      <c r="A135" s="3" t="s">
        <v>235</v>
      </c>
      <c r="B135" s="3" t="s">
        <v>203</v>
      </c>
      <c r="C135" s="3" t="s">
        <v>206</v>
      </c>
      <c r="D135" s="3" t="s">
        <v>8</v>
      </c>
      <c r="E135" s="3" t="n">
        <v>1320</v>
      </c>
      <c r="F135" s="3" t="n">
        <v>1100</v>
      </c>
      <c r="G135" s="3" t="n">
        <v>36</v>
      </c>
      <c r="H135" s="8" t="n">
        <f aca="false">(E135/1000)*(F135/1000)*(G135/1000)*7850</f>
        <v>410.3352</v>
      </c>
      <c r="I135" s="3" t="n">
        <v>1</v>
      </c>
      <c r="J135" s="9" t="n">
        <f aca="false">H135*I135</f>
        <v>410.3352</v>
      </c>
      <c r="K135" s="3"/>
    </row>
    <row r="136" customFormat="false" ht="19.5" hidden="false" customHeight="false" outlineLevel="0" collapsed="false">
      <c r="A136" s="3" t="s">
        <v>235</v>
      </c>
      <c r="B136" s="3" t="s">
        <v>203</v>
      </c>
      <c r="C136" s="3" t="s">
        <v>207</v>
      </c>
      <c r="D136" s="3" t="s">
        <v>8</v>
      </c>
      <c r="E136" s="3" t="n">
        <v>1320</v>
      </c>
      <c r="F136" s="3" t="n">
        <v>400</v>
      </c>
      <c r="G136" s="3" t="n">
        <v>36</v>
      </c>
      <c r="H136" s="8" t="n">
        <f aca="false">(E136/1000)*(F136/1000)*(G136/1000)*7850</f>
        <v>149.2128</v>
      </c>
      <c r="I136" s="3" t="n">
        <v>2</v>
      </c>
      <c r="J136" s="9" t="n">
        <f aca="false">H136*I136</f>
        <v>298.4256</v>
      </c>
      <c r="K136" s="3"/>
    </row>
    <row r="137" customFormat="false" ht="19.5" hidden="false" customHeight="false" outlineLevel="0" collapsed="false">
      <c r="A137" s="3" t="s">
        <v>235</v>
      </c>
      <c r="B137" s="3" t="s">
        <v>203</v>
      </c>
      <c r="C137" s="3" t="s">
        <v>208</v>
      </c>
      <c r="D137" s="3" t="s">
        <v>8</v>
      </c>
      <c r="E137" s="3" t="n">
        <v>920</v>
      </c>
      <c r="F137" s="3" t="n">
        <v>200</v>
      </c>
      <c r="G137" s="3" t="n">
        <v>20</v>
      </c>
      <c r="H137" s="8" t="n">
        <f aca="false">(E137/1000)*(F137/1000)*(G137/1000)*7850</f>
        <v>28.888</v>
      </c>
      <c r="I137" s="3" t="n">
        <v>6</v>
      </c>
      <c r="J137" s="9" t="n">
        <f aca="false">H137*I137</f>
        <v>173.328</v>
      </c>
      <c r="K137" s="3"/>
    </row>
    <row r="138" customFormat="false" ht="19.5" hidden="false" customHeight="false" outlineLevel="0" collapsed="false">
      <c r="A138" s="3" t="s">
        <v>235</v>
      </c>
      <c r="B138" s="3" t="s">
        <v>203</v>
      </c>
      <c r="C138" s="3" t="s">
        <v>209</v>
      </c>
      <c r="D138" s="3" t="s">
        <v>8</v>
      </c>
      <c r="E138" s="3" t="n">
        <v>1700</v>
      </c>
      <c r="F138" s="3" t="n">
        <v>500</v>
      </c>
      <c r="G138" s="3" t="n">
        <v>8</v>
      </c>
      <c r="H138" s="8" t="n">
        <f aca="false">(E138/1000)*(F138/1000)*(G138/1000)*7850</f>
        <v>53.38</v>
      </c>
      <c r="I138" s="3" t="n">
        <v>2</v>
      </c>
      <c r="J138" s="9" t="n">
        <f aca="false">H138*I138</f>
        <v>106.76</v>
      </c>
      <c r="K138" s="3"/>
    </row>
    <row r="139" customFormat="false" ht="19.5" hidden="false" customHeight="false" outlineLevel="0" collapsed="false">
      <c r="A139" s="3" t="s">
        <v>235</v>
      </c>
      <c r="B139" s="3" t="s">
        <v>203</v>
      </c>
      <c r="C139" s="3" t="s">
        <v>236</v>
      </c>
      <c r="D139" s="3" t="s">
        <v>8</v>
      </c>
      <c r="E139" s="3" t="n">
        <v>1100</v>
      </c>
      <c r="F139" s="3" t="n">
        <v>650</v>
      </c>
      <c r="G139" s="3" t="n">
        <v>4</v>
      </c>
      <c r="H139" s="8" t="n">
        <f aca="false">(E139/1000)*(F139/1000)*(G139/1000)*7850</f>
        <v>22.451</v>
      </c>
      <c r="I139" s="3" t="n">
        <v>1</v>
      </c>
      <c r="J139" s="9" t="n">
        <f aca="false">H139*I139</f>
        <v>22.451</v>
      </c>
      <c r="K139" s="3"/>
    </row>
    <row r="140" customFormat="false" ht="15" hidden="false" customHeight="false" outlineLevel="0" collapsed="false">
      <c r="A140" s="3" t="s">
        <v>235</v>
      </c>
      <c r="B140" s="3" t="s">
        <v>210</v>
      </c>
      <c r="C140" s="3" t="s">
        <v>211</v>
      </c>
      <c r="D140" s="3" t="s">
        <v>8</v>
      </c>
      <c r="E140" s="3" t="n">
        <v>1520</v>
      </c>
      <c r="F140" s="3" t="n">
        <v>1100</v>
      </c>
      <c r="G140" s="3" t="n">
        <v>24</v>
      </c>
      <c r="H140" s="8" t="n">
        <f aca="false">(E140/1000)*(F140/1000)*(G140/1000)*7850</f>
        <v>315.0048</v>
      </c>
      <c r="I140" s="3" t="n">
        <v>2</v>
      </c>
      <c r="J140" s="9" t="n">
        <f aca="false">H140*I140</f>
        <v>630.0096</v>
      </c>
      <c r="K140" s="3"/>
    </row>
    <row r="141" customFormat="false" ht="15" hidden="false" customHeight="false" outlineLevel="0" collapsed="false">
      <c r="A141" s="3" t="s">
        <v>235</v>
      </c>
      <c r="B141" s="3" t="s">
        <v>210</v>
      </c>
      <c r="C141" s="3" t="s">
        <v>212</v>
      </c>
      <c r="D141" s="3" t="s">
        <v>8</v>
      </c>
      <c r="E141" s="3" t="n">
        <v>1520</v>
      </c>
      <c r="F141" s="3" t="n">
        <v>500</v>
      </c>
      <c r="G141" s="3" t="n">
        <v>24</v>
      </c>
      <c r="H141" s="8" t="n">
        <f aca="false">(E141/1000)*(F141/1000)*(G141/1000)*7850</f>
        <v>143.184</v>
      </c>
      <c r="I141" s="3" t="n">
        <v>4</v>
      </c>
      <c r="J141" s="9" t="n">
        <f aca="false">H141*I141</f>
        <v>572.736</v>
      </c>
      <c r="K141" s="3"/>
    </row>
    <row r="142" customFormat="false" ht="15" hidden="false" customHeight="false" outlineLevel="0" collapsed="false">
      <c r="A142" s="3" t="s">
        <v>235</v>
      </c>
      <c r="B142" s="3" t="s">
        <v>210</v>
      </c>
      <c r="C142" s="3" t="s">
        <v>213</v>
      </c>
      <c r="D142" s="3" t="s">
        <v>8</v>
      </c>
      <c r="E142" s="3" t="n">
        <v>1320</v>
      </c>
      <c r="F142" s="3" t="n">
        <v>1100</v>
      </c>
      <c r="G142" s="3" t="n">
        <v>28</v>
      </c>
      <c r="H142" s="8" t="n">
        <f aca="false">(E142/1000)*(F142/1000)*(G142/1000)*7850</f>
        <v>319.1496</v>
      </c>
      <c r="I142" s="3" t="n">
        <v>1</v>
      </c>
      <c r="J142" s="9" t="n">
        <f aca="false">H142*I142</f>
        <v>319.1496</v>
      </c>
      <c r="K142" s="3"/>
    </row>
    <row r="143" customFormat="false" ht="15" hidden="false" customHeight="false" outlineLevel="0" collapsed="false">
      <c r="A143" s="3" t="s">
        <v>235</v>
      </c>
      <c r="B143" s="3" t="s">
        <v>210</v>
      </c>
      <c r="C143" s="3" t="s">
        <v>214</v>
      </c>
      <c r="D143" s="3" t="s">
        <v>8</v>
      </c>
      <c r="E143" s="3" t="n">
        <v>1320</v>
      </c>
      <c r="F143" s="3" t="n">
        <v>500</v>
      </c>
      <c r="G143" s="3" t="n">
        <v>28</v>
      </c>
      <c r="H143" s="8" t="n">
        <f aca="false">(E143/1000)*(F143/1000)*(G143/1000)*7850</f>
        <v>145.068</v>
      </c>
      <c r="I143" s="3" t="n">
        <v>2</v>
      </c>
      <c r="J143" s="9" t="n">
        <f aca="false">H143*I143</f>
        <v>290.136</v>
      </c>
      <c r="K143" s="3"/>
    </row>
    <row r="144" customFormat="false" ht="15" hidden="false" customHeight="false" outlineLevel="0" collapsed="false">
      <c r="A144" s="3" t="s">
        <v>235</v>
      </c>
      <c r="B144" s="3" t="s">
        <v>210</v>
      </c>
      <c r="C144" s="3" t="s">
        <v>215</v>
      </c>
      <c r="D144" s="3" t="s">
        <v>8</v>
      </c>
      <c r="E144" s="3" t="n">
        <v>1520</v>
      </c>
      <c r="F144" s="3" t="n">
        <v>1100</v>
      </c>
      <c r="G144" s="3" t="n">
        <v>44</v>
      </c>
      <c r="H144" s="8" t="n">
        <f aca="false">(E144/1000)*(F144/1000)*(G144/1000)*7850</f>
        <v>577.5088</v>
      </c>
      <c r="I144" s="3" t="n">
        <v>1</v>
      </c>
      <c r="J144" s="9" t="n">
        <f aca="false">H144*I144</f>
        <v>577.5088</v>
      </c>
      <c r="K144" s="3"/>
    </row>
    <row r="145" customFormat="false" ht="15" hidden="false" customHeight="false" outlineLevel="0" collapsed="false">
      <c r="A145" s="3" t="s">
        <v>235</v>
      </c>
      <c r="B145" s="3" t="s">
        <v>210</v>
      </c>
      <c r="C145" s="3" t="s">
        <v>216</v>
      </c>
      <c r="D145" s="3" t="s">
        <v>8</v>
      </c>
      <c r="E145" s="3" t="n">
        <v>1520</v>
      </c>
      <c r="F145" s="3" t="n">
        <v>240</v>
      </c>
      <c r="G145" s="3" t="n">
        <v>44</v>
      </c>
      <c r="H145" s="8" t="n">
        <f aca="false">(E145/1000)*(F145/1000)*(G145/1000)*7850</f>
        <v>126.00192</v>
      </c>
      <c r="I145" s="3" t="n">
        <v>2</v>
      </c>
      <c r="J145" s="9" t="n">
        <f aca="false">H145*I145</f>
        <v>252.00384</v>
      </c>
      <c r="K145" s="3"/>
    </row>
    <row r="146" customFormat="false" ht="15" hidden="false" customHeight="false" outlineLevel="0" collapsed="false">
      <c r="A146" s="3" t="s">
        <v>235</v>
      </c>
      <c r="B146" s="3" t="s">
        <v>210</v>
      </c>
      <c r="C146" s="3" t="s">
        <v>217</v>
      </c>
      <c r="D146" s="3" t="s">
        <v>8</v>
      </c>
      <c r="E146" s="3" t="n">
        <v>1220</v>
      </c>
      <c r="F146" s="3" t="n">
        <v>240</v>
      </c>
      <c r="G146" s="3" t="n">
        <v>24</v>
      </c>
      <c r="H146" s="8" t="n">
        <f aca="false">(E146/1000)*(F146/1000)*(G146/1000)*7850</f>
        <v>55.16352</v>
      </c>
      <c r="I146" s="3" t="n">
        <v>4</v>
      </c>
      <c r="J146" s="9" t="n">
        <f aca="false">H146*I146</f>
        <v>220.65408</v>
      </c>
      <c r="K146" s="3"/>
    </row>
    <row r="147" customFormat="false" ht="15" hidden="false" customHeight="false" outlineLevel="0" collapsed="false">
      <c r="A147" s="3" t="s">
        <v>235</v>
      </c>
      <c r="B147" s="3" t="s">
        <v>210</v>
      </c>
      <c r="C147" s="3" t="s">
        <v>218</v>
      </c>
      <c r="D147" s="3" t="s">
        <v>8</v>
      </c>
      <c r="E147" s="3" t="n">
        <v>1320</v>
      </c>
      <c r="F147" s="3" t="n">
        <v>240</v>
      </c>
      <c r="G147" s="3" t="n">
        <v>24</v>
      </c>
      <c r="H147" s="8" t="n">
        <f aca="false">(E147/1000)*(F147/1000)*(G147/1000)*7850</f>
        <v>59.68512</v>
      </c>
      <c r="I147" s="3" t="n">
        <v>2</v>
      </c>
      <c r="J147" s="9" t="n">
        <f aca="false">H147*I147</f>
        <v>119.37024</v>
      </c>
      <c r="K147" s="3"/>
    </row>
    <row r="148" customFormat="false" ht="19.5" hidden="false" customHeight="false" outlineLevel="0" collapsed="false">
      <c r="A148" s="3" t="s">
        <v>235</v>
      </c>
      <c r="B148" s="3" t="s">
        <v>219</v>
      </c>
      <c r="C148" s="3" t="s">
        <v>220</v>
      </c>
      <c r="D148" s="3" t="s">
        <v>8</v>
      </c>
      <c r="E148" s="3" t="n">
        <v>1800</v>
      </c>
      <c r="F148" s="3" t="n">
        <v>1220</v>
      </c>
      <c r="G148" s="3" t="n">
        <v>28</v>
      </c>
      <c r="H148" s="8" t="n">
        <f aca="false">(E148/1000)*(F148/1000)*(G148/1000)*7850</f>
        <v>482.6808</v>
      </c>
      <c r="I148" s="3" t="n">
        <v>2</v>
      </c>
      <c r="J148" s="9" t="n">
        <f aca="false">H148*I148</f>
        <v>965.3616</v>
      </c>
      <c r="K148" s="3"/>
    </row>
    <row r="149" customFormat="false" ht="19.5" hidden="false" customHeight="false" outlineLevel="0" collapsed="false">
      <c r="A149" s="3" t="s">
        <v>235</v>
      </c>
      <c r="B149" s="3" t="s">
        <v>219</v>
      </c>
      <c r="C149" s="3" t="s">
        <v>221</v>
      </c>
      <c r="D149" s="3" t="s">
        <v>8</v>
      </c>
      <c r="E149" s="3" t="n">
        <v>1220</v>
      </c>
      <c r="F149" s="3" t="n">
        <v>500</v>
      </c>
      <c r="G149" s="3" t="n">
        <v>28</v>
      </c>
      <c r="H149" s="8" t="n">
        <f aca="false">(E149/1000)*(F149/1000)*(G149/1000)*7850</f>
        <v>134.078</v>
      </c>
      <c r="I149" s="3" t="n">
        <v>2</v>
      </c>
      <c r="J149" s="9" t="n">
        <f aca="false">H149*I149</f>
        <v>268.156</v>
      </c>
      <c r="K149" s="3"/>
    </row>
    <row r="150" customFormat="false" ht="19.5" hidden="false" customHeight="false" outlineLevel="0" collapsed="false">
      <c r="A150" s="3" t="s">
        <v>235</v>
      </c>
      <c r="B150" s="3" t="s">
        <v>219</v>
      </c>
      <c r="C150" s="3" t="s">
        <v>222</v>
      </c>
      <c r="D150" s="3" t="s">
        <v>8</v>
      </c>
      <c r="E150" s="3" t="n">
        <v>1220</v>
      </c>
      <c r="F150" s="3" t="n">
        <v>500</v>
      </c>
      <c r="G150" s="3" t="n">
        <v>28</v>
      </c>
      <c r="H150" s="8" t="n">
        <f aca="false">(E150/1000)*(F150/1000)*(G150/1000)*7850</f>
        <v>134.078</v>
      </c>
      <c r="I150" s="3" t="n">
        <v>2</v>
      </c>
      <c r="J150" s="9" t="n">
        <f aca="false">H150*I150</f>
        <v>268.156</v>
      </c>
      <c r="K150" s="3"/>
    </row>
    <row r="151" customFormat="false" ht="19.5" hidden="false" customHeight="false" outlineLevel="0" collapsed="false">
      <c r="A151" s="3" t="s">
        <v>235</v>
      </c>
      <c r="B151" s="3" t="s">
        <v>219</v>
      </c>
      <c r="C151" s="3" t="s">
        <v>223</v>
      </c>
      <c r="D151" s="3" t="s">
        <v>8</v>
      </c>
      <c r="E151" s="3" t="n">
        <v>1220</v>
      </c>
      <c r="F151" s="3" t="n">
        <v>600</v>
      </c>
      <c r="G151" s="3" t="n">
        <v>28</v>
      </c>
      <c r="H151" s="8" t="n">
        <f aca="false">(E151/1000)*(F151/1000)*(G151/1000)*7850</f>
        <v>160.8936</v>
      </c>
      <c r="I151" s="3" t="n">
        <v>2</v>
      </c>
      <c r="J151" s="9" t="n">
        <f aca="false">H151*I151</f>
        <v>321.7872</v>
      </c>
      <c r="K151" s="3"/>
    </row>
    <row r="152" customFormat="false" ht="19.5" hidden="false" customHeight="false" outlineLevel="0" collapsed="false">
      <c r="A152" s="3" t="s">
        <v>235</v>
      </c>
      <c r="B152" s="3" t="s">
        <v>219</v>
      </c>
      <c r="C152" s="3" t="s">
        <v>224</v>
      </c>
      <c r="D152" s="3" t="s">
        <v>8</v>
      </c>
      <c r="E152" s="3" t="n">
        <v>1420</v>
      </c>
      <c r="F152" s="3" t="n">
        <v>1100</v>
      </c>
      <c r="G152" s="3" t="n">
        <v>32</v>
      </c>
      <c r="H152" s="8" t="n">
        <f aca="false">(E152/1000)*(F152/1000)*(G152/1000)*7850</f>
        <v>392.3744</v>
      </c>
      <c r="I152" s="3" t="n">
        <v>1</v>
      </c>
      <c r="J152" s="9" t="n">
        <f aca="false">H152*I152</f>
        <v>392.3744</v>
      </c>
      <c r="K152" s="3"/>
    </row>
    <row r="153" customFormat="false" ht="19.5" hidden="false" customHeight="false" outlineLevel="0" collapsed="false">
      <c r="A153" s="3" t="s">
        <v>235</v>
      </c>
      <c r="B153" s="3" t="s">
        <v>219</v>
      </c>
      <c r="C153" s="3" t="s">
        <v>225</v>
      </c>
      <c r="D153" s="3" t="s">
        <v>8</v>
      </c>
      <c r="E153" s="3" t="n">
        <v>1420</v>
      </c>
      <c r="F153" s="3" t="n">
        <v>400</v>
      </c>
      <c r="G153" s="3" t="n">
        <v>32</v>
      </c>
      <c r="H153" s="8" t="n">
        <f aca="false">(E153/1000)*(F153/1000)*(G153/1000)*7850</f>
        <v>142.6816</v>
      </c>
      <c r="I153" s="3" t="n">
        <v>2</v>
      </c>
      <c r="J153" s="9" t="n">
        <f aca="false">H153*I153</f>
        <v>285.3632</v>
      </c>
      <c r="K153" s="3"/>
    </row>
    <row r="154" customFormat="false" ht="19.5" hidden="false" customHeight="false" outlineLevel="0" collapsed="false">
      <c r="A154" s="3" t="s">
        <v>235</v>
      </c>
      <c r="B154" s="3" t="s">
        <v>219</v>
      </c>
      <c r="C154" s="3" t="s">
        <v>226</v>
      </c>
      <c r="D154" s="3" t="s">
        <v>8</v>
      </c>
      <c r="E154" s="3" t="n">
        <v>920</v>
      </c>
      <c r="F154" s="3" t="n">
        <v>200</v>
      </c>
      <c r="G154" s="3" t="n">
        <v>20</v>
      </c>
      <c r="H154" s="8" t="n">
        <f aca="false">(E154/1000)*(F154/1000)*(G154/1000)*7850</f>
        <v>28.888</v>
      </c>
      <c r="I154" s="3" t="n">
        <v>10</v>
      </c>
      <c r="J154" s="9" t="n">
        <f aca="false">H154*I154</f>
        <v>288.88</v>
      </c>
      <c r="K154" s="3"/>
    </row>
    <row r="155" customFormat="false" ht="19.5" hidden="false" customHeight="false" outlineLevel="0" collapsed="false">
      <c r="A155" s="3" t="s">
        <v>235</v>
      </c>
      <c r="B155" s="3" t="s">
        <v>219</v>
      </c>
      <c r="C155" s="3" t="s">
        <v>227</v>
      </c>
      <c r="D155" s="3" t="s">
        <v>8</v>
      </c>
      <c r="E155" s="3" t="n">
        <v>1800</v>
      </c>
      <c r="F155" s="3" t="n">
        <v>600</v>
      </c>
      <c r="G155" s="3" t="n">
        <v>16</v>
      </c>
      <c r="H155" s="8" t="n">
        <f aca="false">(E155/1000)*(F155/1000)*(G155/1000)*7850</f>
        <v>135.648</v>
      </c>
      <c r="I155" s="3" t="n">
        <v>2</v>
      </c>
      <c r="J155" s="9" t="n">
        <f aca="false">H155*I155</f>
        <v>271.296</v>
      </c>
      <c r="K155" s="3"/>
    </row>
    <row r="156" customFormat="false" ht="19.5" hidden="false" customHeight="false" outlineLevel="0" collapsed="false">
      <c r="A156" s="3" t="s">
        <v>235</v>
      </c>
      <c r="B156" s="3" t="s">
        <v>219</v>
      </c>
      <c r="C156" s="3" t="s">
        <v>237</v>
      </c>
      <c r="D156" s="3" t="s">
        <v>8</v>
      </c>
      <c r="E156" s="3" t="n">
        <v>1100</v>
      </c>
      <c r="F156" s="3" t="n">
        <v>700</v>
      </c>
      <c r="G156" s="3" t="n">
        <v>16</v>
      </c>
      <c r="H156" s="8" t="n">
        <f aca="false">(E156/1000)*(F156/1000)*(G156/1000)*7850</f>
        <v>96.712</v>
      </c>
      <c r="I156" s="3" t="n">
        <v>1</v>
      </c>
      <c r="J156" s="9" t="n">
        <f aca="false">H156*I156</f>
        <v>96.712</v>
      </c>
      <c r="K156" s="3"/>
    </row>
    <row r="157" customFormat="false" ht="19.5" hidden="false" customHeight="false" outlineLevel="0" collapsed="false">
      <c r="A157" s="3" t="s">
        <v>238</v>
      </c>
      <c r="B157" s="3" t="s">
        <v>219</v>
      </c>
      <c r="C157" s="3" t="s">
        <v>204</v>
      </c>
      <c r="D157" s="3" t="s">
        <v>8</v>
      </c>
      <c r="E157" s="3" t="n">
        <v>1700</v>
      </c>
      <c r="F157" s="3" t="n">
        <v>1020</v>
      </c>
      <c r="G157" s="3" t="n">
        <v>24</v>
      </c>
      <c r="H157" s="8" t="n">
        <f aca="false">(E157/1000)*(F157/1000)*(G157/1000)*7850</f>
        <v>326.6856</v>
      </c>
      <c r="I157" s="3" t="n">
        <v>2</v>
      </c>
      <c r="J157" s="9" t="n">
        <f aca="false">H157*I157</f>
        <v>653.3712</v>
      </c>
      <c r="K157" s="3"/>
    </row>
    <row r="158" customFormat="false" ht="15" hidden="false" customHeight="false" outlineLevel="0" collapsed="false">
      <c r="A158" s="3" t="s">
        <v>238</v>
      </c>
      <c r="B158" s="3" t="s">
        <v>210</v>
      </c>
      <c r="C158" s="3" t="s">
        <v>205</v>
      </c>
      <c r="D158" s="3" t="s">
        <v>8</v>
      </c>
      <c r="E158" s="3" t="n">
        <v>1520</v>
      </c>
      <c r="F158" s="3" t="n">
        <v>1100</v>
      </c>
      <c r="G158" s="3" t="n">
        <v>24</v>
      </c>
      <c r="H158" s="8" t="n">
        <f aca="false">(E158/1000)*(F158/1000)*(G158/1000)*7850</f>
        <v>315.0048</v>
      </c>
      <c r="I158" s="3" t="n">
        <v>2</v>
      </c>
      <c r="J158" s="9" t="n">
        <f aca="false">H158*I158</f>
        <v>630.0096</v>
      </c>
      <c r="K158" s="3"/>
    </row>
    <row r="159" customFormat="false" ht="19.5" hidden="false" customHeight="false" outlineLevel="0" collapsed="false">
      <c r="A159" s="3" t="s">
        <v>238</v>
      </c>
      <c r="B159" s="3" t="s">
        <v>219</v>
      </c>
      <c r="C159" s="3" t="s">
        <v>206</v>
      </c>
      <c r="D159" s="3" t="s">
        <v>8</v>
      </c>
      <c r="E159" s="3" t="n">
        <v>1320</v>
      </c>
      <c r="F159" s="3" t="n">
        <v>1100</v>
      </c>
      <c r="G159" s="3" t="n">
        <v>36</v>
      </c>
      <c r="H159" s="8" t="n">
        <f aca="false">(E159/1000)*(F159/1000)*(G159/1000)*7850</f>
        <v>410.3352</v>
      </c>
      <c r="I159" s="3" t="n">
        <v>1</v>
      </c>
      <c r="J159" s="9" t="n">
        <f aca="false">H159*I159</f>
        <v>410.3352</v>
      </c>
      <c r="K159" s="3"/>
    </row>
    <row r="160" customFormat="false" ht="19.5" hidden="false" customHeight="false" outlineLevel="0" collapsed="false">
      <c r="A160" s="3" t="s">
        <v>238</v>
      </c>
      <c r="B160" s="3" t="s">
        <v>219</v>
      </c>
      <c r="C160" s="3" t="s">
        <v>207</v>
      </c>
      <c r="D160" s="3" t="s">
        <v>8</v>
      </c>
      <c r="E160" s="3" t="n">
        <v>1320</v>
      </c>
      <c r="F160" s="3" t="n">
        <v>400</v>
      </c>
      <c r="G160" s="3" t="n">
        <v>36</v>
      </c>
      <c r="H160" s="8" t="n">
        <f aca="false">(E160/1000)*(F160/1000)*(G160/1000)*7850</f>
        <v>149.2128</v>
      </c>
      <c r="I160" s="3" t="n">
        <v>2</v>
      </c>
      <c r="J160" s="9" t="n">
        <f aca="false">H160*I160</f>
        <v>298.4256</v>
      </c>
      <c r="K160" s="3"/>
    </row>
    <row r="161" customFormat="false" ht="19.5" hidden="false" customHeight="false" outlineLevel="0" collapsed="false">
      <c r="A161" s="3" t="s">
        <v>238</v>
      </c>
      <c r="B161" s="3" t="s">
        <v>219</v>
      </c>
      <c r="C161" s="3" t="s">
        <v>209</v>
      </c>
      <c r="D161" s="3" t="s">
        <v>8</v>
      </c>
      <c r="E161" s="3" t="n">
        <v>1700</v>
      </c>
      <c r="F161" s="3" t="n">
        <v>500</v>
      </c>
      <c r="G161" s="3" t="n">
        <v>12</v>
      </c>
      <c r="H161" s="8" t="n">
        <f aca="false">(E161/1000)*(F161/1000)*(G161/1000)*7850</f>
        <v>80.07</v>
      </c>
      <c r="I161" s="3" t="n">
        <v>2</v>
      </c>
      <c r="J161" s="9" t="n">
        <f aca="false">H161*I161</f>
        <v>160.14</v>
      </c>
      <c r="K161" s="3"/>
    </row>
    <row r="162" customFormat="false" ht="15" hidden="false" customHeight="false" outlineLevel="0" collapsed="false">
      <c r="A162" s="3" t="s">
        <v>238</v>
      </c>
      <c r="B162" s="3" t="s">
        <v>210</v>
      </c>
      <c r="C162" s="3" t="s">
        <v>212</v>
      </c>
      <c r="D162" s="3" t="s">
        <v>8</v>
      </c>
      <c r="E162" s="3" t="n">
        <v>1520</v>
      </c>
      <c r="F162" s="3" t="n">
        <v>500</v>
      </c>
      <c r="G162" s="3" t="n">
        <v>24</v>
      </c>
      <c r="H162" s="8" t="n">
        <f aca="false">(E162/1000)*(F162/1000)*(G162/1000)*7850</f>
        <v>143.184</v>
      </c>
      <c r="I162" s="3" t="n">
        <v>4</v>
      </c>
      <c r="J162" s="9" t="n">
        <f aca="false">H162*I162</f>
        <v>572.736</v>
      </c>
      <c r="K162" s="3"/>
    </row>
    <row r="163" customFormat="false" ht="15" hidden="false" customHeight="false" outlineLevel="0" collapsed="false">
      <c r="A163" s="3" t="s">
        <v>238</v>
      </c>
      <c r="B163" s="3" t="s">
        <v>210</v>
      </c>
      <c r="C163" s="3" t="s">
        <v>213</v>
      </c>
      <c r="D163" s="3" t="s">
        <v>8</v>
      </c>
      <c r="E163" s="3" t="n">
        <v>1320</v>
      </c>
      <c r="F163" s="3" t="n">
        <v>240</v>
      </c>
      <c r="G163" s="3" t="n">
        <v>24</v>
      </c>
      <c r="H163" s="8" t="n">
        <f aca="false">(E163/1000)*(F163/1000)*(G163/1000)*7850</f>
        <v>59.68512</v>
      </c>
      <c r="I163" s="3" t="n">
        <v>2</v>
      </c>
      <c r="J163" s="9" t="n">
        <f aca="false">H163*I163</f>
        <v>119.37024</v>
      </c>
      <c r="K163" s="3"/>
    </row>
    <row r="164" customFormat="false" ht="19.5" hidden="false" customHeight="false" outlineLevel="0" collapsed="false">
      <c r="A164" s="3" t="s">
        <v>238</v>
      </c>
      <c r="B164" s="3" t="s">
        <v>219</v>
      </c>
      <c r="C164" s="3" t="s">
        <v>220</v>
      </c>
      <c r="D164" s="3" t="s">
        <v>8</v>
      </c>
      <c r="E164" s="3" t="n">
        <v>1800</v>
      </c>
      <c r="F164" s="3" t="n">
        <v>820</v>
      </c>
      <c r="G164" s="3" t="n">
        <v>24</v>
      </c>
      <c r="H164" s="8" t="n">
        <f aca="false">(E164/1000)*(F164/1000)*(G164/1000)*7850</f>
        <v>278.0784</v>
      </c>
      <c r="I164" s="3" t="n">
        <v>2</v>
      </c>
      <c r="J164" s="9" t="n">
        <f aca="false">H164*I164</f>
        <v>556.1568</v>
      </c>
      <c r="K164" s="3"/>
    </row>
    <row r="165" customFormat="false" ht="19.5" hidden="false" customHeight="false" outlineLevel="0" collapsed="false">
      <c r="A165" s="3" t="s">
        <v>238</v>
      </c>
      <c r="B165" s="3" t="s">
        <v>219</v>
      </c>
      <c r="C165" s="3" t="s">
        <v>221</v>
      </c>
      <c r="D165" s="3" t="s">
        <v>8</v>
      </c>
      <c r="E165" s="3" t="n">
        <v>820</v>
      </c>
      <c r="F165" s="3" t="n">
        <v>500</v>
      </c>
      <c r="G165" s="3" t="n">
        <v>24</v>
      </c>
      <c r="H165" s="8" t="n">
        <f aca="false">(E165/1000)*(F165/1000)*(G165/1000)*7850</f>
        <v>77.244</v>
      </c>
      <c r="I165" s="3" t="n">
        <v>2</v>
      </c>
      <c r="J165" s="9" t="n">
        <f aca="false">H165*I165</f>
        <v>154.488</v>
      </c>
      <c r="K165" s="3"/>
    </row>
    <row r="166" customFormat="false" ht="19.5" hidden="false" customHeight="false" outlineLevel="0" collapsed="false">
      <c r="A166" s="3" t="s">
        <v>238</v>
      </c>
      <c r="B166" s="3" t="s">
        <v>219</v>
      </c>
      <c r="C166" s="3" t="s">
        <v>222</v>
      </c>
      <c r="D166" s="3" t="s">
        <v>8</v>
      </c>
      <c r="E166" s="3" t="n">
        <v>820</v>
      </c>
      <c r="F166" s="3" t="n">
        <v>500</v>
      </c>
      <c r="G166" s="3" t="n">
        <v>24</v>
      </c>
      <c r="H166" s="8" t="n">
        <f aca="false">(E166/1000)*(F166/1000)*(G166/1000)*7850</f>
        <v>77.244</v>
      </c>
      <c r="I166" s="3" t="n">
        <v>2</v>
      </c>
      <c r="J166" s="9" t="n">
        <f aca="false">H166*I166</f>
        <v>154.488</v>
      </c>
      <c r="K166" s="3"/>
    </row>
    <row r="167" customFormat="false" ht="19.5" hidden="false" customHeight="false" outlineLevel="0" collapsed="false">
      <c r="A167" s="3" t="s">
        <v>238</v>
      </c>
      <c r="B167" s="3" t="s">
        <v>219</v>
      </c>
      <c r="C167" s="3" t="s">
        <v>223</v>
      </c>
      <c r="D167" s="3" t="s">
        <v>8</v>
      </c>
      <c r="E167" s="3" t="n">
        <v>820</v>
      </c>
      <c r="F167" s="3" t="n">
        <v>600</v>
      </c>
      <c r="G167" s="3" t="n">
        <v>24</v>
      </c>
      <c r="H167" s="8" t="n">
        <f aca="false">(E167/1000)*(F167/1000)*(G167/1000)*7850</f>
        <v>92.6928</v>
      </c>
      <c r="I167" s="3" t="n">
        <v>2</v>
      </c>
      <c r="J167" s="9" t="n">
        <f aca="false">H167*I167</f>
        <v>185.3856</v>
      </c>
      <c r="K167" s="3"/>
    </row>
    <row r="168" customFormat="false" ht="19.5" hidden="false" customHeight="false" outlineLevel="0" collapsed="false">
      <c r="A168" s="3" t="s">
        <v>238</v>
      </c>
      <c r="B168" s="3" t="s">
        <v>219</v>
      </c>
      <c r="C168" s="3" t="s">
        <v>224</v>
      </c>
      <c r="D168" s="3" t="s">
        <v>8</v>
      </c>
      <c r="E168" s="3" t="n">
        <v>1100</v>
      </c>
      <c r="F168" s="3" t="n">
        <v>920</v>
      </c>
      <c r="G168" s="3" t="n">
        <v>28</v>
      </c>
      <c r="H168" s="8" t="n">
        <f aca="false">(E168/1000)*(F168/1000)*(G168/1000)*7850</f>
        <v>222.4376</v>
      </c>
      <c r="I168" s="3" t="n">
        <v>1</v>
      </c>
      <c r="J168" s="9" t="n">
        <f aca="false">H168*I168</f>
        <v>222.4376</v>
      </c>
      <c r="K168" s="3"/>
    </row>
    <row r="169" customFormat="false" ht="19.5" hidden="false" customHeight="false" outlineLevel="0" collapsed="false">
      <c r="A169" s="3" t="s">
        <v>238</v>
      </c>
      <c r="B169" s="3" t="s">
        <v>219</v>
      </c>
      <c r="C169" s="3" t="s">
        <v>225</v>
      </c>
      <c r="D169" s="3" t="s">
        <v>8</v>
      </c>
      <c r="E169" s="3" t="n">
        <v>920</v>
      </c>
      <c r="F169" s="3" t="n">
        <v>400</v>
      </c>
      <c r="G169" s="3" t="n">
        <v>28</v>
      </c>
      <c r="H169" s="8" t="n">
        <f aca="false">(E169/1000)*(F169/1000)*(G169/1000)*7850</f>
        <v>80.8864</v>
      </c>
      <c r="I169" s="3" t="n">
        <v>2</v>
      </c>
      <c r="J169" s="9" t="n">
        <f aca="false">H169*I169</f>
        <v>161.7728</v>
      </c>
      <c r="K169" s="3"/>
    </row>
    <row r="170" customFormat="false" ht="19.5" hidden="false" customHeight="false" outlineLevel="0" collapsed="false">
      <c r="A170" s="3" t="s">
        <v>238</v>
      </c>
      <c r="B170" s="3" t="s">
        <v>219</v>
      </c>
      <c r="C170" s="3" t="s">
        <v>227</v>
      </c>
      <c r="D170" s="3" t="s">
        <v>8</v>
      </c>
      <c r="E170" s="3" t="n">
        <v>1800</v>
      </c>
      <c r="F170" s="3" t="n">
        <v>600</v>
      </c>
      <c r="G170" s="3" t="n">
        <v>12</v>
      </c>
      <c r="H170" s="8" t="n">
        <f aca="false">(E170/1000)*(F170/1000)*(G170/1000)*7850</f>
        <v>101.736</v>
      </c>
      <c r="I170" s="3" t="n">
        <v>2</v>
      </c>
      <c r="J170" s="9" t="n">
        <f aca="false">H170*I170</f>
        <v>203.472</v>
      </c>
      <c r="K170" s="3"/>
    </row>
    <row r="171" customFormat="false" ht="19.5" hidden="false" customHeight="false" outlineLevel="0" collapsed="false">
      <c r="A171" s="3" t="s">
        <v>239</v>
      </c>
      <c r="B171" s="3" t="s">
        <v>203</v>
      </c>
      <c r="C171" s="3" t="s">
        <v>204</v>
      </c>
      <c r="D171" s="3" t="s">
        <v>8</v>
      </c>
      <c r="E171" s="3" t="n">
        <v>1300</v>
      </c>
      <c r="F171" s="3" t="n">
        <v>820</v>
      </c>
      <c r="G171" s="3" t="n">
        <v>20</v>
      </c>
      <c r="H171" s="8" t="n">
        <f aca="false">(E171/1000)*(F171/1000)*(G171/1000)*7850</f>
        <v>167.362</v>
      </c>
      <c r="I171" s="3" t="n">
        <v>2</v>
      </c>
      <c r="J171" s="9" t="n">
        <f aca="false">H171*I171</f>
        <v>334.724</v>
      </c>
      <c r="K171" s="3"/>
    </row>
    <row r="172" customFormat="false" ht="19.5" hidden="false" customHeight="false" outlineLevel="0" collapsed="false">
      <c r="A172" s="3" t="s">
        <v>239</v>
      </c>
      <c r="B172" s="3" t="s">
        <v>203</v>
      </c>
      <c r="C172" s="3" t="s">
        <v>205</v>
      </c>
      <c r="D172" s="3" t="s">
        <v>8</v>
      </c>
      <c r="E172" s="3" t="n">
        <v>820</v>
      </c>
      <c r="F172" s="3" t="n">
        <v>600</v>
      </c>
      <c r="G172" s="3" t="n">
        <v>20</v>
      </c>
      <c r="H172" s="8" t="n">
        <f aca="false">(E172/1000)*(F172/1000)*(G172/1000)*7850</f>
        <v>77.244</v>
      </c>
      <c r="I172" s="3" t="n">
        <v>4</v>
      </c>
      <c r="J172" s="9" t="n">
        <f aca="false">H172*I172</f>
        <v>308.976</v>
      </c>
      <c r="K172" s="3"/>
    </row>
    <row r="173" customFormat="false" ht="19.5" hidden="false" customHeight="false" outlineLevel="0" collapsed="false">
      <c r="A173" s="3" t="s">
        <v>239</v>
      </c>
      <c r="B173" s="3" t="s">
        <v>203</v>
      </c>
      <c r="C173" s="3" t="s">
        <v>206</v>
      </c>
      <c r="D173" s="3" t="s">
        <v>8</v>
      </c>
      <c r="E173" s="3" t="n">
        <v>1120</v>
      </c>
      <c r="F173" s="3" t="n">
        <v>1100</v>
      </c>
      <c r="G173" s="3" t="n">
        <v>32</v>
      </c>
      <c r="H173" s="8" t="n">
        <f aca="false">(E173/1000)*(F173/1000)*(G173/1000)*7850</f>
        <v>309.4784</v>
      </c>
      <c r="I173" s="3" t="n">
        <v>1</v>
      </c>
      <c r="J173" s="9" t="n">
        <f aca="false">H173*I173</f>
        <v>309.4784</v>
      </c>
      <c r="K173" s="3"/>
    </row>
    <row r="174" customFormat="false" ht="19.5" hidden="false" customHeight="false" outlineLevel="0" collapsed="false">
      <c r="A174" s="3" t="s">
        <v>239</v>
      </c>
      <c r="B174" s="3" t="s">
        <v>203</v>
      </c>
      <c r="C174" s="3" t="s">
        <v>207</v>
      </c>
      <c r="D174" s="3" t="s">
        <v>8</v>
      </c>
      <c r="E174" s="3" t="n">
        <v>1120</v>
      </c>
      <c r="F174" s="3" t="n">
        <v>400</v>
      </c>
      <c r="G174" s="3" t="n">
        <v>32</v>
      </c>
      <c r="H174" s="8" t="n">
        <f aca="false">(E174/1000)*(F174/1000)*(G174/1000)*7850</f>
        <v>112.5376</v>
      </c>
      <c r="I174" s="3" t="n">
        <v>2</v>
      </c>
      <c r="J174" s="9" t="n">
        <f aca="false">H174*I174</f>
        <v>225.0752</v>
      </c>
      <c r="K174" s="3"/>
    </row>
    <row r="175" customFormat="false" ht="19.5" hidden="false" customHeight="false" outlineLevel="0" collapsed="false">
      <c r="A175" s="3" t="s">
        <v>239</v>
      </c>
      <c r="B175" s="3" t="s">
        <v>203</v>
      </c>
      <c r="C175" s="3" t="s">
        <v>208</v>
      </c>
      <c r="D175" s="3" t="s">
        <v>8</v>
      </c>
      <c r="E175" s="3" t="n">
        <v>920</v>
      </c>
      <c r="F175" s="3" t="n">
        <v>200</v>
      </c>
      <c r="G175" s="3" t="n">
        <v>20</v>
      </c>
      <c r="H175" s="8" t="n">
        <f aca="false">(E175/1000)*(F175/1000)*(G175/1000)*7850</f>
        <v>28.888</v>
      </c>
      <c r="I175" s="3" t="n">
        <v>6</v>
      </c>
      <c r="J175" s="9" t="n">
        <f aca="false">H175*I175</f>
        <v>173.328</v>
      </c>
      <c r="K175" s="3"/>
    </row>
    <row r="176" customFormat="false" ht="19.5" hidden="false" customHeight="false" outlineLevel="0" collapsed="false">
      <c r="A176" s="3" t="s">
        <v>239</v>
      </c>
      <c r="B176" s="3" t="s">
        <v>203</v>
      </c>
      <c r="C176" s="3" t="s">
        <v>209</v>
      </c>
      <c r="D176" s="3" t="s">
        <v>8</v>
      </c>
      <c r="E176" s="3" t="n">
        <v>1700</v>
      </c>
      <c r="F176" s="3" t="n">
        <v>400</v>
      </c>
      <c r="G176" s="3" t="n">
        <v>16</v>
      </c>
      <c r="H176" s="8" t="n">
        <f aca="false">(E176/1000)*(F176/1000)*(G176/1000)*7850</f>
        <v>85.408</v>
      </c>
      <c r="I176" s="3" t="n">
        <v>2</v>
      </c>
      <c r="J176" s="9" t="n">
        <f aca="false">H176*I176</f>
        <v>170.816</v>
      </c>
      <c r="K176" s="3"/>
    </row>
    <row r="177" customFormat="false" ht="15" hidden="false" customHeight="false" outlineLevel="0" collapsed="false">
      <c r="A177" s="3" t="s">
        <v>239</v>
      </c>
      <c r="B177" s="3" t="s">
        <v>210</v>
      </c>
      <c r="C177" s="3" t="s">
        <v>211</v>
      </c>
      <c r="D177" s="3" t="s">
        <v>8</v>
      </c>
      <c r="E177" s="3" t="n">
        <v>1520</v>
      </c>
      <c r="F177" s="3" t="n">
        <v>1100</v>
      </c>
      <c r="G177" s="3" t="n">
        <v>24</v>
      </c>
      <c r="H177" s="8" t="n">
        <f aca="false">(E177/1000)*(F177/1000)*(G177/1000)*7850</f>
        <v>315.0048</v>
      </c>
      <c r="I177" s="3" t="n">
        <v>2</v>
      </c>
      <c r="J177" s="9" t="n">
        <f aca="false">H177*I177</f>
        <v>630.0096</v>
      </c>
      <c r="K177" s="3"/>
    </row>
    <row r="178" customFormat="false" ht="15" hidden="false" customHeight="false" outlineLevel="0" collapsed="false">
      <c r="A178" s="3" t="s">
        <v>239</v>
      </c>
      <c r="B178" s="3" t="s">
        <v>210</v>
      </c>
      <c r="C178" s="3" t="s">
        <v>212</v>
      </c>
      <c r="D178" s="3" t="s">
        <v>8</v>
      </c>
      <c r="E178" s="3" t="n">
        <v>1520</v>
      </c>
      <c r="F178" s="3" t="n">
        <v>500</v>
      </c>
      <c r="G178" s="3" t="n">
        <v>24</v>
      </c>
      <c r="H178" s="8" t="n">
        <f aca="false">(E178/1000)*(F178/1000)*(G178/1000)*7850</f>
        <v>143.184</v>
      </c>
      <c r="I178" s="3" t="n">
        <v>4</v>
      </c>
      <c r="J178" s="9" t="n">
        <f aca="false">H178*I178</f>
        <v>572.736</v>
      </c>
      <c r="K178" s="3"/>
    </row>
    <row r="179" customFormat="false" ht="15" hidden="false" customHeight="false" outlineLevel="0" collapsed="false">
      <c r="A179" s="3" t="s">
        <v>239</v>
      </c>
      <c r="B179" s="3" t="s">
        <v>210</v>
      </c>
      <c r="C179" s="3" t="s">
        <v>213</v>
      </c>
      <c r="D179" s="3" t="s">
        <v>8</v>
      </c>
      <c r="E179" s="3" t="n">
        <v>1320</v>
      </c>
      <c r="F179" s="3" t="n">
        <v>1100</v>
      </c>
      <c r="G179" s="3" t="n">
        <v>28</v>
      </c>
      <c r="H179" s="8" t="n">
        <f aca="false">(E179/1000)*(F179/1000)*(G179/1000)*7850</f>
        <v>319.1496</v>
      </c>
      <c r="I179" s="3" t="n">
        <v>1</v>
      </c>
      <c r="J179" s="9" t="n">
        <f aca="false">H179*I179</f>
        <v>319.1496</v>
      </c>
      <c r="K179" s="3"/>
    </row>
    <row r="180" customFormat="false" ht="15" hidden="false" customHeight="false" outlineLevel="0" collapsed="false">
      <c r="A180" s="3" t="s">
        <v>239</v>
      </c>
      <c r="B180" s="3" t="s">
        <v>210</v>
      </c>
      <c r="C180" s="3" t="s">
        <v>214</v>
      </c>
      <c r="D180" s="3" t="s">
        <v>8</v>
      </c>
      <c r="E180" s="3" t="n">
        <v>1320</v>
      </c>
      <c r="F180" s="3" t="n">
        <v>500</v>
      </c>
      <c r="G180" s="3" t="n">
        <v>28</v>
      </c>
      <c r="H180" s="8" t="n">
        <f aca="false">(E180/1000)*(F180/1000)*(G180/1000)*7850</f>
        <v>145.068</v>
      </c>
      <c r="I180" s="3" t="n">
        <v>2</v>
      </c>
      <c r="J180" s="9" t="n">
        <f aca="false">H180*I180</f>
        <v>290.136</v>
      </c>
      <c r="K180" s="3"/>
    </row>
    <row r="181" customFormat="false" ht="15" hidden="false" customHeight="false" outlineLevel="0" collapsed="false">
      <c r="A181" s="3" t="s">
        <v>239</v>
      </c>
      <c r="B181" s="3" t="s">
        <v>210</v>
      </c>
      <c r="C181" s="3" t="s">
        <v>215</v>
      </c>
      <c r="D181" s="3" t="s">
        <v>8</v>
      </c>
      <c r="E181" s="3" t="n">
        <v>1520</v>
      </c>
      <c r="F181" s="3" t="n">
        <v>1100</v>
      </c>
      <c r="G181" s="3" t="n">
        <v>44</v>
      </c>
      <c r="H181" s="8" t="n">
        <f aca="false">(E181/1000)*(F181/1000)*(G181/1000)*7850</f>
        <v>577.5088</v>
      </c>
      <c r="I181" s="3" t="n">
        <v>1</v>
      </c>
      <c r="J181" s="9" t="n">
        <f aca="false">H181*I181</f>
        <v>577.5088</v>
      </c>
      <c r="K181" s="3"/>
    </row>
    <row r="182" customFormat="false" ht="15" hidden="false" customHeight="false" outlineLevel="0" collapsed="false">
      <c r="A182" s="3" t="s">
        <v>239</v>
      </c>
      <c r="B182" s="3" t="s">
        <v>210</v>
      </c>
      <c r="C182" s="3" t="s">
        <v>216</v>
      </c>
      <c r="D182" s="3" t="s">
        <v>8</v>
      </c>
      <c r="E182" s="3" t="n">
        <v>1520</v>
      </c>
      <c r="F182" s="3" t="n">
        <v>240</v>
      </c>
      <c r="G182" s="3" t="n">
        <v>44</v>
      </c>
      <c r="H182" s="8" t="n">
        <f aca="false">(E182/1000)*(F182/1000)*(G182/1000)*7850</f>
        <v>126.00192</v>
      </c>
      <c r="I182" s="3" t="n">
        <v>2</v>
      </c>
      <c r="J182" s="9" t="n">
        <f aca="false">H182*I182</f>
        <v>252.00384</v>
      </c>
      <c r="K182" s="3"/>
    </row>
    <row r="183" customFormat="false" ht="15" hidden="false" customHeight="false" outlineLevel="0" collapsed="false">
      <c r="A183" s="3" t="s">
        <v>239</v>
      </c>
      <c r="B183" s="3" t="s">
        <v>210</v>
      </c>
      <c r="C183" s="3" t="s">
        <v>217</v>
      </c>
      <c r="D183" s="3" t="s">
        <v>8</v>
      </c>
      <c r="E183" s="3" t="n">
        <v>1220</v>
      </c>
      <c r="F183" s="3" t="n">
        <v>240</v>
      </c>
      <c r="G183" s="3" t="n">
        <v>24</v>
      </c>
      <c r="H183" s="8" t="n">
        <f aca="false">(E183/1000)*(F183/1000)*(G183/1000)*7850</f>
        <v>55.16352</v>
      </c>
      <c r="I183" s="3" t="n">
        <v>4</v>
      </c>
      <c r="J183" s="9" t="n">
        <f aca="false">H183*I183</f>
        <v>220.65408</v>
      </c>
      <c r="K183" s="3"/>
    </row>
    <row r="184" customFormat="false" ht="15" hidden="false" customHeight="false" outlineLevel="0" collapsed="false">
      <c r="A184" s="3" t="s">
        <v>239</v>
      </c>
      <c r="B184" s="3" t="s">
        <v>210</v>
      </c>
      <c r="C184" s="3" t="s">
        <v>218</v>
      </c>
      <c r="D184" s="3" t="s">
        <v>8</v>
      </c>
      <c r="E184" s="3" t="n">
        <v>1320</v>
      </c>
      <c r="F184" s="3" t="n">
        <v>240</v>
      </c>
      <c r="G184" s="3" t="n">
        <v>24</v>
      </c>
      <c r="H184" s="8" t="n">
        <f aca="false">(E184/1000)*(F184/1000)*(G184/1000)*7850</f>
        <v>59.68512</v>
      </c>
      <c r="I184" s="3" t="n">
        <v>2</v>
      </c>
      <c r="J184" s="9" t="n">
        <f aca="false">H184*I184</f>
        <v>119.37024</v>
      </c>
      <c r="K184" s="3"/>
    </row>
    <row r="185" customFormat="false" ht="19.5" hidden="false" customHeight="false" outlineLevel="0" collapsed="false">
      <c r="A185" s="3" t="s">
        <v>239</v>
      </c>
      <c r="B185" s="3" t="s">
        <v>219</v>
      </c>
      <c r="C185" s="3" t="s">
        <v>220</v>
      </c>
      <c r="D185" s="3" t="s">
        <v>8</v>
      </c>
      <c r="E185" s="3" t="n">
        <v>1400</v>
      </c>
      <c r="F185" s="3" t="n">
        <v>1020</v>
      </c>
      <c r="G185" s="3" t="n">
        <v>16</v>
      </c>
      <c r="H185" s="8" t="n">
        <f aca="false">(E185/1000)*(F185/1000)*(G185/1000)*7850</f>
        <v>179.3568</v>
      </c>
      <c r="I185" s="3" t="n">
        <v>2</v>
      </c>
      <c r="J185" s="9" t="n">
        <f aca="false">H185*I185</f>
        <v>358.7136</v>
      </c>
      <c r="K185" s="3"/>
    </row>
    <row r="186" customFormat="false" ht="19.5" hidden="false" customHeight="false" outlineLevel="0" collapsed="false">
      <c r="A186" s="3" t="s">
        <v>239</v>
      </c>
      <c r="B186" s="3" t="s">
        <v>219</v>
      </c>
      <c r="C186" s="3" t="s">
        <v>221</v>
      </c>
      <c r="D186" s="3" t="s">
        <v>8</v>
      </c>
      <c r="E186" s="3" t="n">
        <v>1020</v>
      </c>
      <c r="F186" s="3" t="n">
        <v>300</v>
      </c>
      <c r="G186" s="3" t="n">
        <v>16</v>
      </c>
      <c r="H186" s="8" t="n">
        <f aca="false">(E186/1000)*(F186/1000)*(G186/1000)*7850</f>
        <v>38.4336</v>
      </c>
      <c r="I186" s="3" t="n">
        <v>2</v>
      </c>
      <c r="J186" s="9" t="n">
        <f aca="false">H186*I186</f>
        <v>76.8672</v>
      </c>
      <c r="K186" s="3"/>
    </row>
    <row r="187" customFormat="false" ht="19.5" hidden="false" customHeight="false" outlineLevel="0" collapsed="false">
      <c r="A187" s="3" t="s">
        <v>239</v>
      </c>
      <c r="B187" s="3" t="s">
        <v>219</v>
      </c>
      <c r="C187" s="3" t="s">
        <v>222</v>
      </c>
      <c r="D187" s="3" t="s">
        <v>8</v>
      </c>
      <c r="E187" s="3" t="n">
        <v>1020</v>
      </c>
      <c r="F187" s="3" t="n">
        <v>500</v>
      </c>
      <c r="G187" s="3" t="n">
        <v>16</v>
      </c>
      <c r="H187" s="8" t="n">
        <f aca="false">(E187/1000)*(F187/1000)*(G187/1000)*7850</f>
        <v>64.056</v>
      </c>
      <c r="I187" s="3" t="n">
        <v>2</v>
      </c>
      <c r="J187" s="9" t="n">
        <f aca="false">H187*I187</f>
        <v>128.112</v>
      </c>
      <c r="K187" s="3"/>
    </row>
    <row r="188" customFormat="false" ht="19.5" hidden="false" customHeight="false" outlineLevel="0" collapsed="false">
      <c r="A188" s="3" t="s">
        <v>239</v>
      </c>
      <c r="B188" s="3" t="s">
        <v>219</v>
      </c>
      <c r="C188" s="3" t="s">
        <v>223</v>
      </c>
      <c r="D188" s="3" t="s">
        <v>8</v>
      </c>
      <c r="E188" s="3" t="n">
        <v>1020</v>
      </c>
      <c r="F188" s="3" t="n">
        <v>400</v>
      </c>
      <c r="G188" s="3" t="n">
        <v>16</v>
      </c>
      <c r="H188" s="8" t="n">
        <f aca="false">(E188/1000)*(F188/1000)*(G188/1000)*7850</f>
        <v>51.2448</v>
      </c>
      <c r="I188" s="3" t="n">
        <v>2</v>
      </c>
      <c r="J188" s="9" t="n">
        <f aca="false">H188*I188</f>
        <v>102.4896</v>
      </c>
      <c r="K188" s="3"/>
    </row>
    <row r="189" customFormat="false" ht="19.5" hidden="false" customHeight="false" outlineLevel="0" collapsed="false">
      <c r="A189" s="3" t="s">
        <v>239</v>
      </c>
      <c r="B189" s="3" t="s">
        <v>219</v>
      </c>
      <c r="C189" s="3" t="s">
        <v>224</v>
      </c>
      <c r="D189" s="3" t="s">
        <v>8</v>
      </c>
      <c r="E189" s="3" t="n">
        <v>1420</v>
      </c>
      <c r="F189" s="3" t="n">
        <v>1100</v>
      </c>
      <c r="G189" s="3" t="n">
        <v>28</v>
      </c>
      <c r="H189" s="8" t="n">
        <f aca="false">(E189/1000)*(F189/1000)*(G189/1000)*7850</f>
        <v>343.3276</v>
      </c>
      <c r="I189" s="3" t="n">
        <v>1</v>
      </c>
      <c r="J189" s="9" t="n">
        <f aca="false">H189*I189</f>
        <v>343.3276</v>
      </c>
      <c r="K189" s="3"/>
    </row>
    <row r="190" customFormat="false" ht="19.5" hidden="false" customHeight="false" outlineLevel="0" collapsed="false">
      <c r="A190" s="3" t="s">
        <v>239</v>
      </c>
      <c r="B190" s="3" t="s">
        <v>219</v>
      </c>
      <c r="C190" s="3" t="s">
        <v>225</v>
      </c>
      <c r="D190" s="3" t="s">
        <v>8</v>
      </c>
      <c r="E190" s="3" t="n">
        <v>1420</v>
      </c>
      <c r="F190" s="3" t="n">
        <v>400</v>
      </c>
      <c r="G190" s="3" t="n">
        <v>28</v>
      </c>
      <c r="H190" s="8" t="n">
        <f aca="false">(E190/1000)*(F190/1000)*(G190/1000)*7850</f>
        <v>124.8464</v>
      </c>
      <c r="I190" s="3" t="n">
        <v>2</v>
      </c>
      <c r="J190" s="9" t="n">
        <f aca="false">H190*I190</f>
        <v>249.6928</v>
      </c>
      <c r="K190" s="3"/>
    </row>
    <row r="191" customFormat="false" ht="19.5" hidden="false" customHeight="false" outlineLevel="0" collapsed="false">
      <c r="A191" s="3" t="s">
        <v>239</v>
      </c>
      <c r="B191" s="3" t="s">
        <v>219</v>
      </c>
      <c r="C191" s="3" t="s">
        <v>226</v>
      </c>
      <c r="D191" s="3" t="s">
        <v>8</v>
      </c>
      <c r="E191" s="3" t="n">
        <v>920</v>
      </c>
      <c r="F191" s="3" t="n">
        <v>200</v>
      </c>
      <c r="G191" s="3" t="n">
        <v>20</v>
      </c>
      <c r="H191" s="8" t="n">
        <f aca="false">(E191/1000)*(F191/1000)*(G191/1000)*7850</f>
        <v>28.888</v>
      </c>
      <c r="I191" s="3" t="n">
        <v>10</v>
      </c>
      <c r="J191" s="9" t="n">
        <f aca="false">H191*I191</f>
        <v>288.88</v>
      </c>
      <c r="K191" s="3"/>
    </row>
    <row r="192" customFormat="false" ht="19.5" hidden="false" customHeight="false" outlineLevel="0" collapsed="false">
      <c r="A192" s="3" t="s">
        <v>239</v>
      </c>
      <c r="B192" s="3" t="s">
        <v>219</v>
      </c>
      <c r="C192" s="3" t="s">
        <v>227</v>
      </c>
      <c r="D192" s="3" t="s">
        <v>8</v>
      </c>
      <c r="E192" s="3" t="n">
        <v>1800</v>
      </c>
      <c r="F192" s="3" t="n">
        <v>500</v>
      </c>
      <c r="G192" s="3" t="n">
        <v>20</v>
      </c>
      <c r="H192" s="8" t="n">
        <f aca="false">(E192/1000)*(F192/1000)*(G192/1000)*7850</f>
        <v>141.3</v>
      </c>
      <c r="I192" s="3" t="n">
        <v>2</v>
      </c>
      <c r="J192" s="9" t="n">
        <f aca="false">H192*I192</f>
        <v>282.6</v>
      </c>
      <c r="K192" s="3"/>
    </row>
    <row r="193" customFormat="false" ht="19.5" hidden="false" customHeight="false" outlineLevel="0" collapsed="false">
      <c r="A193" s="3" t="s">
        <v>240</v>
      </c>
      <c r="B193" s="3" t="s">
        <v>203</v>
      </c>
      <c r="C193" s="3" t="s">
        <v>204</v>
      </c>
      <c r="D193" s="3" t="s">
        <v>8</v>
      </c>
      <c r="E193" s="3" t="n">
        <v>1300</v>
      </c>
      <c r="F193" s="3" t="n">
        <v>820</v>
      </c>
      <c r="G193" s="3" t="n">
        <v>20</v>
      </c>
      <c r="H193" s="8" t="n">
        <f aca="false">(E193/1000)*(F193/1000)*(G193/1000)*7850</f>
        <v>167.362</v>
      </c>
      <c r="I193" s="3" t="n">
        <v>2</v>
      </c>
      <c r="J193" s="9" t="n">
        <f aca="false">H193*I193</f>
        <v>334.724</v>
      </c>
      <c r="K193" s="3"/>
    </row>
    <row r="194" customFormat="false" ht="19.5" hidden="false" customHeight="false" outlineLevel="0" collapsed="false">
      <c r="A194" s="3" t="s">
        <v>240</v>
      </c>
      <c r="B194" s="3" t="s">
        <v>203</v>
      </c>
      <c r="C194" s="3" t="s">
        <v>205</v>
      </c>
      <c r="D194" s="3" t="s">
        <v>8</v>
      </c>
      <c r="E194" s="3" t="n">
        <v>820</v>
      </c>
      <c r="F194" s="3" t="n">
        <v>600</v>
      </c>
      <c r="G194" s="3" t="n">
        <v>20</v>
      </c>
      <c r="H194" s="8" t="n">
        <f aca="false">(E194/1000)*(F194/1000)*(G194/1000)*7850</f>
        <v>77.244</v>
      </c>
      <c r="I194" s="3" t="n">
        <v>4</v>
      </c>
      <c r="J194" s="9" t="n">
        <f aca="false">H194*I194</f>
        <v>308.976</v>
      </c>
      <c r="K194" s="3"/>
    </row>
    <row r="195" customFormat="false" ht="19.5" hidden="false" customHeight="false" outlineLevel="0" collapsed="false">
      <c r="A195" s="3" t="s">
        <v>240</v>
      </c>
      <c r="B195" s="3" t="s">
        <v>203</v>
      </c>
      <c r="C195" s="3" t="s">
        <v>206</v>
      </c>
      <c r="D195" s="3" t="s">
        <v>8</v>
      </c>
      <c r="E195" s="3" t="n">
        <v>1120</v>
      </c>
      <c r="F195" s="3" t="n">
        <v>1100</v>
      </c>
      <c r="G195" s="3" t="n">
        <v>32</v>
      </c>
      <c r="H195" s="8" t="n">
        <f aca="false">(E195/1000)*(F195/1000)*(G195/1000)*7850</f>
        <v>309.4784</v>
      </c>
      <c r="I195" s="3" t="n">
        <v>1</v>
      </c>
      <c r="J195" s="9" t="n">
        <f aca="false">H195*I195</f>
        <v>309.4784</v>
      </c>
      <c r="K195" s="3"/>
    </row>
    <row r="196" customFormat="false" ht="19.5" hidden="false" customHeight="false" outlineLevel="0" collapsed="false">
      <c r="A196" s="3" t="s">
        <v>240</v>
      </c>
      <c r="B196" s="3" t="s">
        <v>203</v>
      </c>
      <c r="C196" s="3" t="s">
        <v>207</v>
      </c>
      <c r="D196" s="3" t="s">
        <v>8</v>
      </c>
      <c r="E196" s="3" t="n">
        <v>1120</v>
      </c>
      <c r="F196" s="3" t="n">
        <v>400</v>
      </c>
      <c r="G196" s="3" t="n">
        <v>32</v>
      </c>
      <c r="H196" s="8" t="n">
        <f aca="false">(E196/1000)*(F196/1000)*(G196/1000)*7850</f>
        <v>112.5376</v>
      </c>
      <c r="I196" s="3" t="n">
        <v>2</v>
      </c>
      <c r="J196" s="9" t="n">
        <f aca="false">H196*I196</f>
        <v>225.0752</v>
      </c>
      <c r="K196" s="3"/>
    </row>
    <row r="197" customFormat="false" ht="19.5" hidden="false" customHeight="false" outlineLevel="0" collapsed="false">
      <c r="A197" s="3" t="s">
        <v>240</v>
      </c>
      <c r="B197" s="3" t="s">
        <v>203</v>
      </c>
      <c r="C197" s="3" t="s">
        <v>208</v>
      </c>
      <c r="D197" s="3" t="s">
        <v>8</v>
      </c>
      <c r="E197" s="3" t="n">
        <v>920</v>
      </c>
      <c r="F197" s="3" t="n">
        <v>200</v>
      </c>
      <c r="G197" s="3" t="n">
        <v>20</v>
      </c>
      <c r="H197" s="8" t="n">
        <f aca="false">(E197/1000)*(F197/1000)*(G197/1000)*7850</f>
        <v>28.888</v>
      </c>
      <c r="I197" s="3" t="n">
        <v>6</v>
      </c>
      <c r="J197" s="9" t="n">
        <f aca="false">H197*I197</f>
        <v>173.328</v>
      </c>
      <c r="K197" s="3"/>
    </row>
    <row r="198" customFormat="false" ht="19.5" hidden="false" customHeight="false" outlineLevel="0" collapsed="false">
      <c r="A198" s="3" t="s">
        <v>240</v>
      </c>
      <c r="B198" s="3" t="s">
        <v>203</v>
      </c>
      <c r="C198" s="3" t="s">
        <v>209</v>
      </c>
      <c r="D198" s="3" t="s">
        <v>8</v>
      </c>
      <c r="E198" s="3" t="n">
        <v>1700</v>
      </c>
      <c r="F198" s="3" t="n">
        <v>400</v>
      </c>
      <c r="G198" s="3" t="n">
        <v>16</v>
      </c>
      <c r="H198" s="8" t="n">
        <f aca="false">(E198/1000)*(F198/1000)*(G198/1000)*7850</f>
        <v>85.408</v>
      </c>
      <c r="I198" s="3" t="n">
        <v>2</v>
      </c>
      <c r="J198" s="9" t="n">
        <f aca="false">H198*I198</f>
        <v>170.816</v>
      </c>
      <c r="K198" s="3"/>
    </row>
    <row r="199" customFormat="false" ht="15" hidden="false" customHeight="false" outlineLevel="0" collapsed="false">
      <c r="A199" s="3" t="s">
        <v>240</v>
      </c>
      <c r="B199" s="3" t="s">
        <v>210</v>
      </c>
      <c r="C199" s="3" t="s">
        <v>211</v>
      </c>
      <c r="D199" s="3" t="s">
        <v>8</v>
      </c>
      <c r="E199" s="3" t="n">
        <v>1320</v>
      </c>
      <c r="F199" s="3" t="n">
        <v>900</v>
      </c>
      <c r="G199" s="3" t="n">
        <v>28</v>
      </c>
      <c r="H199" s="8" t="n">
        <f aca="false">(E199/1000)*(F199/1000)*(G199/1000)*7850</f>
        <v>261.1224</v>
      </c>
      <c r="I199" s="3" t="n">
        <v>2</v>
      </c>
      <c r="J199" s="9" t="n">
        <f aca="false">H199*I199</f>
        <v>522.2448</v>
      </c>
      <c r="K199" s="3"/>
    </row>
    <row r="200" customFormat="false" ht="15" hidden="false" customHeight="false" outlineLevel="0" collapsed="false">
      <c r="A200" s="3" t="s">
        <v>240</v>
      </c>
      <c r="B200" s="3" t="s">
        <v>210</v>
      </c>
      <c r="C200" s="3" t="s">
        <v>212</v>
      </c>
      <c r="D200" s="3" t="s">
        <v>8</v>
      </c>
      <c r="E200" s="3" t="n">
        <v>1320</v>
      </c>
      <c r="F200" s="3" t="n">
        <v>400</v>
      </c>
      <c r="G200" s="3" t="n">
        <v>28</v>
      </c>
      <c r="H200" s="8" t="n">
        <f aca="false">(E200/1000)*(F200/1000)*(G200/1000)*7850</f>
        <v>116.0544</v>
      </c>
      <c r="I200" s="3" t="n">
        <v>4</v>
      </c>
      <c r="J200" s="9" t="n">
        <f aca="false">H200*I200</f>
        <v>464.2176</v>
      </c>
      <c r="K200" s="3"/>
    </row>
    <row r="201" customFormat="false" ht="15" hidden="false" customHeight="false" outlineLevel="0" collapsed="false">
      <c r="A201" s="3" t="s">
        <v>240</v>
      </c>
      <c r="B201" s="3" t="s">
        <v>210</v>
      </c>
      <c r="C201" s="3" t="s">
        <v>213</v>
      </c>
      <c r="D201" s="3" t="s">
        <v>8</v>
      </c>
      <c r="E201" s="3" t="n">
        <v>1320</v>
      </c>
      <c r="F201" s="3" t="n">
        <v>500</v>
      </c>
      <c r="G201" s="3" t="n">
        <v>28</v>
      </c>
      <c r="H201" s="8" t="n">
        <f aca="false">(E201/1000)*(F201/1000)*(G201/1000)*7850</f>
        <v>145.068</v>
      </c>
      <c r="I201" s="3" t="n">
        <v>4</v>
      </c>
      <c r="J201" s="9" t="n">
        <f aca="false">H201*I201</f>
        <v>580.272</v>
      </c>
      <c r="K201" s="3"/>
    </row>
    <row r="202" customFormat="false" ht="15" hidden="false" customHeight="false" outlineLevel="0" collapsed="false">
      <c r="A202" s="3" t="s">
        <v>240</v>
      </c>
      <c r="B202" s="3" t="s">
        <v>210</v>
      </c>
      <c r="C202" s="3" t="s">
        <v>214</v>
      </c>
      <c r="D202" s="3" t="s">
        <v>8</v>
      </c>
      <c r="E202" s="3" t="n">
        <v>820</v>
      </c>
      <c r="F202" s="3" t="n">
        <v>200</v>
      </c>
      <c r="G202" s="3" t="n">
        <v>20</v>
      </c>
      <c r="H202" s="8" t="n">
        <f aca="false">(E202/1000)*(F202/1000)*(G202/1000)*7850</f>
        <v>25.748</v>
      </c>
      <c r="I202" s="3" t="n">
        <v>4</v>
      </c>
      <c r="J202" s="9" t="n">
        <f aca="false">H202*I202</f>
        <v>102.992</v>
      </c>
      <c r="K202" s="3"/>
    </row>
    <row r="203" customFormat="false" ht="19.5" hidden="false" customHeight="false" outlineLevel="0" collapsed="false">
      <c r="A203" s="3" t="s">
        <v>240</v>
      </c>
      <c r="B203" s="3" t="s">
        <v>219</v>
      </c>
      <c r="C203" s="3" t="s">
        <v>220</v>
      </c>
      <c r="D203" s="3" t="s">
        <v>8</v>
      </c>
      <c r="E203" s="3" t="n">
        <v>1400</v>
      </c>
      <c r="F203" s="3" t="n">
        <v>1020</v>
      </c>
      <c r="G203" s="3" t="n">
        <v>16</v>
      </c>
      <c r="H203" s="8" t="n">
        <f aca="false">(E203/1000)*(F203/1000)*(G203/1000)*7850</f>
        <v>179.3568</v>
      </c>
      <c r="I203" s="3" t="n">
        <v>2</v>
      </c>
      <c r="J203" s="9" t="n">
        <f aca="false">H203*I203</f>
        <v>358.7136</v>
      </c>
      <c r="K203" s="3"/>
    </row>
    <row r="204" customFormat="false" ht="19.5" hidden="false" customHeight="false" outlineLevel="0" collapsed="false">
      <c r="A204" s="3" t="s">
        <v>240</v>
      </c>
      <c r="B204" s="3" t="s">
        <v>219</v>
      </c>
      <c r="C204" s="3" t="s">
        <v>221</v>
      </c>
      <c r="D204" s="3" t="s">
        <v>8</v>
      </c>
      <c r="E204" s="3" t="n">
        <v>1020</v>
      </c>
      <c r="F204" s="3" t="n">
        <v>300</v>
      </c>
      <c r="G204" s="3" t="n">
        <v>16</v>
      </c>
      <c r="H204" s="8" t="n">
        <f aca="false">(E204/1000)*(F204/1000)*(G204/1000)*7850</f>
        <v>38.4336</v>
      </c>
      <c r="I204" s="3" t="n">
        <v>2</v>
      </c>
      <c r="J204" s="9" t="n">
        <f aca="false">H204*I204</f>
        <v>76.8672</v>
      </c>
      <c r="K204" s="3"/>
    </row>
    <row r="205" customFormat="false" ht="19.5" hidden="false" customHeight="false" outlineLevel="0" collapsed="false">
      <c r="A205" s="3" t="s">
        <v>240</v>
      </c>
      <c r="B205" s="3" t="s">
        <v>219</v>
      </c>
      <c r="C205" s="3" t="s">
        <v>222</v>
      </c>
      <c r="D205" s="3" t="s">
        <v>8</v>
      </c>
      <c r="E205" s="3" t="n">
        <v>1020</v>
      </c>
      <c r="F205" s="3" t="n">
        <v>500</v>
      </c>
      <c r="G205" s="3" t="n">
        <v>16</v>
      </c>
      <c r="H205" s="8" t="n">
        <f aca="false">(E205/1000)*(F205/1000)*(G205/1000)*7850</f>
        <v>64.056</v>
      </c>
      <c r="I205" s="3" t="n">
        <v>2</v>
      </c>
      <c r="J205" s="9" t="n">
        <f aca="false">H205*I205</f>
        <v>128.112</v>
      </c>
      <c r="K205" s="3"/>
    </row>
    <row r="206" customFormat="false" ht="19.5" hidden="false" customHeight="false" outlineLevel="0" collapsed="false">
      <c r="A206" s="3" t="s">
        <v>240</v>
      </c>
      <c r="B206" s="3" t="s">
        <v>219</v>
      </c>
      <c r="C206" s="3" t="s">
        <v>223</v>
      </c>
      <c r="D206" s="3" t="s">
        <v>8</v>
      </c>
      <c r="E206" s="3" t="n">
        <v>1020</v>
      </c>
      <c r="F206" s="3" t="n">
        <v>400</v>
      </c>
      <c r="G206" s="3" t="n">
        <v>16</v>
      </c>
      <c r="H206" s="8" t="n">
        <f aca="false">(E206/1000)*(F206/1000)*(G206/1000)*7850</f>
        <v>51.2448</v>
      </c>
      <c r="I206" s="3" t="n">
        <v>2</v>
      </c>
      <c r="J206" s="9" t="n">
        <f aca="false">H206*I206</f>
        <v>102.4896</v>
      </c>
      <c r="K206" s="3"/>
    </row>
    <row r="207" customFormat="false" ht="19.5" hidden="false" customHeight="false" outlineLevel="0" collapsed="false">
      <c r="A207" s="3" t="s">
        <v>240</v>
      </c>
      <c r="B207" s="3" t="s">
        <v>219</v>
      </c>
      <c r="C207" s="3" t="s">
        <v>224</v>
      </c>
      <c r="D207" s="3" t="s">
        <v>8</v>
      </c>
      <c r="E207" s="3" t="n">
        <v>1420</v>
      </c>
      <c r="F207" s="3" t="n">
        <v>1100</v>
      </c>
      <c r="G207" s="3" t="n">
        <v>28</v>
      </c>
      <c r="H207" s="8" t="n">
        <f aca="false">(E207/1000)*(F207/1000)*(G207/1000)*7850</f>
        <v>343.3276</v>
      </c>
      <c r="I207" s="3" t="n">
        <v>1</v>
      </c>
      <c r="J207" s="9" t="n">
        <f aca="false">H207*I207</f>
        <v>343.3276</v>
      </c>
      <c r="K207" s="3"/>
    </row>
    <row r="208" customFormat="false" ht="19.5" hidden="false" customHeight="false" outlineLevel="0" collapsed="false">
      <c r="A208" s="3" t="s">
        <v>240</v>
      </c>
      <c r="B208" s="3" t="s">
        <v>219</v>
      </c>
      <c r="C208" s="3" t="s">
        <v>225</v>
      </c>
      <c r="D208" s="3" t="s">
        <v>8</v>
      </c>
      <c r="E208" s="3" t="n">
        <v>1420</v>
      </c>
      <c r="F208" s="3" t="n">
        <v>400</v>
      </c>
      <c r="G208" s="3" t="n">
        <v>28</v>
      </c>
      <c r="H208" s="8" t="n">
        <f aca="false">(E208/1000)*(F208/1000)*(G208/1000)*7850</f>
        <v>124.8464</v>
      </c>
      <c r="I208" s="3" t="n">
        <v>2</v>
      </c>
      <c r="J208" s="9" t="n">
        <f aca="false">H208*I208</f>
        <v>249.6928</v>
      </c>
      <c r="K208" s="3"/>
    </row>
    <row r="209" customFormat="false" ht="19.5" hidden="false" customHeight="false" outlineLevel="0" collapsed="false">
      <c r="A209" s="3" t="s">
        <v>240</v>
      </c>
      <c r="B209" s="3" t="s">
        <v>219</v>
      </c>
      <c r="C209" s="3" t="s">
        <v>226</v>
      </c>
      <c r="D209" s="3" t="s">
        <v>8</v>
      </c>
      <c r="E209" s="3" t="n">
        <v>920</v>
      </c>
      <c r="F209" s="3" t="n">
        <v>200</v>
      </c>
      <c r="G209" s="3" t="n">
        <v>20</v>
      </c>
      <c r="H209" s="8" t="n">
        <f aca="false">(E209/1000)*(F209/1000)*(G209/1000)*7850</f>
        <v>28.888</v>
      </c>
      <c r="I209" s="3" t="n">
        <v>10</v>
      </c>
      <c r="J209" s="9" t="n">
        <f aca="false">H209*I209</f>
        <v>288.88</v>
      </c>
      <c r="K209" s="3"/>
    </row>
    <row r="210" customFormat="false" ht="19.5" hidden="false" customHeight="false" outlineLevel="0" collapsed="false">
      <c r="A210" s="3" t="s">
        <v>240</v>
      </c>
      <c r="B210" s="3" t="s">
        <v>219</v>
      </c>
      <c r="C210" s="3" t="s">
        <v>227</v>
      </c>
      <c r="D210" s="3" t="s">
        <v>8</v>
      </c>
      <c r="E210" s="3" t="n">
        <v>1800</v>
      </c>
      <c r="F210" s="3" t="n">
        <v>500</v>
      </c>
      <c r="G210" s="3" t="n">
        <v>20</v>
      </c>
      <c r="H210" s="8" t="n">
        <f aca="false">(E210/1000)*(F210/1000)*(G210/1000)*7850</f>
        <v>141.3</v>
      </c>
      <c r="I210" s="3" t="n">
        <v>2</v>
      </c>
      <c r="J210" s="9" t="n">
        <f aca="false">H210*I210</f>
        <v>282.6</v>
      </c>
      <c r="K210" s="3"/>
    </row>
    <row r="211" customFormat="false" ht="19.5" hidden="false" customHeight="false" outlineLevel="0" collapsed="false">
      <c r="A211" s="3" t="s">
        <v>241</v>
      </c>
      <c r="B211" s="3" t="s">
        <v>203</v>
      </c>
      <c r="C211" s="3" t="s">
        <v>204</v>
      </c>
      <c r="D211" s="3" t="s">
        <v>8</v>
      </c>
      <c r="E211" s="3" t="n">
        <v>1300</v>
      </c>
      <c r="F211" s="3" t="n">
        <v>820</v>
      </c>
      <c r="G211" s="3" t="n">
        <v>20</v>
      </c>
      <c r="H211" s="8" t="n">
        <f aca="false">(E211/1000)*(F211/1000)*(G211/1000)*7850</f>
        <v>167.362</v>
      </c>
      <c r="I211" s="3" t="n">
        <v>2</v>
      </c>
      <c r="J211" s="9" t="n">
        <f aca="false">H211*I211</f>
        <v>334.724</v>
      </c>
      <c r="K211" s="3"/>
    </row>
    <row r="212" customFormat="false" ht="19.5" hidden="false" customHeight="false" outlineLevel="0" collapsed="false">
      <c r="A212" s="3" t="s">
        <v>241</v>
      </c>
      <c r="B212" s="3" t="s">
        <v>203</v>
      </c>
      <c r="C212" s="3" t="s">
        <v>205</v>
      </c>
      <c r="D212" s="3" t="s">
        <v>8</v>
      </c>
      <c r="E212" s="3" t="n">
        <v>820</v>
      </c>
      <c r="F212" s="3" t="n">
        <v>600</v>
      </c>
      <c r="G212" s="3" t="n">
        <v>20</v>
      </c>
      <c r="H212" s="8" t="n">
        <f aca="false">(E212/1000)*(F212/1000)*(G212/1000)*7850</f>
        <v>77.244</v>
      </c>
      <c r="I212" s="3" t="n">
        <v>4</v>
      </c>
      <c r="J212" s="9" t="n">
        <f aca="false">H212*I212</f>
        <v>308.976</v>
      </c>
      <c r="K212" s="3"/>
    </row>
    <row r="213" customFormat="false" ht="19.5" hidden="false" customHeight="false" outlineLevel="0" collapsed="false">
      <c r="A213" s="3" t="s">
        <v>241</v>
      </c>
      <c r="B213" s="3" t="s">
        <v>203</v>
      </c>
      <c r="C213" s="3" t="s">
        <v>206</v>
      </c>
      <c r="D213" s="3" t="s">
        <v>8</v>
      </c>
      <c r="E213" s="3" t="n">
        <v>1120</v>
      </c>
      <c r="F213" s="3" t="n">
        <v>1100</v>
      </c>
      <c r="G213" s="3" t="n">
        <v>32</v>
      </c>
      <c r="H213" s="8" t="n">
        <f aca="false">(E213/1000)*(F213/1000)*(G213/1000)*7850</f>
        <v>309.4784</v>
      </c>
      <c r="I213" s="3" t="n">
        <v>1</v>
      </c>
      <c r="J213" s="9" t="n">
        <f aca="false">H213*I213</f>
        <v>309.4784</v>
      </c>
      <c r="K213" s="3"/>
    </row>
    <row r="214" customFormat="false" ht="19.5" hidden="false" customHeight="false" outlineLevel="0" collapsed="false">
      <c r="A214" s="3" t="s">
        <v>241</v>
      </c>
      <c r="B214" s="3" t="s">
        <v>203</v>
      </c>
      <c r="C214" s="3" t="s">
        <v>207</v>
      </c>
      <c r="D214" s="3" t="s">
        <v>8</v>
      </c>
      <c r="E214" s="3" t="n">
        <v>1120</v>
      </c>
      <c r="F214" s="3" t="n">
        <v>400</v>
      </c>
      <c r="G214" s="3" t="n">
        <v>32</v>
      </c>
      <c r="H214" s="8" t="n">
        <f aca="false">(E214/1000)*(F214/1000)*(G214/1000)*7850</f>
        <v>112.5376</v>
      </c>
      <c r="I214" s="3" t="n">
        <v>2</v>
      </c>
      <c r="J214" s="9" t="n">
        <f aca="false">H214*I214</f>
        <v>225.0752</v>
      </c>
      <c r="K214" s="3"/>
    </row>
    <row r="215" customFormat="false" ht="19.5" hidden="false" customHeight="false" outlineLevel="0" collapsed="false">
      <c r="A215" s="3" t="s">
        <v>241</v>
      </c>
      <c r="B215" s="3" t="s">
        <v>203</v>
      </c>
      <c r="C215" s="3" t="s">
        <v>208</v>
      </c>
      <c r="D215" s="3" t="s">
        <v>8</v>
      </c>
      <c r="E215" s="3" t="n">
        <v>920</v>
      </c>
      <c r="F215" s="3" t="n">
        <v>200</v>
      </c>
      <c r="G215" s="3" t="n">
        <v>20</v>
      </c>
      <c r="H215" s="8" t="n">
        <f aca="false">(E215/1000)*(F215/1000)*(G215/1000)*7850</f>
        <v>28.888</v>
      </c>
      <c r="I215" s="3" t="n">
        <v>6</v>
      </c>
      <c r="J215" s="9" t="n">
        <f aca="false">H215*I215</f>
        <v>173.328</v>
      </c>
      <c r="K215" s="3"/>
    </row>
    <row r="216" customFormat="false" ht="19.5" hidden="false" customHeight="false" outlineLevel="0" collapsed="false">
      <c r="A216" s="3" t="s">
        <v>241</v>
      </c>
      <c r="B216" s="3" t="s">
        <v>203</v>
      </c>
      <c r="C216" s="3" t="s">
        <v>209</v>
      </c>
      <c r="D216" s="3" t="s">
        <v>8</v>
      </c>
      <c r="E216" s="3" t="n">
        <v>1700</v>
      </c>
      <c r="F216" s="3" t="n">
        <v>400</v>
      </c>
      <c r="G216" s="3" t="n">
        <v>16</v>
      </c>
      <c r="H216" s="8" t="n">
        <f aca="false">(E216/1000)*(F216/1000)*(G216/1000)*7850</f>
        <v>85.408</v>
      </c>
      <c r="I216" s="3" t="n">
        <v>2</v>
      </c>
      <c r="J216" s="9" t="n">
        <f aca="false">H216*I216</f>
        <v>170.816</v>
      </c>
      <c r="K216" s="3"/>
    </row>
    <row r="217" customFormat="false" ht="15" hidden="false" customHeight="false" outlineLevel="0" collapsed="false">
      <c r="A217" s="3" t="s">
        <v>241</v>
      </c>
      <c r="B217" s="3" t="s">
        <v>210</v>
      </c>
      <c r="C217" s="3" t="s">
        <v>211</v>
      </c>
      <c r="D217" s="3" t="s">
        <v>8</v>
      </c>
      <c r="E217" s="3" t="n">
        <v>1320</v>
      </c>
      <c r="F217" s="3" t="n">
        <v>900</v>
      </c>
      <c r="G217" s="3" t="n">
        <v>28</v>
      </c>
      <c r="H217" s="8" t="n">
        <f aca="false">(E217/1000)*(F217/1000)*(G217/1000)*7850</f>
        <v>261.1224</v>
      </c>
      <c r="I217" s="3" t="n">
        <v>2</v>
      </c>
      <c r="J217" s="9" t="n">
        <f aca="false">H217*I217</f>
        <v>522.2448</v>
      </c>
      <c r="K217" s="3"/>
    </row>
    <row r="218" customFormat="false" ht="15" hidden="false" customHeight="false" outlineLevel="0" collapsed="false">
      <c r="A218" s="3" t="s">
        <v>241</v>
      </c>
      <c r="B218" s="3" t="s">
        <v>210</v>
      </c>
      <c r="C218" s="3" t="s">
        <v>212</v>
      </c>
      <c r="D218" s="3" t="s">
        <v>8</v>
      </c>
      <c r="E218" s="3" t="n">
        <v>1320</v>
      </c>
      <c r="F218" s="3" t="n">
        <v>400</v>
      </c>
      <c r="G218" s="3" t="n">
        <v>28</v>
      </c>
      <c r="H218" s="8" t="n">
        <f aca="false">(E218/1000)*(F218/1000)*(G218/1000)*7850</f>
        <v>116.0544</v>
      </c>
      <c r="I218" s="3" t="n">
        <v>4</v>
      </c>
      <c r="J218" s="9" t="n">
        <f aca="false">H218*I218</f>
        <v>464.2176</v>
      </c>
      <c r="K218" s="3"/>
    </row>
    <row r="219" customFormat="false" ht="15" hidden="false" customHeight="false" outlineLevel="0" collapsed="false">
      <c r="A219" s="3" t="s">
        <v>241</v>
      </c>
      <c r="B219" s="3" t="s">
        <v>210</v>
      </c>
      <c r="C219" s="3" t="s">
        <v>213</v>
      </c>
      <c r="D219" s="3" t="s">
        <v>8</v>
      </c>
      <c r="E219" s="3" t="n">
        <v>1320</v>
      </c>
      <c r="F219" s="3" t="n">
        <v>500</v>
      </c>
      <c r="G219" s="3" t="n">
        <v>28</v>
      </c>
      <c r="H219" s="8" t="n">
        <f aca="false">(E219/1000)*(F219/1000)*(G219/1000)*7850</f>
        <v>145.068</v>
      </c>
      <c r="I219" s="3" t="n">
        <v>4</v>
      </c>
      <c r="J219" s="9" t="n">
        <f aca="false">H219*I219</f>
        <v>580.272</v>
      </c>
      <c r="K219" s="3"/>
    </row>
    <row r="220" customFormat="false" ht="15" hidden="false" customHeight="false" outlineLevel="0" collapsed="false">
      <c r="A220" s="3" t="s">
        <v>241</v>
      </c>
      <c r="B220" s="3" t="s">
        <v>210</v>
      </c>
      <c r="C220" s="3" t="s">
        <v>214</v>
      </c>
      <c r="D220" s="3" t="s">
        <v>8</v>
      </c>
      <c r="E220" s="3" t="n">
        <v>820</v>
      </c>
      <c r="F220" s="3" t="n">
        <v>200</v>
      </c>
      <c r="G220" s="3" t="n">
        <v>20</v>
      </c>
      <c r="H220" s="8" t="n">
        <f aca="false">(E220/1000)*(F220/1000)*(G220/1000)*7850</f>
        <v>25.748</v>
      </c>
      <c r="I220" s="3" t="n">
        <v>4</v>
      </c>
      <c r="J220" s="9" t="n">
        <f aca="false">H220*I220</f>
        <v>102.992</v>
      </c>
      <c r="K220" s="3"/>
    </row>
    <row r="221" customFormat="false" ht="19.5" hidden="false" customHeight="false" outlineLevel="0" collapsed="false">
      <c r="A221" s="3" t="s">
        <v>241</v>
      </c>
      <c r="B221" s="3" t="s">
        <v>219</v>
      </c>
      <c r="C221" s="3" t="s">
        <v>220</v>
      </c>
      <c r="D221" s="3" t="s">
        <v>8</v>
      </c>
      <c r="E221" s="3" t="n">
        <v>1400</v>
      </c>
      <c r="F221" s="3" t="n">
        <v>1020</v>
      </c>
      <c r="G221" s="3" t="n">
        <v>16</v>
      </c>
      <c r="H221" s="8" t="n">
        <f aca="false">(E221/1000)*(F221/1000)*(G221/1000)*7850</f>
        <v>179.3568</v>
      </c>
      <c r="I221" s="3" t="n">
        <v>2</v>
      </c>
      <c r="J221" s="9" t="n">
        <f aca="false">H221*I221</f>
        <v>358.7136</v>
      </c>
      <c r="K221" s="3"/>
    </row>
    <row r="222" customFormat="false" ht="19.5" hidden="false" customHeight="false" outlineLevel="0" collapsed="false">
      <c r="A222" s="3" t="s">
        <v>241</v>
      </c>
      <c r="B222" s="3" t="s">
        <v>219</v>
      </c>
      <c r="C222" s="3" t="s">
        <v>221</v>
      </c>
      <c r="D222" s="3" t="s">
        <v>8</v>
      </c>
      <c r="E222" s="3" t="n">
        <v>1020</v>
      </c>
      <c r="F222" s="3" t="n">
        <v>300</v>
      </c>
      <c r="G222" s="3" t="n">
        <v>16</v>
      </c>
      <c r="H222" s="8" t="n">
        <f aca="false">(E222/1000)*(F222/1000)*(G222/1000)*7850</f>
        <v>38.4336</v>
      </c>
      <c r="I222" s="3" t="n">
        <v>2</v>
      </c>
      <c r="J222" s="9" t="n">
        <f aca="false">H222*I222</f>
        <v>76.8672</v>
      </c>
      <c r="K222" s="3"/>
    </row>
    <row r="223" customFormat="false" ht="19.5" hidden="false" customHeight="false" outlineLevel="0" collapsed="false">
      <c r="A223" s="3" t="s">
        <v>241</v>
      </c>
      <c r="B223" s="3" t="s">
        <v>219</v>
      </c>
      <c r="C223" s="3" t="s">
        <v>222</v>
      </c>
      <c r="D223" s="3" t="s">
        <v>8</v>
      </c>
      <c r="E223" s="3" t="n">
        <v>1020</v>
      </c>
      <c r="F223" s="3" t="n">
        <v>500</v>
      </c>
      <c r="G223" s="3" t="n">
        <v>16</v>
      </c>
      <c r="H223" s="8" t="n">
        <f aca="false">(E223/1000)*(F223/1000)*(G223/1000)*7850</f>
        <v>64.056</v>
      </c>
      <c r="I223" s="3" t="n">
        <v>2</v>
      </c>
      <c r="J223" s="9" t="n">
        <f aca="false">H223*I223</f>
        <v>128.112</v>
      </c>
      <c r="K223" s="3"/>
    </row>
    <row r="224" customFormat="false" ht="19.5" hidden="false" customHeight="false" outlineLevel="0" collapsed="false">
      <c r="A224" s="3" t="s">
        <v>241</v>
      </c>
      <c r="B224" s="3" t="s">
        <v>219</v>
      </c>
      <c r="C224" s="3" t="s">
        <v>223</v>
      </c>
      <c r="D224" s="3" t="s">
        <v>8</v>
      </c>
      <c r="E224" s="3" t="n">
        <v>1020</v>
      </c>
      <c r="F224" s="3" t="n">
        <v>400</v>
      </c>
      <c r="G224" s="3" t="n">
        <v>16</v>
      </c>
      <c r="H224" s="8" t="n">
        <f aca="false">(E224/1000)*(F224/1000)*(G224/1000)*7850</f>
        <v>51.2448</v>
      </c>
      <c r="I224" s="3" t="n">
        <v>2</v>
      </c>
      <c r="J224" s="9" t="n">
        <f aca="false">H224*I224</f>
        <v>102.4896</v>
      </c>
      <c r="K224" s="3"/>
    </row>
    <row r="225" customFormat="false" ht="19.5" hidden="false" customHeight="false" outlineLevel="0" collapsed="false">
      <c r="A225" s="3" t="s">
        <v>241</v>
      </c>
      <c r="B225" s="3" t="s">
        <v>219</v>
      </c>
      <c r="C225" s="3" t="s">
        <v>224</v>
      </c>
      <c r="D225" s="3" t="s">
        <v>8</v>
      </c>
      <c r="E225" s="3" t="n">
        <v>1420</v>
      </c>
      <c r="F225" s="3" t="n">
        <v>1100</v>
      </c>
      <c r="G225" s="3" t="n">
        <v>28</v>
      </c>
      <c r="H225" s="8" t="n">
        <f aca="false">(E225/1000)*(F225/1000)*(G225/1000)*7850</f>
        <v>343.3276</v>
      </c>
      <c r="I225" s="3" t="n">
        <v>1</v>
      </c>
      <c r="J225" s="9" t="n">
        <f aca="false">H225*I225</f>
        <v>343.3276</v>
      </c>
      <c r="K225" s="3"/>
    </row>
    <row r="226" customFormat="false" ht="19.5" hidden="false" customHeight="false" outlineLevel="0" collapsed="false">
      <c r="A226" s="3" t="s">
        <v>241</v>
      </c>
      <c r="B226" s="3" t="s">
        <v>219</v>
      </c>
      <c r="C226" s="3" t="s">
        <v>225</v>
      </c>
      <c r="D226" s="3" t="s">
        <v>8</v>
      </c>
      <c r="E226" s="3" t="n">
        <v>1420</v>
      </c>
      <c r="F226" s="3" t="n">
        <v>400</v>
      </c>
      <c r="G226" s="3" t="n">
        <v>28</v>
      </c>
      <c r="H226" s="8" t="n">
        <f aca="false">(E226/1000)*(F226/1000)*(G226/1000)*7850</f>
        <v>124.8464</v>
      </c>
      <c r="I226" s="3" t="n">
        <v>2</v>
      </c>
      <c r="J226" s="9" t="n">
        <f aca="false">H226*I226</f>
        <v>249.6928</v>
      </c>
      <c r="K226" s="3"/>
    </row>
    <row r="227" customFormat="false" ht="19.5" hidden="false" customHeight="false" outlineLevel="0" collapsed="false">
      <c r="A227" s="3" t="s">
        <v>241</v>
      </c>
      <c r="B227" s="3" t="s">
        <v>219</v>
      </c>
      <c r="C227" s="3" t="s">
        <v>226</v>
      </c>
      <c r="D227" s="3" t="s">
        <v>8</v>
      </c>
      <c r="E227" s="3" t="n">
        <v>920</v>
      </c>
      <c r="F227" s="3" t="n">
        <v>200</v>
      </c>
      <c r="G227" s="3" t="n">
        <v>20</v>
      </c>
      <c r="H227" s="8" t="n">
        <f aca="false">(E227/1000)*(F227/1000)*(G227/1000)*7850</f>
        <v>28.888</v>
      </c>
      <c r="I227" s="3" t="n">
        <v>10</v>
      </c>
      <c r="J227" s="9" t="n">
        <f aca="false">H227*I227</f>
        <v>288.88</v>
      </c>
      <c r="K227" s="3"/>
    </row>
    <row r="228" customFormat="false" ht="19.5" hidden="false" customHeight="false" outlineLevel="0" collapsed="false">
      <c r="A228" s="3" t="s">
        <v>241</v>
      </c>
      <c r="B228" s="3" t="s">
        <v>219</v>
      </c>
      <c r="C228" s="3" t="s">
        <v>227</v>
      </c>
      <c r="D228" s="3" t="s">
        <v>8</v>
      </c>
      <c r="E228" s="3" t="n">
        <v>1800</v>
      </c>
      <c r="F228" s="3" t="n">
        <v>500</v>
      </c>
      <c r="G228" s="3" t="n">
        <v>20</v>
      </c>
      <c r="H228" s="8" t="n">
        <f aca="false">(E228/1000)*(F228/1000)*(G228/1000)*7850</f>
        <v>141.3</v>
      </c>
      <c r="I228" s="3" t="n">
        <v>2</v>
      </c>
      <c r="J228" s="9" t="n">
        <f aca="false">H228*I228</f>
        <v>282.6</v>
      </c>
      <c r="K228" s="3"/>
    </row>
    <row r="229" customFormat="false" ht="19.5" hidden="false" customHeight="false" outlineLevel="0" collapsed="false">
      <c r="A229" s="3" t="s">
        <v>242</v>
      </c>
      <c r="B229" s="3" t="s">
        <v>203</v>
      </c>
      <c r="C229" s="3" t="s">
        <v>204</v>
      </c>
      <c r="D229" s="3" t="s">
        <v>8</v>
      </c>
      <c r="E229" s="3" t="n">
        <v>1300</v>
      </c>
      <c r="F229" s="3" t="n">
        <v>820</v>
      </c>
      <c r="G229" s="3" t="n">
        <v>20</v>
      </c>
      <c r="H229" s="8" t="n">
        <f aca="false">(E229/1000)*(F229/1000)*(G229/1000)*7850</f>
        <v>167.362</v>
      </c>
      <c r="I229" s="3" t="n">
        <v>2</v>
      </c>
      <c r="J229" s="9" t="n">
        <f aca="false">H229*I229</f>
        <v>334.724</v>
      </c>
      <c r="K229" s="3"/>
    </row>
    <row r="230" customFormat="false" ht="19.5" hidden="false" customHeight="false" outlineLevel="0" collapsed="false">
      <c r="A230" s="3" t="s">
        <v>242</v>
      </c>
      <c r="B230" s="3" t="s">
        <v>203</v>
      </c>
      <c r="C230" s="3" t="s">
        <v>205</v>
      </c>
      <c r="D230" s="3" t="s">
        <v>8</v>
      </c>
      <c r="E230" s="3" t="n">
        <v>820</v>
      </c>
      <c r="F230" s="3" t="n">
        <v>600</v>
      </c>
      <c r="G230" s="3" t="n">
        <v>20</v>
      </c>
      <c r="H230" s="8" t="n">
        <f aca="false">(E230/1000)*(F230/1000)*(G230/1000)*7850</f>
        <v>77.244</v>
      </c>
      <c r="I230" s="3" t="n">
        <v>4</v>
      </c>
      <c r="J230" s="9" t="n">
        <f aca="false">H230*I230</f>
        <v>308.976</v>
      </c>
      <c r="K230" s="3"/>
    </row>
    <row r="231" customFormat="false" ht="19.5" hidden="false" customHeight="false" outlineLevel="0" collapsed="false">
      <c r="A231" s="3" t="s">
        <v>242</v>
      </c>
      <c r="B231" s="3" t="s">
        <v>203</v>
      </c>
      <c r="C231" s="3" t="s">
        <v>206</v>
      </c>
      <c r="D231" s="3" t="s">
        <v>8</v>
      </c>
      <c r="E231" s="3" t="n">
        <v>1120</v>
      </c>
      <c r="F231" s="3" t="n">
        <v>1100</v>
      </c>
      <c r="G231" s="3" t="n">
        <v>32</v>
      </c>
      <c r="H231" s="8" t="n">
        <f aca="false">(E231/1000)*(F231/1000)*(G231/1000)*7850</f>
        <v>309.4784</v>
      </c>
      <c r="I231" s="3" t="n">
        <v>1</v>
      </c>
      <c r="J231" s="9" t="n">
        <f aca="false">H231*I231</f>
        <v>309.4784</v>
      </c>
      <c r="K231" s="3"/>
    </row>
    <row r="232" customFormat="false" ht="19.5" hidden="false" customHeight="false" outlineLevel="0" collapsed="false">
      <c r="A232" s="3" t="s">
        <v>242</v>
      </c>
      <c r="B232" s="3" t="s">
        <v>203</v>
      </c>
      <c r="C232" s="3" t="s">
        <v>207</v>
      </c>
      <c r="D232" s="3" t="s">
        <v>8</v>
      </c>
      <c r="E232" s="3" t="n">
        <v>1120</v>
      </c>
      <c r="F232" s="3" t="n">
        <v>400</v>
      </c>
      <c r="G232" s="3" t="n">
        <v>32</v>
      </c>
      <c r="H232" s="8" t="n">
        <f aca="false">(E232/1000)*(F232/1000)*(G232/1000)*7850</f>
        <v>112.5376</v>
      </c>
      <c r="I232" s="3" t="n">
        <v>2</v>
      </c>
      <c r="J232" s="9" t="n">
        <f aca="false">H232*I232</f>
        <v>225.0752</v>
      </c>
      <c r="K232" s="3"/>
    </row>
    <row r="233" customFormat="false" ht="19.5" hidden="false" customHeight="false" outlineLevel="0" collapsed="false">
      <c r="A233" s="3" t="s">
        <v>242</v>
      </c>
      <c r="B233" s="3" t="s">
        <v>203</v>
      </c>
      <c r="C233" s="3" t="s">
        <v>208</v>
      </c>
      <c r="D233" s="3" t="s">
        <v>8</v>
      </c>
      <c r="E233" s="3" t="n">
        <v>920</v>
      </c>
      <c r="F233" s="3" t="n">
        <v>200</v>
      </c>
      <c r="G233" s="3" t="n">
        <v>20</v>
      </c>
      <c r="H233" s="8" t="n">
        <f aca="false">(E233/1000)*(F233/1000)*(G233/1000)*7850</f>
        <v>28.888</v>
      </c>
      <c r="I233" s="3" t="n">
        <v>6</v>
      </c>
      <c r="J233" s="9" t="n">
        <f aca="false">H233*I233</f>
        <v>173.328</v>
      </c>
      <c r="K233" s="3"/>
    </row>
    <row r="234" customFormat="false" ht="19.5" hidden="false" customHeight="false" outlineLevel="0" collapsed="false">
      <c r="A234" s="3" t="s">
        <v>242</v>
      </c>
      <c r="B234" s="3" t="s">
        <v>203</v>
      </c>
      <c r="C234" s="3" t="s">
        <v>209</v>
      </c>
      <c r="D234" s="3" t="s">
        <v>8</v>
      </c>
      <c r="E234" s="3" t="n">
        <v>1700</v>
      </c>
      <c r="F234" s="3" t="n">
        <v>400</v>
      </c>
      <c r="G234" s="3" t="n">
        <v>16</v>
      </c>
      <c r="H234" s="8" t="n">
        <f aca="false">(E234/1000)*(F234/1000)*(G234/1000)*7850</f>
        <v>85.408</v>
      </c>
      <c r="I234" s="3" t="n">
        <v>2</v>
      </c>
      <c r="J234" s="9" t="n">
        <f aca="false">H234*I234</f>
        <v>170.816</v>
      </c>
      <c r="K234" s="3"/>
    </row>
    <row r="235" customFormat="false" ht="15" hidden="false" customHeight="false" outlineLevel="0" collapsed="false">
      <c r="A235" s="3" t="s">
        <v>242</v>
      </c>
      <c r="B235" s="3" t="s">
        <v>210</v>
      </c>
      <c r="C235" s="3" t="s">
        <v>211</v>
      </c>
      <c r="D235" s="3" t="s">
        <v>8</v>
      </c>
      <c r="E235" s="3" t="n">
        <v>1520</v>
      </c>
      <c r="F235" s="3" t="n">
        <v>1100</v>
      </c>
      <c r="G235" s="3" t="n">
        <v>24</v>
      </c>
      <c r="H235" s="8" t="n">
        <f aca="false">(E235/1000)*(F235/1000)*(G235/1000)*7850</f>
        <v>315.0048</v>
      </c>
      <c r="I235" s="3" t="n">
        <v>2</v>
      </c>
      <c r="J235" s="9" t="n">
        <f aca="false">H235*I235</f>
        <v>630.0096</v>
      </c>
      <c r="K235" s="3"/>
    </row>
    <row r="236" customFormat="false" ht="15" hidden="false" customHeight="false" outlineLevel="0" collapsed="false">
      <c r="A236" s="3" t="s">
        <v>242</v>
      </c>
      <c r="B236" s="3" t="s">
        <v>210</v>
      </c>
      <c r="C236" s="3" t="s">
        <v>212</v>
      </c>
      <c r="D236" s="3" t="s">
        <v>8</v>
      </c>
      <c r="E236" s="3" t="n">
        <v>1520</v>
      </c>
      <c r="F236" s="3" t="n">
        <v>500</v>
      </c>
      <c r="G236" s="3" t="n">
        <v>24</v>
      </c>
      <c r="H236" s="8" t="n">
        <f aca="false">(E236/1000)*(F236/1000)*(G236/1000)*7850</f>
        <v>143.184</v>
      </c>
      <c r="I236" s="3" t="n">
        <v>4</v>
      </c>
      <c r="J236" s="9" t="n">
        <f aca="false">H236*I236</f>
        <v>572.736</v>
      </c>
      <c r="K236" s="3"/>
    </row>
    <row r="237" customFormat="false" ht="15" hidden="false" customHeight="false" outlineLevel="0" collapsed="false">
      <c r="A237" s="3" t="s">
        <v>242</v>
      </c>
      <c r="B237" s="3" t="s">
        <v>210</v>
      </c>
      <c r="C237" s="3" t="s">
        <v>213</v>
      </c>
      <c r="D237" s="3" t="s">
        <v>8</v>
      </c>
      <c r="E237" s="3" t="n">
        <v>1320</v>
      </c>
      <c r="F237" s="3" t="n">
        <v>1100</v>
      </c>
      <c r="G237" s="3" t="n">
        <v>28</v>
      </c>
      <c r="H237" s="8" t="n">
        <f aca="false">(E237/1000)*(F237/1000)*(G237/1000)*7850</f>
        <v>319.1496</v>
      </c>
      <c r="I237" s="3" t="n">
        <v>1</v>
      </c>
      <c r="J237" s="9" t="n">
        <f aca="false">H237*I237</f>
        <v>319.1496</v>
      </c>
      <c r="K237" s="3"/>
    </row>
    <row r="238" customFormat="false" ht="15" hidden="false" customHeight="false" outlineLevel="0" collapsed="false">
      <c r="A238" s="3" t="s">
        <v>242</v>
      </c>
      <c r="B238" s="3" t="s">
        <v>210</v>
      </c>
      <c r="C238" s="3" t="s">
        <v>214</v>
      </c>
      <c r="D238" s="3" t="s">
        <v>8</v>
      </c>
      <c r="E238" s="3" t="n">
        <v>1320</v>
      </c>
      <c r="F238" s="3" t="n">
        <v>500</v>
      </c>
      <c r="G238" s="3" t="n">
        <v>28</v>
      </c>
      <c r="H238" s="8" t="n">
        <f aca="false">(E238/1000)*(F238/1000)*(G238/1000)*7850</f>
        <v>145.068</v>
      </c>
      <c r="I238" s="3" t="n">
        <v>2</v>
      </c>
      <c r="J238" s="9" t="n">
        <f aca="false">H238*I238</f>
        <v>290.136</v>
      </c>
      <c r="K238" s="3"/>
    </row>
    <row r="239" customFormat="false" ht="15" hidden="false" customHeight="false" outlineLevel="0" collapsed="false">
      <c r="A239" s="3" t="s">
        <v>242</v>
      </c>
      <c r="B239" s="3" t="s">
        <v>210</v>
      </c>
      <c r="C239" s="3" t="s">
        <v>215</v>
      </c>
      <c r="D239" s="3" t="s">
        <v>8</v>
      </c>
      <c r="E239" s="3" t="n">
        <v>1520</v>
      </c>
      <c r="F239" s="3" t="n">
        <v>1100</v>
      </c>
      <c r="G239" s="3" t="n">
        <v>44</v>
      </c>
      <c r="H239" s="8" t="n">
        <f aca="false">(E239/1000)*(F239/1000)*(G239/1000)*7850</f>
        <v>577.5088</v>
      </c>
      <c r="I239" s="3" t="n">
        <v>1</v>
      </c>
      <c r="J239" s="9" t="n">
        <f aca="false">H239*I239</f>
        <v>577.5088</v>
      </c>
      <c r="K239" s="3"/>
    </row>
    <row r="240" customFormat="false" ht="15" hidden="false" customHeight="false" outlineLevel="0" collapsed="false">
      <c r="A240" s="3" t="s">
        <v>242</v>
      </c>
      <c r="B240" s="3" t="s">
        <v>210</v>
      </c>
      <c r="C240" s="3" t="s">
        <v>216</v>
      </c>
      <c r="D240" s="3" t="s">
        <v>8</v>
      </c>
      <c r="E240" s="3" t="n">
        <v>1520</v>
      </c>
      <c r="F240" s="3" t="n">
        <v>240</v>
      </c>
      <c r="G240" s="3" t="n">
        <v>44</v>
      </c>
      <c r="H240" s="8" t="n">
        <f aca="false">(E240/1000)*(F240/1000)*(G240/1000)*7850</f>
        <v>126.00192</v>
      </c>
      <c r="I240" s="3" t="n">
        <v>2</v>
      </c>
      <c r="J240" s="9" t="n">
        <f aca="false">H240*I240</f>
        <v>252.00384</v>
      </c>
      <c r="K240" s="3"/>
    </row>
    <row r="241" customFormat="false" ht="15" hidden="false" customHeight="false" outlineLevel="0" collapsed="false">
      <c r="A241" s="3" t="s">
        <v>242</v>
      </c>
      <c r="B241" s="3" t="s">
        <v>210</v>
      </c>
      <c r="C241" s="3" t="s">
        <v>217</v>
      </c>
      <c r="D241" s="3" t="s">
        <v>8</v>
      </c>
      <c r="E241" s="3" t="n">
        <v>1220</v>
      </c>
      <c r="F241" s="3" t="n">
        <v>240</v>
      </c>
      <c r="G241" s="3" t="n">
        <v>24</v>
      </c>
      <c r="H241" s="8" t="n">
        <f aca="false">(E241/1000)*(F241/1000)*(G241/1000)*7850</f>
        <v>55.16352</v>
      </c>
      <c r="I241" s="3" t="n">
        <v>4</v>
      </c>
      <c r="J241" s="9" t="n">
        <f aca="false">H241*I241</f>
        <v>220.65408</v>
      </c>
      <c r="K241" s="3"/>
    </row>
    <row r="242" customFormat="false" ht="15" hidden="false" customHeight="false" outlineLevel="0" collapsed="false">
      <c r="A242" s="3" t="s">
        <v>242</v>
      </c>
      <c r="B242" s="3" t="s">
        <v>210</v>
      </c>
      <c r="C242" s="3" t="s">
        <v>218</v>
      </c>
      <c r="D242" s="3" t="s">
        <v>8</v>
      </c>
      <c r="E242" s="3" t="n">
        <v>1320</v>
      </c>
      <c r="F242" s="3" t="n">
        <v>240</v>
      </c>
      <c r="G242" s="3" t="n">
        <v>24</v>
      </c>
      <c r="H242" s="8" t="n">
        <f aca="false">(E242/1000)*(F242/1000)*(G242/1000)*7850</f>
        <v>59.68512</v>
      </c>
      <c r="I242" s="3" t="n">
        <v>2</v>
      </c>
      <c r="J242" s="9" t="n">
        <f aca="false">H242*I242</f>
        <v>119.37024</v>
      </c>
      <c r="K242" s="3"/>
    </row>
    <row r="243" customFormat="false" ht="19.5" hidden="false" customHeight="false" outlineLevel="0" collapsed="false">
      <c r="A243" s="3" t="s">
        <v>242</v>
      </c>
      <c r="B243" s="3" t="s">
        <v>219</v>
      </c>
      <c r="C243" s="3" t="s">
        <v>220</v>
      </c>
      <c r="D243" s="3" t="s">
        <v>8</v>
      </c>
      <c r="E243" s="3" t="n">
        <v>1400</v>
      </c>
      <c r="F243" s="3" t="n">
        <v>1220</v>
      </c>
      <c r="G243" s="3" t="n">
        <v>28</v>
      </c>
      <c r="H243" s="8" t="n">
        <f aca="false">(E243/1000)*(F243/1000)*(G243/1000)*7850</f>
        <v>375.4184</v>
      </c>
      <c r="I243" s="3" t="n">
        <v>2</v>
      </c>
      <c r="J243" s="9" t="n">
        <f aca="false">H243*I243</f>
        <v>750.8368</v>
      </c>
      <c r="K243" s="3"/>
    </row>
    <row r="244" customFormat="false" ht="19.5" hidden="false" customHeight="false" outlineLevel="0" collapsed="false">
      <c r="A244" s="3" t="s">
        <v>242</v>
      </c>
      <c r="B244" s="3" t="s">
        <v>219</v>
      </c>
      <c r="C244" s="3" t="s">
        <v>221</v>
      </c>
      <c r="D244" s="3" t="s">
        <v>8</v>
      </c>
      <c r="E244" s="3" t="n">
        <v>1220</v>
      </c>
      <c r="F244" s="3" t="n">
        <v>300</v>
      </c>
      <c r="G244" s="3" t="n">
        <v>28</v>
      </c>
      <c r="H244" s="8" t="n">
        <f aca="false">(E244/1000)*(F244/1000)*(G244/1000)*7850</f>
        <v>80.4468</v>
      </c>
      <c r="I244" s="3" t="n">
        <v>2</v>
      </c>
      <c r="J244" s="9" t="n">
        <f aca="false">H244*I244</f>
        <v>160.8936</v>
      </c>
      <c r="K244" s="3"/>
    </row>
    <row r="245" customFormat="false" ht="19.5" hidden="false" customHeight="false" outlineLevel="0" collapsed="false">
      <c r="A245" s="3" t="s">
        <v>242</v>
      </c>
      <c r="B245" s="3" t="s">
        <v>219</v>
      </c>
      <c r="C245" s="3" t="s">
        <v>222</v>
      </c>
      <c r="D245" s="3" t="s">
        <v>8</v>
      </c>
      <c r="E245" s="3" t="n">
        <v>1220</v>
      </c>
      <c r="F245" s="3" t="n">
        <v>500</v>
      </c>
      <c r="G245" s="3" t="n">
        <v>28</v>
      </c>
      <c r="H245" s="8" t="n">
        <f aca="false">(E245/1000)*(F245/1000)*(G245/1000)*7850</f>
        <v>134.078</v>
      </c>
      <c r="I245" s="3" t="n">
        <v>2</v>
      </c>
      <c r="J245" s="9" t="n">
        <f aca="false">H245*I245</f>
        <v>268.156</v>
      </c>
      <c r="K245" s="3"/>
    </row>
    <row r="246" customFormat="false" ht="19.5" hidden="false" customHeight="false" outlineLevel="0" collapsed="false">
      <c r="A246" s="3" t="s">
        <v>242</v>
      </c>
      <c r="B246" s="3" t="s">
        <v>219</v>
      </c>
      <c r="C246" s="3" t="s">
        <v>223</v>
      </c>
      <c r="D246" s="3" t="s">
        <v>8</v>
      </c>
      <c r="E246" s="3" t="n">
        <v>1220</v>
      </c>
      <c r="F246" s="3" t="n">
        <v>400</v>
      </c>
      <c r="G246" s="3" t="n">
        <v>28</v>
      </c>
      <c r="H246" s="8" t="n">
        <f aca="false">(E246/1000)*(F246/1000)*(G246/1000)*7850</f>
        <v>107.2624</v>
      </c>
      <c r="I246" s="3" t="n">
        <v>2</v>
      </c>
      <c r="J246" s="9" t="n">
        <f aca="false">H246*I246</f>
        <v>214.5248</v>
      </c>
      <c r="K246" s="3"/>
    </row>
    <row r="247" customFormat="false" ht="19.5" hidden="false" customHeight="false" outlineLevel="0" collapsed="false">
      <c r="A247" s="3" t="s">
        <v>242</v>
      </c>
      <c r="B247" s="3" t="s">
        <v>219</v>
      </c>
      <c r="C247" s="3" t="s">
        <v>224</v>
      </c>
      <c r="D247" s="3" t="s">
        <v>8</v>
      </c>
      <c r="E247" s="3" t="n">
        <v>1420</v>
      </c>
      <c r="F247" s="3" t="n">
        <v>1100</v>
      </c>
      <c r="G247" s="3" t="n">
        <v>32</v>
      </c>
      <c r="H247" s="8" t="n">
        <f aca="false">(E247/1000)*(F247/1000)*(G247/1000)*7850</f>
        <v>392.3744</v>
      </c>
      <c r="I247" s="3" t="n">
        <v>1</v>
      </c>
      <c r="J247" s="9" t="n">
        <f aca="false">H247*I247</f>
        <v>392.3744</v>
      </c>
      <c r="K247" s="3"/>
    </row>
    <row r="248" customFormat="false" ht="19.5" hidden="false" customHeight="false" outlineLevel="0" collapsed="false">
      <c r="A248" s="3" t="s">
        <v>242</v>
      </c>
      <c r="B248" s="3" t="s">
        <v>219</v>
      </c>
      <c r="C248" s="3" t="s">
        <v>225</v>
      </c>
      <c r="D248" s="3" t="s">
        <v>8</v>
      </c>
      <c r="E248" s="3" t="n">
        <v>1420</v>
      </c>
      <c r="F248" s="3" t="n">
        <v>400</v>
      </c>
      <c r="G248" s="3" t="n">
        <v>32</v>
      </c>
      <c r="H248" s="8" t="n">
        <f aca="false">(E248/1000)*(F248/1000)*(G248/1000)*7850</f>
        <v>142.6816</v>
      </c>
      <c r="I248" s="3" t="n">
        <v>2</v>
      </c>
      <c r="J248" s="9" t="n">
        <f aca="false">H248*I248</f>
        <v>285.3632</v>
      </c>
      <c r="K248" s="3"/>
    </row>
    <row r="249" customFormat="false" ht="19.5" hidden="false" customHeight="false" outlineLevel="0" collapsed="false">
      <c r="A249" s="3" t="s">
        <v>242</v>
      </c>
      <c r="B249" s="3" t="s">
        <v>219</v>
      </c>
      <c r="C249" s="3" t="s">
        <v>226</v>
      </c>
      <c r="D249" s="3" t="s">
        <v>8</v>
      </c>
      <c r="E249" s="3" t="n">
        <v>920</v>
      </c>
      <c r="F249" s="3" t="n">
        <v>200</v>
      </c>
      <c r="G249" s="3" t="n">
        <v>20</v>
      </c>
      <c r="H249" s="8" t="n">
        <f aca="false">(E249/1000)*(F249/1000)*(G249/1000)*7850</f>
        <v>28.888</v>
      </c>
      <c r="I249" s="3" t="n">
        <v>10</v>
      </c>
      <c r="J249" s="9" t="n">
        <f aca="false">H249*I249</f>
        <v>288.88</v>
      </c>
      <c r="K249" s="3"/>
    </row>
    <row r="250" customFormat="false" ht="19.5" hidden="false" customHeight="false" outlineLevel="0" collapsed="false">
      <c r="A250" s="3" t="s">
        <v>242</v>
      </c>
      <c r="B250" s="3" t="s">
        <v>219</v>
      </c>
      <c r="C250" s="3" t="s">
        <v>227</v>
      </c>
      <c r="D250" s="3" t="s">
        <v>8</v>
      </c>
      <c r="E250" s="3" t="n">
        <v>1800</v>
      </c>
      <c r="F250" s="3" t="n">
        <v>600</v>
      </c>
      <c r="G250" s="3" t="n">
        <v>16</v>
      </c>
      <c r="H250" s="8" t="n">
        <f aca="false">(E250/1000)*(F250/1000)*(G250/1000)*7850</f>
        <v>135.648</v>
      </c>
      <c r="I250" s="3" t="n">
        <v>2</v>
      </c>
      <c r="J250" s="9" t="n">
        <f aca="false">H250*I250</f>
        <v>271.296</v>
      </c>
      <c r="K250" s="3"/>
    </row>
    <row r="251" customFormat="false" ht="19.5" hidden="false" customHeight="false" outlineLevel="0" collapsed="false">
      <c r="A251" s="3" t="s">
        <v>242</v>
      </c>
      <c r="B251" s="3" t="s">
        <v>219</v>
      </c>
      <c r="C251" s="3" t="s">
        <v>237</v>
      </c>
      <c r="D251" s="3" t="s">
        <v>8</v>
      </c>
      <c r="E251" s="3" t="n">
        <v>1100</v>
      </c>
      <c r="F251" s="3" t="n">
        <v>700</v>
      </c>
      <c r="G251" s="3" t="n">
        <v>16</v>
      </c>
      <c r="H251" s="8" t="n">
        <f aca="false">(E251/1000)*(F251/1000)*(G251/1000)*7850</f>
        <v>96.712</v>
      </c>
      <c r="I251" s="3" t="n">
        <v>1</v>
      </c>
      <c r="J251" s="9" t="n">
        <f aca="false">H251*I251</f>
        <v>96.712</v>
      </c>
      <c r="K251" s="3"/>
    </row>
    <row r="252" customFormat="false" ht="19.5" hidden="false" customHeight="false" outlineLevel="0" collapsed="false">
      <c r="A252" s="3" t="s">
        <v>243</v>
      </c>
      <c r="B252" s="3" t="s">
        <v>203</v>
      </c>
      <c r="C252" s="3" t="s">
        <v>204</v>
      </c>
      <c r="D252" s="3" t="s">
        <v>8</v>
      </c>
      <c r="E252" s="3" t="n">
        <v>1300</v>
      </c>
      <c r="F252" s="3" t="n">
        <v>1020</v>
      </c>
      <c r="G252" s="3" t="n">
        <v>24</v>
      </c>
      <c r="H252" s="8" t="n">
        <f aca="false">(E252/1000)*(F252/1000)*(G252/1000)*7850</f>
        <v>249.8184</v>
      </c>
      <c r="I252" s="3" t="n">
        <v>2</v>
      </c>
      <c r="J252" s="9" t="n">
        <f aca="false">H252*I252</f>
        <v>499.6368</v>
      </c>
      <c r="K252" s="3"/>
    </row>
    <row r="253" customFormat="false" ht="19.5" hidden="false" customHeight="false" outlineLevel="0" collapsed="false">
      <c r="A253" s="3" t="s">
        <v>243</v>
      </c>
      <c r="B253" s="3" t="s">
        <v>203</v>
      </c>
      <c r="C253" s="3" t="s">
        <v>205</v>
      </c>
      <c r="D253" s="3" t="s">
        <v>8</v>
      </c>
      <c r="E253" s="3" t="n">
        <v>1020</v>
      </c>
      <c r="F253" s="3" t="n">
        <v>600</v>
      </c>
      <c r="G253" s="3" t="n">
        <v>24</v>
      </c>
      <c r="H253" s="8" t="n">
        <f aca="false">(E253/1000)*(F253/1000)*(G253/1000)*7850</f>
        <v>115.3008</v>
      </c>
      <c r="I253" s="3" t="n">
        <v>4</v>
      </c>
      <c r="J253" s="9" t="n">
        <f aca="false">H253*I253</f>
        <v>461.2032</v>
      </c>
      <c r="K253" s="3"/>
    </row>
    <row r="254" customFormat="false" ht="19.5" hidden="false" customHeight="false" outlineLevel="0" collapsed="false">
      <c r="A254" s="3" t="s">
        <v>243</v>
      </c>
      <c r="B254" s="3" t="s">
        <v>203</v>
      </c>
      <c r="C254" s="3" t="s">
        <v>206</v>
      </c>
      <c r="D254" s="3" t="s">
        <v>8</v>
      </c>
      <c r="E254" s="3" t="n">
        <v>1320</v>
      </c>
      <c r="F254" s="3" t="n">
        <v>1100</v>
      </c>
      <c r="G254" s="3" t="n">
        <v>36</v>
      </c>
      <c r="H254" s="8" t="n">
        <f aca="false">(E254/1000)*(F254/1000)*(G254/1000)*7850</f>
        <v>410.3352</v>
      </c>
      <c r="I254" s="3" t="n">
        <v>1</v>
      </c>
      <c r="J254" s="9" t="n">
        <f aca="false">H254*I254</f>
        <v>410.3352</v>
      </c>
      <c r="K254" s="3"/>
    </row>
    <row r="255" customFormat="false" ht="19.5" hidden="false" customHeight="false" outlineLevel="0" collapsed="false">
      <c r="A255" s="3" t="s">
        <v>243</v>
      </c>
      <c r="B255" s="3" t="s">
        <v>203</v>
      </c>
      <c r="C255" s="3" t="s">
        <v>207</v>
      </c>
      <c r="D255" s="3" t="s">
        <v>8</v>
      </c>
      <c r="E255" s="3" t="n">
        <v>1320</v>
      </c>
      <c r="F255" s="3" t="n">
        <v>400</v>
      </c>
      <c r="G255" s="3" t="n">
        <v>36</v>
      </c>
      <c r="H255" s="8" t="n">
        <f aca="false">(E255/1000)*(F255/1000)*(G255/1000)*7850</f>
        <v>149.2128</v>
      </c>
      <c r="I255" s="3" t="n">
        <v>2</v>
      </c>
      <c r="J255" s="9" t="n">
        <f aca="false">H255*I255</f>
        <v>298.4256</v>
      </c>
      <c r="K255" s="3"/>
    </row>
    <row r="256" customFormat="false" ht="19.5" hidden="false" customHeight="false" outlineLevel="0" collapsed="false">
      <c r="A256" s="3" t="s">
        <v>243</v>
      </c>
      <c r="B256" s="3" t="s">
        <v>203</v>
      </c>
      <c r="C256" s="3" t="s">
        <v>208</v>
      </c>
      <c r="D256" s="3" t="s">
        <v>8</v>
      </c>
      <c r="E256" s="3" t="n">
        <v>920</v>
      </c>
      <c r="F256" s="3" t="n">
        <v>200</v>
      </c>
      <c r="G256" s="3" t="n">
        <v>20</v>
      </c>
      <c r="H256" s="8" t="n">
        <f aca="false">(E256/1000)*(F256/1000)*(G256/1000)*7850</f>
        <v>28.888</v>
      </c>
      <c r="I256" s="3" t="n">
        <v>6</v>
      </c>
      <c r="J256" s="9" t="n">
        <f aca="false">H256*I256</f>
        <v>173.328</v>
      </c>
      <c r="K256" s="3"/>
    </row>
    <row r="257" customFormat="false" ht="19.5" hidden="false" customHeight="false" outlineLevel="0" collapsed="false">
      <c r="A257" s="3" t="s">
        <v>243</v>
      </c>
      <c r="B257" s="3" t="s">
        <v>203</v>
      </c>
      <c r="C257" s="3" t="s">
        <v>209</v>
      </c>
      <c r="D257" s="3" t="s">
        <v>8</v>
      </c>
      <c r="E257" s="3" t="n">
        <v>1700</v>
      </c>
      <c r="F257" s="3" t="n">
        <v>500</v>
      </c>
      <c r="G257" s="3" t="n">
        <v>8</v>
      </c>
      <c r="H257" s="8" t="n">
        <f aca="false">(E257/1000)*(F257/1000)*(G257/1000)*7850</f>
        <v>53.38</v>
      </c>
      <c r="I257" s="3" t="n">
        <v>2</v>
      </c>
      <c r="J257" s="9" t="n">
        <f aca="false">H257*I257</f>
        <v>106.76</v>
      </c>
      <c r="K257" s="3"/>
    </row>
    <row r="258" customFormat="false" ht="19.5" hidden="false" customHeight="false" outlineLevel="0" collapsed="false">
      <c r="A258" s="3" t="s">
        <v>243</v>
      </c>
      <c r="B258" s="3" t="s">
        <v>203</v>
      </c>
      <c r="C258" s="3" t="s">
        <v>236</v>
      </c>
      <c r="D258" s="3" t="s">
        <v>8</v>
      </c>
      <c r="E258" s="3" t="n">
        <v>1100</v>
      </c>
      <c r="F258" s="3" t="n">
        <v>650</v>
      </c>
      <c r="G258" s="3" t="n">
        <v>4</v>
      </c>
      <c r="H258" s="8" t="n">
        <f aca="false">(E258/1000)*(F258/1000)*(G258/1000)*7850</f>
        <v>22.451</v>
      </c>
      <c r="I258" s="3" t="n">
        <v>1</v>
      </c>
      <c r="J258" s="9" t="n">
        <f aca="false">H258*I258</f>
        <v>22.451</v>
      </c>
      <c r="K258" s="3"/>
    </row>
    <row r="259" customFormat="false" ht="15" hidden="false" customHeight="false" outlineLevel="0" collapsed="false">
      <c r="A259" s="3" t="s">
        <v>243</v>
      </c>
      <c r="B259" s="3" t="s">
        <v>210</v>
      </c>
      <c r="C259" s="3" t="s">
        <v>211</v>
      </c>
      <c r="D259" s="3" t="s">
        <v>8</v>
      </c>
      <c r="E259" s="3" t="n">
        <v>1520</v>
      </c>
      <c r="F259" s="3" t="n">
        <v>1100</v>
      </c>
      <c r="G259" s="3" t="n">
        <v>24</v>
      </c>
      <c r="H259" s="8" t="n">
        <f aca="false">(E259/1000)*(F259/1000)*(G259/1000)*7850</f>
        <v>315.0048</v>
      </c>
      <c r="I259" s="3" t="n">
        <v>2</v>
      </c>
      <c r="J259" s="9" t="n">
        <f aca="false">H259*I259</f>
        <v>630.0096</v>
      </c>
      <c r="K259" s="3"/>
    </row>
    <row r="260" customFormat="false" ht="15" hidden="false" customHeight="false" outlineLevel="0" collapsed="false">
      <c r="A260" s="3" t="s">
        <v>243</v>
      </c>
      <c r="B260" s="3" t="s">
        <v>210</v>
      </c>
      <c r="C260" s="3" t="s">
        <v>212</v>
      </c>
      <c r="D260" s="3" t="s">
        <v>8</v>
      </c>
      <c r="E260" s="3" t="n">
        <v>1520</v>
      </c>
      <c r="F260" s="3" t="n">
        <v>500</v>
      </c>
      <c r="G260" s="3" t="n">
        <v>24</v>
      </c>
      <c r="H260" s="8" t="n">
        <f aca="false">(E260/1000)*(F260/1000)*(G260/1000)*7850</f>
        <v>143.184</v>
      </c>
      <c r="I260" s="3" t="n">
        <v>4</v>
      </c>
      <c r="J260" s="9" t="n">
        <f aca="false">H260*I260</f>
        <v>572.736</v>
      </c>
      <c r="K260" s="3"/>
    </row>
    <row r="261" customFormat="false" ht="15" hidden="false" customHeight="false" outlineLevel="0" collapsed="false">
      <c r="A261" s="3" t="s">
        <v>243</v>
      </c>
      <c r="B261" s="3" t="s">
        <v>210</v>
      </c>
      <c r="C261" s="3" t="s">
        <v>213</v>
      </c>
      <c r="D261" s="3" t="s">
        <v>8</v>
      </c>
      <c r="E261" s="3" t="n">
        <v>1320</v>
      </c>
      <c r="F261" s="3" t="n">
        <v>1100</v>
      </c>
      <c r="G261" s="3" t="n">
        <v>28</v>
      </c>
      <c r="H261" s="8" t="n">
        <f aca="false">(E261/1000)*(F261/1000)*(G261/1000)*7850</f>
        <v>319.1496</v>
      </c>
      <c r="I261" s="3" t="n">
        <v>1</v>
      </c>
      <c r="J261" s="9" t="n">
        <f aca="false">H261*I261</f>
        <v>319.1496</v>
      </c>
      <c r="K261" s="3"/>
    </row>
    <row r="262" customFormat="false" ht="15" hidden="false" customHeight="false" outlineLevel="0" collapsed="false">
      <c r="A262" s="3" t="s">
        <v>243</v>
      </c>
      <c r="B262" s="3" t="s">
        <v>210</v>
      </c>
      <c r="C262" s="3" t="s">
        <v>214</v>
      </c>
      <c r="D262" s="3" t="s">
        <v>8</v>
      </c>
      <c r="E262" s="3" t="n">
        <v>1320</v>
      </c>
      <c r="F262" s="3" t="n">
        <v>500</v>
      </c>
      <c r="G262" s="3" t="n">
        <v>28</v>
      </c>
      <c r="H262" s="8" t="n">
        <f aca="false">(E262/1000)*(F262/1000)*(G262/1000)*7850</f>
        <v>145.068</v>
      </c>
      <c r="I262" s="3" t="n">
        <v>2</v>
      </c>
      <c r="J262" s="9" t="n">
        <f aca="false">H262*I262</f>
        <v>290.136</v>
      </c>
      <c r="K262" s="3"/>
    </row>
    <row r="263" customFormat="false" ht="15" hidden="false" customHeight="false" outlineLevel="0" collapsed="false">
      <c r="A263" s="3" t="s">
        <v>243</v>
      </c>
      <c r="B263" s="3" t="s">
        <v>210</v>
      </c>
      <c r="C263" s="3" t="s">
        <v>215</v>
      </c>
      <c r="D263" s="3" t="s">
        <v>8</v>
      </c>
      <c r="E263" s="3" t="n">
        <v>1520</v>
      </c>
      <c r="F263" s="3" t="n">
        <v>1100</v>
      </c>
      <c r="G263" s="3" t="n">
        <v>44</v>
      </c>
      <c r="H263" s="8" t="n">
        <f aca="false">(E263/1000)*(F263/1000)*(G263/1000)*7850</f>
        <v>577.5088</v>
      </c>
      <c r="I263" s="3" t="n">
        <v>1</v>
      </c>
      <c r="J263" s="9" t="n">
        <f aca="false">H263*I263</f>
        <v>577.5088</v>
      </c>
      <c r="K263" s="3"/>
    </row>
    <row r="264" customFormat="false" ht="15" hidden="false" customHeight="false" outlineLevel="0" collapsed="false">
      <c r="A264" s="3" t="s">
        <v>243</v>
      </c>
      <c r="B264" s="3" t="s">
        <v>210</v>
      </c>
      <c r="C264" s="3" t="s">
        <v>216</v>
      </c>
      <c r="D264" s="3" t="s">
        <v>8</v>
      </c>
      <c r="E264" s="3" t="n">
        <v>1520</v>
      </c>
      <c r="F264" s="3" t="n">
        <v>240</v>
      </c>
      <c r="G264" s="3" t="n">
        <v>44</v>
      </c>
      <c r="H264" s="8" t="n">
        <f aca="false">(E264/1000)*(F264/1000)*(G264/1000)*7850</f>
        <v>126.00192</v>
      </c>
      <c r="I264" s="3" t="n">
        <v>2</v>
      </c>
      <c r="J264" s="9" t="n">
        <f aca="false">H264*I264</f>
        <v>252.00384</v>
      </c>
      <c r="K264" s="3"/>
    </row>
    <row r="265" customFormat="false" ht="15" hidden="false" customHeight="false" outlineLevel="0" collapsed="false">
      <c r="A265" s="3" t="s">
        <v>243</v>
      </c>
      <c r="B265" s="3" t="s">
        <v>210</v>
      </c>
      <c r="C265" s="3" t="s">
        <v>217</v>
      </c>
      <c r="D265" s="3" t="s">
        <v>8</v>
      </c>
      <c r="E265" s="3" t="n">
        <v>1220</v>
      </c>
      <c r="F265" s="3" t="n">
        <v>240</v>
      </c>
      <c r="G265" s="3" t="n">
        <v>24</v>
      </c>
      <c r="H265" s="8" t="n">
        <f aca="false">(E265/1000)*(F265/1000)*(G265/1000)*7850</f>
        <v>55.16352</v>
      </c>
      <c r="I265" s="3" t="n">
        <v>4</v>
      </c>
      <c r="J265" s="9" t="n">
        <f aca="false">H265*I265</f>
        <v>220.65408</v>
      </c>
      <c r="K265" s="3"/>
    </row>
    <row r="266" customFormat="false" ht="15" hidden="false" customHeight="false" outlineLevel="0" collapsed="false">
      <c r="A266" s="3" t="s">
        <v>243</v>
      </c>
      <c r="B266" s="3" t="s">
        <v>210</v>
      </c>
      <c r="C266" s="3" t="s">
        <v>218</v>
      </c>
      <c r="D266" s="3" t="s">
        <v>8</v>
      </c>
      <c r="E266" s="3" t="n">
        <v>1320</v>
      </c>
      <c r="F266" s="3" t="n">
        <v>240</v>
      </c>
      <c r="G266" s="3" t="n">
        <v>24</v>
      </c>
      <c r="H266" s="8" t="n">
        <f aca="false">(E266/1000)*(F266/1000)*(G266/1000)*7850</f>
        <v>59.68512</v>
      </c>
      <c r="I266" s="3" t="n">
        <v>2</v>
      </c>
      <c r="J266" s="9" t="n">
        <f aca="false">H266*I266</f>
        <v>119.37024</v>
      </c>
      <c r="K266" s="3"/>
    </row>
    <row r="267" customFormat="false" ht="19.5" hidden="false" customHeight="false" outlineLevel="0" collapsed="false">
      <c r="A267" s="3" t="s">
        <v>243</v>
      </c>
      <c r="B267" s="3" t="s">
        <v>219</v>
      </c>
      <c r="C267" s="3" t="s">
        <v>220</v>
      </c>
      <c r="D267" s="3" t="s">
        <v>8</v>
      </c>
      <c r="E267" s="3" t="n">
        <v>1820</v>
      </c>
      <c r="F267" s="3" t="n">
        <v>1400</v>
      </c>
      <c r="G267" s="3" t="n">
        <v>40</v>
      </c>
      <c r="H267" s="8" t="n">
        <f aca="false">(E267/1000)*(F267/1000)*(G267/1000)*7850</f>
        <v>800.072</v>
      </c>
      <c r="I267" s="3" t="n">
        <v>2</v>
      </c>
      <c r="J267" s="9" t="n">
        <f aca="false">H267*I267</f>
        <v>1600.144</v>
      </c>
      <c r="K267" s="3"/>
    </row>
    <row r="268" customFormat="false" ht="19.5" hidden="false" customHeight="false" outlineLevel="0" collapsed="false">
      <c r="A268" s="3" t="s">
        <v>243</v>
      </c>
      <c r="B268" s="3" t="s">
        <v>219</v>
      </c>
      <c r="C268" s="3" t="s">
        <v>221</v>
      </c>
      <c r="D268" s="3" t="s">
        <v>8</v>
      </c>
      <c r="E268" s="3" t="n">
        <v>1820</v>
      </c>
      <c r="F268" s="3" t="n">
        <v>300</v>
      </c>
      <c r="G268" s="3" t="n">
        <v>40</v>
      </c>
      <c r="H268" s="8" t="n">
        <f aca="false">(E268/1000)*(F268/1000)*(G268/1000)*7850</f>
        <v>171.444</v>
      </c>
      <c r="I268" s="3" t="n">
        <v>2</v>
      </c>
      <c r="J268" s="9" t="n">
        <f aca="false">H268*I268</f>
        <v>342.888</v>
      </c>
      <c r="K268" s="3"/>
    </row>
    <row r="269" customFormat="false" ht="19.5" hidden="false" customHeight="false" outlineLevel="0" collapsed="false">
      <c r="A269" s="3" t="s">
        <v>243</v>
      </c>
      <c r="B269" s="3" t="s">
        <v>219</v>
      </c>
      <c r="C269" s="3" t="s">
        <v>222</v>
      </c>
      <c r="D269" s="3" t="s">
        <v>8</v>
      </c>
      <c r="E269" s="3" t="n">
        <v>1820</v>
      </c>
      <c r="F269" s="3" t="n">
        <v>500</v>
      </c>
      <c r="G269" s="3" t="n">
        <v>40</v>
      </c>
      <c r="H269" s="8" t="n">
        <f aca="false">(E269/1000)*(F269/1000)*(G269/1000)*7850</f>
        <v>285.74</v>
      </c>
      <c r="I269" s="3" t="n">
        <v>2</v>
      </c>
      <c r="J269" s="9" t="n">
        <f aca="false">H269*I269</f>
        <v>571.48</v>
      </c>
      <c r="K269" s="3"/>
    </row>
    <row r="270" customFormat="false" ht="19.5" hidden="false" customHeight="false" outlineLevel="0" collapsed="false">
      <c r="A270" s="3" t="s">
        <v>243</v>
      </c>
      <c r="B270" s="3" t="s">
        <v>219</v>
      </c>
      <c r="C270" s="3" t="s">
        <v>223</v>
      </c>
      <c r="D270" s="3" t="s">
        <v>8</v>
      </c>
      <c r="E270" s="3" t="n">
        <v>1820</v>
      </c>
      <c r="F270" s="3" t="n">
        <v>400</v>
      </c>
      <c r="G270" s="3" t="n">
        <v>40</v>
      </c>
      <c r="H270" s="8" t="n">
        <f aca="false">(E270/1000)*(F270/1000)*(G270/1000)*7850</f>
        <v>228.592</v>
      </c>
      <c r="I270" s="3" t="n">
        <v>2</v>
      </c>
      <c r="J270" s="9" t="n">
        <f aca="false">H270*I270</f>
        <v>457.184</v>
      </c>
      <c r="K270" s="3"/>
    </row>
    <row r="271" customFormat="false" ht="19.5" hidden="false" customHeight="false" outlineLevel="0" collapsed="false">
      <c r="A271" s="3" t="s">
        <v>243</v>
      </c>
      <c r="B271" s="3" t="s">
        <v>219</v>
      </c>
      <c r="C271" s="3" t="s">
        <v>224</v>
      </c>
      <c r="D271" s="3" t="s">
        <v>8</v>
      </c>
      <c r="E271" s="3" t="n">
        <v>1720</v>
      </c>
      <c r="F271" s="3" t="n">
        <v>1100</v>
      </c>
      <c r="G271" s="3" t="n">
        <v>44</v>
      </c>
      <c r="H271" s="8" t="n">
        <f aca="false">(E271/1000)*(F271/1000)*(G271/1000)*7850</f>
        <v>653.4968</v>
      </c>
      <c r="I271" s="3" t="n">
        <v>1</v>
      </c>
      <c r="J271" s="9" t="n">
        <f aca="false">H271*I271</f>
        <v>653.4968</v>
      </c>
      <c r="K271" s="3"/>
    </row>
    <row r="272" customFormat="false" ht="19.5" hidden="false" customHeight="false" outlineLevel="0" collapsed="false">
      <c r="A272" s="3" t="s">
        <v>243</v>
      </c>
      <c r="B272" s="3" t="s">
        <v>219</v>
      </c>
      <c r="C272" s="3" t="s">
        <v>225</v>
      </c>
      <c r="D272" s="3" t="s">
        <v>8</v>
      </c>
      <c r="E272" s="3" t="n">
        <v>1720</v>
      </c>
      <c r="F272" s="3" t="n">
        <v>400</v>
      </c>
      <c r="G272" s="3" t="n">
        <v>44</v>
      </c>
      <c r="H272" s="8" t="n">
        <f aca="false">(E272/1000)*(F272/1000)*(G272/1000)*7850</f>
        <v>237.6352</v>
      </c>
      <c r="I272" s="3" t="n">
        <v>2</v>
      </c>
      <c r="J272" s="9" t="n">
        <f aca="false">H272*I272</f>
        <v>475.2704</v>
      </c>
      <c r="K272" s="3"/>
    </row>
    <row r="273" customFormat="false" ht="19.5" hidden="false" customHeight="false" outlineLevel="0" collapsed="false">
      <c r="A273" s="3" t="s">
        <v>243</v>
      </c>
      <c r="B273" s="3" t="s">
        <v>219</v>
      </c>
      <c r="C273" s="3" t="s">
        <v>226</v>
      </c>
      <c r="D273" s="3" t="s">
        <v>8</v>
      </c>
      <c r="E273" s="3" t="n">
        <v>1320</v>
      </c>
      <c r="F273" s="3" t="n">
        <v>240</v>
      </c>
      <c r="G273" s="3" t="n">
        <v>24</v>
      </c>
      <c r="H273" s="8" t="n">
        <f aca="false">(E273/1000)*(F273/1000)*(G273/1000)*7850</f>
        <v>59.68512</v>
      </c>
      <c r="I273" s="3" t="n">
        <v>10</v>
      </c>
      <c r="J273" s="9" t="n">
        <f aca="false">H273*I273</f>
        <v>596.8512</v>
      </c>
      <c r="K273" s="3"/>
    </row>
    <row r="274" customFormat="false" ht="19.5" hidden="false" customHeight="false" outlineLevel="0" collapsed="false">
      <c r="A274" s="3" t="s">
        <v>244</v>
      </c>
      <c r="B274" s="3" t="s">
        <v>203</v>
      </c>
      <c r="C274" s="3" t="s">
        <v>204</v>
      </c>
      <c r="D274" s="3" t="s">
        <v>8</v>
      </c>
      <c r="E274" s="3" t="n">
        <v>1300</v>
      </c>
      <c r="F274" s="3" t="n">
        <v>1220</v>
      </c>
      <c r="G274" s="3" t="n">
        <v>28</v>
      </c>
      <c r="H274" s="8" t="n">
        <f aca="false">(E274/1000)*(F274/1000)*(G274/1000)*7850</f>
        <v>348.6028</v>
      </c>
      <c r="I274" s="3" t="n">
        <v>2</v>
      </c>
      <c r="J274" s="9" t="n">
        <f aca="false">H274*I274</f>
        <v>697.2056</v>
      </c>
      <c r="K274" s="3"/>
    </row>
    <row r="275" customFormat="false" ht="19.5" hidden="false" customHeight="false" outlineLevel="0" collapsed="false">
      <c r="A275" s="3" t="s">
        <v>244</v>
      </c>
      <c r="B275" s="3" t="s">
        <v>203</v>
      </c>
      <c r="C275" s="3" t="s">
        <v>205</v>
      </c>
      <c r="D275" s="3" t="s">
        <v>8</v>
      </c>
      <c r="E275" s="3" t="n">
        <v>1220</v>
      </c>
      <c r="F275" s="3" t="n">
        <v>600</v>
      </c>
      <c r="G275" s="3" t="n">
        <v>28</v>
      </c>
      <c r="H275" s="8" t="n">
        <f aca="false">(E275/1000)*(F275/1000)*(G275/1000)*7850</f>
        <v>160.8936</v>
      </c>
      <c r="I275" s="3" t="n">
        <v>4</v>
      </c>
      <c r="J275" s="9" t="n">
        <f aca="false">H275*I275</f>
        <v>643.5744</v>
      </c>
      <c r="K275" s="3"/>
    </row>
    <row r="276" customFormat="false" ht="19.5" hidden="false" customHeight="false" outlineLevel="0" collapsed="false">
      <c r="A276" s="3" t="s">
        <v>244</v>
      </c>
      <c r="B276" s="3" t="s">
        <v>203</v>
      </c>
      <c r="C276" s="3" t="s">
        <v>206</v>
      </c>
      <c r="D276" s="3" t="s">
        <v>8</v>
      </c>
      <c r="E276" s="3" t="n">
        <v>1520</v>
      </c>
      <c r="F276" s="3" t="n">
        <v>1100</v>
      </c>
      <c r="G276" s="3" t="n">
        <v>36</v>
      </c>
      <c r="H276" s="8" t="n">
        <f aca="false">(E276/1000)*(F276/1000)*(G276/1000)*7850</f>
        <v>472.5072</v>
      </c>
      <c r="I276" s="3" t="n">
        <v>1</v>
      </c>
      <c r="J276" s="9" t="n">
        <f aca="false">H276*I276</f>
        <v>472.5072</v>
      </c>
      <c r="K276" s="3"/>
    </row>
    <row r="277" customFormat="false" ht="19.5" hidden="false" customHeight="false" outlineLevel="0" collapsed="false">
      <c r="A277" s="3" t="s">
        <v>244</v>
      </c>
      <c r="B277" s="3" t="s">
        <v>203</v>
      </c>
      <c r="C277" s="3" t="s">
        <v>207</v>
      </c>
      <c r="D277" s="3" t="s">
        <v>8</v>
      </c>
      <c r="E277" s="3" t="n">
        <v>1520</v>
      </c>
      <c r="F277" s="3" t="n">
        <v>400</v>
      </c>
      <c r="G277" s="3" t="n">
        <v>36</v>
      </c>
      <c r="H277" s="8" t="n">
        <f aca="false">(E277/1000)*(F277/1000)*(G277/1000)*7850</f>
        <v>171.8208</v>
      </c>
      <c r="I277" s="3" t="n">
        <v>2</v>
      </c>
      <c r="J277" s="9" t="n">
        <f aca="false">H277*I277</f>
        <v>343.6416</v>
      </c>
      <c r="K277" s="3"/>
    </row>
    <row r="278" customFormat="false" ht="19.5" hidden="false" customHeight="false" outlineLevel="0" collapsed="false">
      <c r="A278" s="3" t="s">
        <v>244</v>
      </c>
      <c r="B278" s="3" t="s">
        <v>203</v>
      </c>
      <c r="C278" s="3" t="s">
        <v>208</v>
      </c>
      <c r="D278" s="3" t="s">
        <v>8</v>
      </c>
      <c r="E278" s="3" t="n">
        <v>1320</v>
      </c>
      <c r="F278" s="3" t="n">
        <v>240</v>
      </c>
      <c r="G278" s="3" t="n">
        <v>24</v>
      </c>
      <c r="H278" s="8" t="n">
        <f aca="false">(E278/1000)*(F278/1000)*(G278/1000)*7850</f>
        <v>59.68512</v>
      </c>
      <c r="I278" s="3" t="n">
        <v>6</v>
      </c>
      <c r="J278" s="9" t="n">
        <f aca="false">H278*I278</f>
        <v>358.11072</v>
      </c>
      <c r="K278" s="3"/>
    </row>
    <row r="279" customFormat="false" ht="19.5" hidden="false" customHeight="false" outlineLevel="0" collapsed="false">
      <c r="A279" s="3" t="s">
        <v>244</v>
      </c>
      <c r="B279" s="3" t="s">
        <v>203</v>
      </c>
      <c r="C279" s="3" t="s">
        <v>209</v>
      </c>
      <c r="D279" s="3" t="s">
        <v>8</v>
      </c>
      <c r="E279" s="3" t="n">
        <v>1300</v>
      </c>
      <c r="F279" s="3" t="n">
        <v>600</v>
      </c>
      <c r="G279" s="3" t="n">
        <v>4</v>
      </c>
      <c r="H279" s="8" t="n">
        <f aca="false">(E279/1000)*(F279/1000)*(G279/1000)*7850</f>
        <v>24.492</v>
      </c>
      <c r="I279" s="3" t="n">
        <v>1</v>
      </c>
      <c r="J279" s="9" t="n">
        <f aca="false">H279*I279</f>
        <v>24.492</v>
      </c>
      <c r="K279" s="3"/>
    </row>
    <row r="280" customFormat="false" ht="15" hidden="false" customHeight="false" outlineLevel="0" collapsed="false">
      <c r="A280" s="3" t="s">
        <v>244</v>
      </c>
      <c r="B280" s="3" t="s">
        <v>210</v>
      </c>
      <c r="C280" s="3" t="s">
        <v>211</v>
      </c>
      <c r="D280" s="3" t="s">
        <v>8</v>
      </c>
      <c r="E280" s="3" t="n">
        <v>1520</v>
      </c>
      <c r="F280" s="3" t="n">
        <v>1500</v>
      </c>
      <c r="G280" s="3" t="n">
        <v>32</v>
      </c>
      <c r="H280" s="8" t="n">
        <f aca="false">(E280/1000)*(F280/1000)*(G280/1000)*7850</f>
        <v>572.736</v>
      </c>
      <c r="I280" s="3" t="n">
        <v>2</v>
      </c>
      <c r="J280" s="9" t="n">
        <f aca="false">H280*I280</f>
        <v>1145.472</v>
      </c>
      <c r="K280" s="3"/>
    </row>
    <row r="281" customFormat="false" ht="15" hidden="false" customHeight="false" outlineLevel="0" collapsed="false">
      <c r="A281" s="3" t="s">
        <v>244</v>
      </c>
      <c r="B281" s="3" t="s">
        <v>210</v>
      </c>
      <c r="C281" s="3" t="s">
        <v>212</v>
      </c>
      <c r="D281" s="3" t="s">
        <v>8</v>
      </c>
      <c r="E281" s="3" t="n">
        <v>1520</v>
      </c>
      <c r="F281" s="3" t="n">
        <v>400</v>
      </c>
      <c r="G281" s="3" t="n">
        <v>32</v>
      </c>
      <c r="H281" s="8" t="n">
        <f aca="false">(E281/1000)*(F281/1000)*(G281/1000)*7850</f>
        <v>152.7296</v>
      </c>
      <c r="I281" s="3" t="n">
        <v>4</v>
      </c>
      <c r="J281" s="9" t="n">
        <f aca="false">H281*I281</f>
        <v>610.9184</v>
      </c>
      <c r="K281" s="3"/>
    </row>
    <row r="282" customFormat="false" ht="15" hidden="false" customHeight="false" outlineLevel="0" collapsed="false">
      <c r="A282" s="3" t="s">
        <v>244</v>
      </c>
      <c r="B282" s="3" t="s">
        <v>210</v>
      </c>
      <c r="C282" s="3" t="s">
        <v>213</v>
      </c>
      <c r="D282" s="3" t="s">
        <v>8</v>
      </c>
      <c r="E282" s="3" t="n">
        <v>1520</v>
      </c>
      <c r="F282" s="3" t="n">
        <v>500</v>
      </c>
      <c r="G282" s="3" t="n">
        <v>32</v>
      </c>
      <c r="H282" s="8" t="n">
        <f aca="false">(E282/1000)*(F282/1000)*(G282/1000)*7850</f>
        <v>190.912</v>
      </c>
      <c r="I282" s="3" t="n">
        <v>2</v>
      </c>
      <c r="J282" s="9" t="n">
        <f aca="false">H282*I282</f>
        <v>381.824</v>
      </c>
      <c r="K282" s="3"/>
    </row>
    <row r="283" customFormat="false" ht="15" hidden="false" customHeight="false" outlineLevel="0" collapsed="false">
      <c r="A283" s="3" t="s">
        <v>244</v>
      </c>
      <c r="B283" s="3" t="s">
        <v>210</v>
      </c>
      <c r="C283" s="3" t="s">
        <v>214</v>
      </c>
      <c r="D283" s="3" t="s">
        <v>8</v>
      </c>
      <c r="E283" s="3" t="n">
        <v>1520</v>
      </c>
      <c r="F283" s="3" t="n">
        <v>1100</v>
      </c>
      <c r="G283" s="3" t="n">
        <v>28</v>
      </c>
      <c r="H283" s="8" t="n">
        <f aca="false">(E283/1000)*(F283/1000)*(G283/1000)*7850</f>
        <v>367.5056</v>
      </c>
      <c r="I283" s="3" t="n">
        <v>1</v>
      </c>
      <c r="J283" s="9" t="n">
        <f aca="false">H283*I283</f>
        <v>367.5056</v>
      </c>
      <c r="K283" s="3"/>
    </row>
    <row r="284" customFormat="false" ht="15" hidden="false" customHeight="false" outlineLevel="0" collapsed="false">
      <c r="A284" s="3" t="s">
        <v>244</v>
      </c>
      <c r="B284" s="3" t="s">
        <v>210</v>
      </c>
      <c r="C284" s="3" t="s">
        <v>215</v>
      </c>
      <c r="D284" s="3" t="s">
        <v>8</v>
      </c>
      <c r="E284" s="3" t="n">
        <v>1520</v>
      </c>
      <c r="F284" s="3" t="n">
        <v>500</v>
      </c>
      <c r="G284" s="3" t="n">
        <v>28</v>
      </c>
      <c r="H284" s="8" t="n">
        <f aca="false">(E284/1000)*(F284/1000)*(G284/1000)*7850</f>
        <v>167.048</v>
      </c>
      <c r="I284" s="3" t="n">
        <v>2</v>
      </c>
      <c r="J284" s="9" t="n">
        <f aca="false">H284*I284</f>
        <v>334.096</v>
      </c>
      <c r="K284" s="3"/>
    </row>
    <row r="285" customFormat="false" ht="15" hidden="false" customHeight="false" outlineLevel="0" collapsed="false">
      <c r="A285" s="3" t="s">
        <v>244</v>
      </c>
      <c r="B285" s="3" t="s">
        <v>210</v>
      </c>
      <c r="C285" s="3" t="s">
        <v>216</v>
      </c>
      <c r="D285" s="3" t="s">
        <v>8</v>
      </c>
      <c r="E285" s="3" t="n">
        <v>1520</v>
      </c>
      <c r="F285" s="3" t="n">
        <v>1100</v>
      </c>
      <c r="G285" s="3" t="n">
        <v>40</v>
      </c>
      <c r="H285" s="8" t="n">
        <f aca="false">(E285/1000)*(F285/1000)*(G285/1000)*7850</f>
        <v>525.008</v>
      </c>
      <c r="I285" s="3" t="n">
        <v>1</v>
      </c>
      <c r="J285" s="9" t="n">
        <f aca="false">H285*I285</f>
        <v>525.008</v>
      </c>
      <c r="K285" s="3"/>
    </row>
    <row r="286" customFormat="false" ht="15" hidden="false" customHeight="false" outlineLevel="0" collapsed="false">
      <c r="A286" s="3" t="s">
        <v>244</v>
      </c>
      <c r="B286" s="3" t="s">
        <v>210</v>
      </c>
      <c r="C286" s="3" t="s">
        <v>217</v>
      </c>
      <c r="D286" s="3" t="s">
        <v>8</v>
      </c>
      <c r="E286" s="3" t="n">
        <v>1520</v>
      </c>
      <c r="F286" s="3" t="n">
        <v>400</v>
      </c>
      <c r="G286" s="3" t="n">
        <v>40</v>
      </c>
      <c r="H286" s="8" t="n">
        <f aca="false">(E286/1000)*(F286/1000)*(G286/1000)*7850</f>
        <v>190.912</v>
      </c>
      <c r="I286" s="3" t="n">
        <v>2</v>
      </c>
      <c r="J286" s="9" t="n">
        <f aca="false">H286*I286</f>
        <v>381.824</v>
      </c>
      <c r="K286" s="3"/>
    </row>
    <row r="287" customFormat="false" ht="15" hidden="false" customHeight="false" outlineLevel="0" collapsed="false">
      <c r="A287" s="3" t="s">
        <v>244</v>
      </c>
      <c r="B287" s="3" t="s">
        <v>210</v>
      </c>
      <c r="C287" s="3" t="s">
        <v>218</v>
      </c>
      <c r="D287" s="3" t="s">
        <v>8</v>
      </c>
      <c r="E287" s="3" t="n">
        <v>1320</v>
      </c>
      <c r="F287" s="3" t="n">
        <v>240</v>
      </c>
      <c r="G287" s="3" t="n">
        <v>24</v>
      </c>
      <c r="H287" s="8" t="n">
        <f aca="false">(E287/1000)*(F287/1000)*(G287/1000)*7850</f>
        <v>59.68512</v>
      </c>
      <c r="I287" s="3" t="n">
        <v>10</v>
      </c>
      <c r="J287" s="9" t="n">
        <f aca="false">H287*I287</f>
        <v>596.8512</v>
      </c>
      <c r="K287" s="3"/>
    </row>
    <row r="288" customFormat="false" ht="19.5" hidden="false" customHeight="false" outlineLevel="0" collapsed="false">
      <c r="A288" s="3" t="s">
        <v>244</v>
      </c>
      <c r="B288" s="3" t="s">
        <v>219</v>
      </c>
      <c r="C288" s="3" t="s">
        <v>220</v>
      </c>
      <c r="D288" s="3" t="s">
        <v>8</v>
      </c>
      <c r="E288" s="3" t="n">
        <v>1820</v>
      </c>
      <c r="F288" s="3" t="n">
        <v>1400</v>
      </c>
      <c r="G288" s="3" t="n">
        <v>40</v>
      </c>
      <c r="H288" s="8" t="n">
        <f aca="false">(E288/1000)*(F288/1000)*(G288/1000)*7850</f>
        <v>800.072</v>
      </c>
      <c r="I288" s="3" t="n">
        <v>2</v>
      </c>
      <c r="J288" s="9" t="n">
        <f aca="false">H288*I288</f>
        <v>1600.144</v>
      </c>
      <c r="K288" s="3"/>
    </row>
    <row r="289" customFormat="false" ht="19.5" hidden="false" customHeight="false" outlineLevel="0" collapsed="false">
      <c r="A289" s="3" t="s">
        <v>244</v>
      </c>
      <c r="B289" s="3" t="s">
        <v>219</v>
      </c>
      <c r="C289" s="3" t="s">
        <v>221</v>
      </c>
      <c r="D289" s="3" t="s">
        <v>8</v>
      </c>
      <c r="E289" s="3" t="n">
        <v>1820</v>
      </c>
      <c r="F289" s="3" t="n">
        <v>300</v>
      </c>
      <c r="G289" s="3" t="n">
        <v>40</v>
      </c>
      <c r="H289" s="8" t="n">
        <f aca="false">(E289/1000)*(F289/1000)*(G289/1000)*7850</f>
        <v>171.444</v>
      </c>
      <c r="I289" s="3" t="n">
        <v>2</v>
      </c>
      <c r="J289" s="9" t="n">
        <f aca="false">H289*I289</f>
        <v>342.888</v>
      </c>
      <c r="K289" s="3"/>
    </row>
    <row r="290" customFormat="false" ht="19.5" hidden="false" customHeight="false" outlineLevel="0" collapsed="false">
      <c r="A290" s="3" t="s">
        <v>244</v>
      </c>
      <c r="B290" s="3" t="s">
        <v>219</v>
      </c>
      <c r="C290" s="3" t="s">
        <v>222</v>
      </c>
      <c r="D290" s="3" t="s">
        <v>8</v>
      </c>
      <c r="E290" s="3" t="n">
        <v>1820</v>
      </c>
      <c r="F290" s="3" t="n">
        <v>500</v>
      </c>
      <c r="G290" s="3" t="n">
        <v>40</v>
      </c>
      <c r="H290" s="8" t="n">
        <f aca="false">(E290/1000)*(F290/1000)*(G290/1000)*7850</f>
        <v>285.74</v>
      </c>
      <c r="I290" s="3" t="n">
        <v>2</v>
      </c>
      <c r="J290" s="9" t="n">
        <f aca="false">H290*I290</f>
        <v>571.48</v>
      </c>
      <c r="K290" s="3"/>
    </row>
    <row r="291" customFormat="false" ht="19.5" hidden="false" customHeight="false" outlineLevel="0" collapsed="false">
      <c r="A291" s="3" t="s">
        <v>244</v>
      </c>
      <c r="B291" s="3" t="s">
        <v>219</v>
      </c>
      <c r="C291" s="3" t="s">
        <v>223</v>
      </c>
      <c r="D291" s="3" t="s">
        <v>8</v>
      </c>
      <c r="E291" s="3" t="n">
        <v>1820</v>
      </c>
      <c r="F291" s="3" t="n">
        <v>400</v>
      </c>
      <c r="G291" s="3" t="n">
        <v>40</v>
      </c>
      <c r="H291" s="8" t="n">
        <f aca="false">(E291/1000)*(F291/1000)*(G291/1000)*7850</f>
        <v>228.592</v>
      </c>
      <c r="I291" s="3" t="n">
        <v>2</v>
      </c>
      <c r="J291" s="9" t="n">
        <f aca="false">H291*I291</f>
        <v>457.184</v>
      </c>
      <c r="K291" s="3"/>
    </row>
    <row r="292" customFormat="false" ht="19.5" hidden="false" customHeight="false" outlineLevel="0" collapsed="false">
      <c r="A292" s="3" t="s">
        <v>244</v>
      </c>
      <c r="B292" s="3" t="s">
        <v>219</v>
      </c>
      <c r="C292" s="3" t="s">
        <v>224</v>
      </c>
      <c r="D292" s="3" t="s">
        <v>8</v>
      </c>
      <c r="E292" s="3" t="n">
        <v>1720</v>
      </c>
      <c r="F292" s="3" t="n">
        <v>1100</v>
      </c>
      <c r="G292" s="3" t="n">
        <v>44</v>
      </c>
      <c r="H292" s="8" t="n">
        <f aca="false">(E292/1000)*(F292/1000)*(G292/1000)*7850</f>
        <v>653.4968</v>
      </c>
      <c r="I292" s="3" t="n">
        <v>1</v>
      </c>
      <c r="J292" s="9" t="n">
        <f aca="false">H292*I292</f>
        <v>653.4968</v>
      </c>
      <c r="K292" s="3"/>
    </row>
    <row r="293" customFormat="false" ht="19.5" hidden="false" customHeight="false" outlineLevel="0" collapsed="false">
      <c r="A293" s="3" t="s">
        <v>244</v>
      </c>
      <c r="B293" s="3" t="s">
        <v>219</v>
      </c>
      <c r="C293" s="3" t="s">
        <v>225</v>
      </c>
      <c r="D293" s="3" t="s">
        <v>8</v>
      </c>
      <c r="E293" s="3" t="n">
        <v>1720</v>
      </c>
      <c r="F293" s="3" t="n">
        <v>400</v>
      </c>
      <c r="G293" s="3" t="n">
        <v>44</v>
      </c>
      <c r="H293" s="8" t="n">
        <f aca="false">(E293/1000)*(F293/1000)*(G293/1000)*7850</f>
        <v>237.6352</v>
      </c>
      <c r="I293" s="3" t="n">
        <v>2</v>
      </c>
      <c r="J293" s="9" t="n">
        <f aca="false">H293*I293</f>
        <v>475.2704</v>
      </c>
      <c r="K293" s="3"/>
    </row>
    <row r="294" customFormat="false" ht="19.5" hidden="false" customHeight="false" outlineLevel="0" collapsed="false">
      <c r="A294" s="3" t="s">
        <v>244</v>
      </c>
      <c r="B294" s="3" t="s">
        <v>219</v>
      </c>
      <c r="C294" s="3" t="s">
        <v>226</v>
      </c>
      <c r="D294" s="3" t="s">
        <v>8</v>
      </c>
      <c r="E294" s="3" t="n">
        <v>1320</v>
      </c>
      <c r="F294" s="3" t="n">
        <v>240</v>
      </c>
      <c r="G294" s="3" t="n">
        <v>24</v>
      </c>
      <c r="H294" s="8" t="n">
        <f aca="false">(E294/1000)*(F294/1000)*(G294/1000)*7850</f>
        <v>59.68512</v>
      </c>
      <c r="I294" s="3" t="n">
        <v>10</v>
      </c>
      <c r="J294" s="9" t="n">
        <f aca="false">H294*I294</f>
        <v>596.8512</v>
      </c>
      <c r="K294" s="3"/>
    </row>
    <row r="295" customFormat="false" ht="19.5" hidden="false" customHeight="false" outlineLevel="0" collapsed="false">
      <c r="A295" s="3" t="s">
        <v>245</v>
      </c>
      <c r="B295" s="3" t="s">
        <v>203</v>
      </c>
      <c r="C295" s="3" t="s">
        <v>204</v>
      </c>
      <c r="D295" s="3" t="s">
        <v>8</v>
      </c>
      <c r="E295" s="3" t="n">
        <v>1300</v>
      </c>
      <c r="F295" s="3" t="n">
        <v>1220</v>
      </c>
      <c r="G295" s="3" t="n">
        <v>28</v>
      </c>
      <c r="H295" s="8" t="n">
        <f aca="false">(E295/1000)*(F295/1000)*(G295/1000)*7850</f>
        <v>348.6028</v>
      </c>
      <c r="I295" s="3" t="n">
        <v>2</v>
      </c>
      <c r="J295" s="9" t="n">
        <f aca="false">H295*I295</f>
        <v>697.2056</v>
      </c>
      <c r="K295" s="3"/>
    </row>
    <row r="296" customFormat="false" ht="19.5" hidden="false" customHeight="false" outlineLevel="0" collapsed="false">
      <c r="A296" s="3" t="s">
        <v>245</v>
      </c>
      <c r="B296" s="3" t="s">
        <v>203</v>
      </c>
      <c r="C296" s="3" t="s">
        <v>205</v>
      </c>
      <c r="D296" s="3" t="s">
        <v>8</v>
      </c>
      <c r="E296" s="3" t="n">
        <v>1220</v>
      </c>
      <c r="F296" s="3" t="n">
        <v>600</v>
      </c>
      <c r="G296" s="3" t="n">
        <v>28</v>
      </c>
      <c r="H296" s="8" t="n">
        <f aca="false">(E296/1000)*(F296/1000)*(G296/1000)*7850</f>
        <v>160.8936</v>
      </c>
      <c r="I296" s="3" t="n">
        <v>4</v>
      </c>
      <c r="J296" s="9" t="n">
        <f aca="false">H296*I296</f>
        <v>643.5744</v>
      </c>
      <c r="K296" s="3"/>
    </row>
    <row r="297" customFormat="false" ht="19.5" hidden="false" customHeight="false" outlineLevel="0" collapsed="false">
      <c r="A297" s="3" t="s">
        <v>245</v>
      </c>
      <c r="B297" s="3" t="s">
        <v>203</v>
      </c>
      <c r="C297" s="3" t="s">
        <v>206</v>
      </c>
      <c r="D297" s="3" t="s">
        <v>8</v>
      </c>
      <c r="E297" s="3" t="n">
        <v>1520</v>
      </c>
      <c r="F297" s="3" t="n">
        <v>1100</v>
      </c>
      <c r="G297" s="3" t="n">
        <v>36</v>
      </c>
      <c r="H297" s="8" t="n">
        <f aca="false">(E297/1000)*(F297/1000)*(G297/1000)*7850</f>
        <v>472.5072</v>
      </c>
      <c r="I297" s="3" t="n">
        <v>1</v>
      </c>
      <c r="J297" s="9" t="n">
        <f aca="false">H297*I297</f>
        <v>472.5072</v>
      </c>
      <c r="K297" s="3"/>
    </row>
    <row r="298" customFormat="false" ht="19.5" hidden="false" customHeight="false" outlineLevel="0" collapsed="false">
      <c r="A298" s="3" t="s">
        <v>245</v>
      </c>
      <c r="B298" s="3" t="s">
        <v>203</v>
      </c>
      <c r="C298" s="3" t="s">
        <v>207</v>
      </c>
      <c r="D298" s="3" t="s">
        <v>8</v>
      </c>
      <c r="E298" s="3" t="n">
        <v>1520</v>
      </c>
      <c r="F298" s="3" t="n">
        <v>400</v>
      </c>
      <c r="G298" s="3" t="n">
        <v>36</v>
      </c>
      <c r="H298" s="8" t="n">
        <f aca="false">(E298/1000)*(F298/1000)*(G298/1000)*7850</f>
        <v>171.8208</v>
      </c>
      <c r="I298" s="3" t="n">
        <v>2</v>
      </c>
      <c r="J298" s="9" t="n">
        <f aca="false">H298*I298</f>
        <v>343.6416</v>
      </c>
      <c r="K298" s="3"/>
    </row>
    <row r="299" customFormat="false" ht="19.5" hidden="false" customHeight="false" outlineLevel="0" collapsed="false">
      <c r="A299" s="3" t="s">
        <v>245</v>
      </c>
      <c r="B299" s="3" t="s">
        <v>203</v>
      </c>
      <c r="C299" s="3" t="s">
        <v>208</v>
      </c>
      <c r="D299" s="3" t="s">
        <v>8</v>
      </c>
      <c r="E299" s="3" t="n">
        <v>1320</v>
      </c>
      <c r="F299" s="3" t="n">
        <v>240</v>
      </c>
      <c r="G299" s="3" t="n">
        <v>24</v>
      </c>
      <c r="H299" s="8" t="n">
        <f aca="false">(E299/1000)*(F299/1000)*(G299/1000)*7850</f>
        <v>59.68512</v>
      </c>
      <c r="I299" s="3" t="n">
        <v>6</v>
      </c>
      <c r="J299" s="9" t="n">
        <f aca="false">H299*I299</f>
        <v>358.11072</v>
      </c>
      <c r="K299" s="3"/>
    </row>
    <row r="300" customFormat="false" ht="19.5" hidden="false" customHeight="false" outlineLevel="0" collapsed="false">
      <c r="A300" s="3" t="s">
        <v>245</v>
      </c>
      <c r="B300" s="3" t="s">
        <v>203</v>
      </c>
      <c r="C300" s="3" t="s">
        <v>209</v>
      </c>
      <c r="D300" s="3" t="s">
        <v>8</v>
      </c>
      <c r="E300" s="3" t="n">
        <v>1300</v>
      </c>
      <c r="F300" s="3" t="n">
        <v>600</v>
      </c>
      <c r="G300" s="3" t="n">
        <v>4</v>
      </c>
      <c r="H300" s="8" t="n">
        <f aca="false">(E300/1000)*(F300/1000)*(G300/1000)*7850</f>
        <v>24.492</v>
      </c>
      <c r="I300" s="3" t="n">
        <v>1</v>
      </c>
      <c r="J300" s="9" t="n">
        <f aca="false">H300*I300</f>
        <v>24.492</v>
      </c>
      <c r="K300" s="3"/>
    </row>
    <row r="301" customFormat="false" ht="15" hidden="false" customHeight="false" outlineLevel="0" collapsed="false">
      <c r="A301" s="3" t="s">
        <v>245</v>
      </c>
      <c r="B301" s="3" t="s">
        <v>210</v>
      </c>
      <c r="C301" s="3" t="s">
        <v>211</v>
      </c>
      <c r="D301" s="3" t="s">
        <v>8</v>
      </c>
      <c r="E301" s="3" t="n">
        <v>1720</v>
      </c>
      <c r="F301" s="3" t="n">
        <v>1500</v>
      </c>
      <c r="G301" s="3" t="n">
        <v>36</v>
      </c>
      <c r="H301" s="8" t="n">
        <f aca="false">(E301/1000)*(F301/1000)*(G301/1000)*7850</f>
        <v>729.108</v>
      </c>
      <c r="I301" s="3" t="n">
        <v>2</v>
      </c>
      <c r="J301" s="9" t="n">
        <f aca="false">H301*I301</f>
        <v>1458.216</v>
      </c>
      <c r="K301" s="3"/>
    </row>
    <row r="302" customFormat="false" ht="15" hidden="false" customHeight="false" outlineLevel="0" collapsed="false">
      <c r="A302" s="3" t="s">
        <v>245</v>
      </c>
      <c r="B302" s="3" t="s">
        <v>210</v>
      </c>
      <c r="C302" s="3" t="s">
        <v>212</v>
      </c>
      <c r="D302" s="3" t="s">
        <v>8</v>
      </c>
      <c r="E302" s="3" t="n">
        <v>1720</v>
      </c>
      <c r="F302" s="3" t="n">
        <v>400</v>
      </c>
      <c r="G302" s="3" t="n">
        <v>36</v>
      </c>
      <c r="H302" s="8" t="n">
        <f aca="false">(E302/1000)*(F302/1000)*(G302/1000)*7850</f>
        <v>194.4288</v>
      </c>
      <c r="I302" s="3" t="n">
        <v>4</v>
      </c>
      <c r="J302" s="9" t="n">
        <f aca="false">H302*I302</f>
        <v>777.7152</v>
      </c>
      <c r="K302" s="3"/>
    </row>
    <row r="303" customFormat="false" ht="15" hidden="false" customHeight="false" outlineLevel="0" collapsed="false">
      <c r="A303" s="3" t="s">
        <v>245</v>
      </c>
      <c r="B303" s="3" t="s">
        <v>210</v>
      </c>
      <c r="C303" s="3" t="s">
        <v>213</v>
      </c>
      <c r="D303" s="3" t="s">
        <v>8</v>
      </c>
      <c r="E303" s="3" t="n">
        <v>1720</v>
      </c>
      <c r="F303" s="3" t="n">
        <v>500</v>
      </c>
      <c r="G303" s="3" t="n">
        <v>36</v>
      </c>
      <c r="H303" s="8" t="n">
        <f aca="false">(E303/1000)*(F303/1000)*(G303/1000)*7850</f>
        <v>243.036</v>
      </c>
      <c r="I303" s="3" t="n">
        <v>2</v>
      </c>
      <c r="J303" s="9" t="n">
        <f aca="false">H303*I303</f>
        <v>486.072</v>
      </c>
      <c r="K303" s="3"/>
    </row>
    <row r="304" customFormat="false" ht="15" hidden="false" customHeight="false" outlineLevel="0" collapsed="false">
      <c r="A304" s="3" t="s">
        <v>245</v>
      </c>
      <c r="B304" s="3" t="s">
        <v>210</v>
      </c>
      <c r="C304" s="3" t="s">
        <v>214</v>
      </c>
      <c r="D304" s="3" t="s">
        <v>8</v>
      </c>
      <c r="E304" s="3" t="n">
        <v>1720</v>
      </c>
      <c r="F304" s="3" t="n">
        <v>1100</v>
      </c>
      <c r="G304" s="3" t="n">
        <v>32</v>
      </c>
      <c r="H304" s="8" t="n">
        <f aca="false">(E304/1000)*(F304/1000)*(G304/1000)*7850</f>
        <v>475.2704</v>
      </c>
      <c r="I304" s="3" t="n">
        <v>1</v>
      </c>
      <c r="J304" s="9" t="n">
        <f aca="false">H304*I304</f>
        <v>475.2704</v>
      </c>
      <c r="K304" s="3"/>
    </row>
    <row r="305" customFormat="false" ht="15" hidden="false" customHeight="false" outlineLevel="0" collapsed="false">
      <c r="A305" s="3" t="s">
        <v>245</v>
      </c>
      <c r="B305" s="3" t="s">
        <v>210</v>
      </c>
      <c r="C305" s="3" t="s">
        <v>215</v>
      </c>
      <c r="D305" s="3" t="s">
        <v>8</v>
      </c>
      <c r="E305" s="3" t="n">
        <v>1720</v>
      </c>
      <c r="F305" s="3" t="n">
        <v>500</v>
      </c>
      <c r="G305" s="3" t="n">
        <v>32</v>
      </c>
      <c r="H305" s="8" t="n">
        <f aca="false">(E305/1000)*(F305/1000)*(G305/1000)*7850</f>
        <v>216.032</v>
      </c>
      <c r="I305" s="3" t="n">
        <v>2</v>
      </c>
      <c r="J305" s="9" t="n">
        <f aca="false">H305*I305</f>
        <v>432.064</v>
      </c>
      <c r="K305" s="3"/>
    </row>
    <row r="306" customFormat="false" ht="15" hidden="false" customHeight="false" outlineLevel="0" collapsed="false">
      <c r="A306" s="3" t="s">
        <v>245</v>
      </c>
      <c r="B306" s="3" t="s">
        <v>210</v>
      </c>
      <c r="C306" s="3" t="s">
        <v>216</v>
      </c>
      <c r="D306" s="3" t="s">
        <v>8</v>
      </c>
      <c r="E306" s="3" t="n">
        <v>1520</v>
      </c>
      <c r="F306" s="3" t="n">
        <v>1100</v>
      </c>
      <c r="G306" s="3" t="n">
        <v>48</v>
      </c>
      <c r="H306" s="8" t="n">
        <f aca="false">(E306/1000)*(F306/1000)*(G306/1000)*7850</f>
        <v>630.0096</v>
      </c>
      <c r="I306" s="3" t="n">
        <v>1</v>
      </c>
      <c r="J306" s="9" t="n">
        <f aca="false">H306*I306</f>
        <v>630.0096</v>
      </c>
      <c r="K306" s="3"/>
    </row>
    <row r="307" customFormat="false" ht="15" hidden="false" customHeight="false" outlineLevel="0" collapsed="false">
      <c r="A307" s="3" t="s">
        <v>245</v>
      </c>
      <c r="B307" s="3" t="s">
        <v>210</v>
      </c>
      <c r="C307" s="3" t="s">
        <v>217</v>
      </c>
      <c r="D307" s="3" t="s">
        <v>8</v>
      </c>
      <c r="E307" s="3" t="n">
        <v>1520</v>
      </c>
      <c r="F307" s="3" t="n">
        <v>400</v>
      </c>
      <c r="G307" s="3" t="n">
        <v>48</v>
      </c>
      <c r="H307" s="8" t="n">
        <f aca="false">(E307/1000)*(F307/1000)*(G307/1000)*7850</f>
        <v>229.0944</v>
      </c>
      <c r="I307" s="3" t="n">
        <v>2</v>
      </c>
      <c r="J307" s="9" t="n">
        <f aca="false">H307*I307</f>
        <v>458.1888</v>
      </c>
      <c r="K307" s="3"/>
    </row>
    <row r="308" customFormat="false" ht="15" hidden="false" customHeight="false" outlineLevel="0" collapsed="false">
      <c r="A308" s="3" t="s">
        <v>245</v>
      </c>
      <c r="B308" s="3" t="s">
        <v>210</v>
      </c>
      <c r="C308" s="3" t="s">
        <v>218</v>
      </c>
      <c r="D308" s="3" t="s">
        <v>8</v>
      </c>
      <c r="E308" s="3" t="n">
        <v>1320</v>
      </c>
      <c r="F308" s="3" t="n">
        <v>240</v>
      </c>
      <c r="G308" s="3" t="n">
        <v>24</v>
      </c>
      <c r="H308" s="8" t="n">
        <f aca="false">(E308/1000)*(F308/1000)*(G308/1000)*7850</f>
        <v>59.68512</v>
      </c>
      <c r="I308" s="3" t="n">
        <v>8</v>
      </c>
      <c r="J308" s="9" t="n">
        <f aca="false">H308*I308</f>
        <v>477.48096</v>
      </c>
      <c r="K308" s="3"/>
    </row>
    <row r="309" customFormat="false" ht="15" hidden="false" customHeight="false" outlineLevel="0" collapsed="false">
      <c r="A309" s="3" t="s">
        <v>245</v>
      </c>
      <c r="B309" s="3" t="s">
        <v>210</v>
      </c>
      <c r="C309" s="3" t="s">
        <v>234</v>
      </c>
      <c r="D309" s="3" t="s">
        <v>8</v>
      </c>
      <c r="E309" s="3" t="n">
        <v>1220</v>
      </c>
      <c r="F309" s="3" t="n">
        <v>240</v>
      </c>
      <c r="G309" s="3" t="n">
        <v>24</v>
      </c>
      <c r="H309" s="8" t="n">
        <f aca="false">(E309/1000)*(F309/1000)*(G309/1000)*7850</f>
        <v>55.16352</v>
      </c>
      <c r="I309" s="3" t="n">
        <v>2</v>
      </c>
      <c r="J309" s="9" t="n">
        <f aca="false">H309*I309</f>
        <v>110.32704</v>
      </c>
      <c r="K309" s="3"/>
    </row>
    <row r="310" customFormat="false" ht="19.5" hidden="false" customHeight="false" outlineLevel="0" collapsed="false">
      <c r="A310" s="3" t="s">
        <v>245</v>
      </c>
      <c r="B310" s="3" t="s">
        <v>219</v>
      </c>
      <c r="C310" s="3" t="s">
        <v>220</v>
      </c>
      <c r="D310" s="3" t="s">
        <v>8</v>
      </c>
      <c r="E310" s="3" t="n">
        <v>1820</v>
      </c>
      <c r="F310" s="3" t="n">
        <v>1400</v>
      </c>
      <c r="G310" s="3" t="n">
        <v>40</v>
      </c>
      <c r="H310" s="8" t="n">
        <f aca="false">(E310/1000)*(F310/1000)*(G310/1000)*7850</f>
        <v>800.072</v>
      </c>
      <c r="I310" s="3" t="n">
        <v>2</v>
      </c>
      <c r="J310" s="9" t="n">
        <f aca="false">H310*I310</f>
        <v>1600.144</v>
      </c>
      <c r="K310" s="3"/>
    </row>
    <row r="311" customFormat="false" ht="19.5" hidden="false" customHeight="false" outlineLevel="0" collapsed="false">
      <c r="A311" s="3" t="s">
        <v>245</v>
      </c>
      <c r="B311" s="3" t="s">
        <v>219</v>
      </c>
      <c r="C311" s="3" t="s">
        <v>221</v>
      </c>
      <c r="D311" s="3" t="s">
        <v>8</v>
      </c>
      <c r="E311" s="3" t="n">
        <v>1820</v>
      </c>
      <c r="F311" s="3" t="n">
        <v>300</v>
      </c>
      <c r="G311" s="3" t="n">
        <v>40</v>
      </c>
      <c r="H311" s="8" t="n">
        <f aca="false">(E311/1000)*(F311/1000)*(G311/1000)*7850</f>
        <v>171.444</v>
      </c>
      <c r="I311" s="3" t="n">
        <v>2</v>
      </c>
      <c r="J311" s="9" t="n">
        <f aca="false">H311*I311</f>
        <v>342.888</v>
      </c>
      <c r="K311" s="3"/>
    </row>
    <row r="312" customFormat="false" ht="19.5" hidden="false" customHeight="false" outlineLevel="0" collapsed="false">
      <c r="A312" s="3" t="s">
        <v>245</v>
      </c>
      <c r="B312" s="3" t="s">
        <v>219</v>
      </c>
      <c r="C312" s="3" t="s">
        <v>222</v>
      </c>
      <c r="D312" s="3" t="s">
        <v>8</v>
      </c>
      <c r="E312" s="3" t="n">
        <v>1820</v>
      </c>
      <c r="F312" s="3" t="n">
        <v>500</v>
      </c>
      <c r="G312" s="3" t="n">
        <v>40</v>
      </c>
      <c r="H312" s="8" t="n">
        <f aca="false">(E312/1000)*(F312/1000)*(G312/1000)*7850</f>
        <v>285.74</v>
      </c>
      <c r="I312" s="3" t="n">
        <v>2</v>
      </c>
      <c r="J312" s="9" t="n">
        <f aca="false">H312*I312</f>
        <v>571.48</v>
      </c>
      <c r="K312" s="3"/>
    </row>
    <row r="313" customFormat="false" ht="19.5" hidden="false" customHeight="false" outlineLevel="0" collapsed="false">
      <c r="A313" s="3" t="s">
        <v>245</v>
      </c>
      <c r="B313" s="3" t="s">
        <v>219</v>
      </c>
      <c r="C313" s="3" t="s">
        <v>223</v>
      </c>
      <c r="D313" s="3" t="s">
        <v>8</v>
      </c>
      <c r="E313" s="3" t="n">
        <v>1820</v>
      </c>
      <c r="F313" s="3" t="n">
        <v>400</v>
      </c>
      <c r="G313" s="3" t="n">
        <v>40</v>
      </c>
      <c r="H313" s="8" t="n">
        <f aca="false">(E313/1000)*(F313/1000)*(G313/1000)*7850</f>
        <v>228.592</v>
      </c>
      <c r="I313" s="3" t="n">
        <v>2</v>
      </c>
      <c r="J313" s="9" t="n">
        <f aca="false">H313*I313</f>
        <v>457.184</v>
      </c>
      <c r="K313" s="3"/>
    </row>
    <row r="314" customFormat="false" ht="19.5" hidden="false" customHeight="false" outlineLevel="0" collapsed="false">
      <c r="A314" s="3" t="s">
        <v>245</v>
      </c>
      <c r="B314" s="3" t="s">
        <v>219</v>
      </c>
      <c r="C314" s="3" t="s">
        <v>224</v>
      </c>
      <c r="D314" s="3" t="s">
        <v>8</v>
      </c>
      <c r="E314" s="3" t="n">
        <v>1720</v>
      </c>
      <c r="F314" s="3" t="n">
        <v>1100</v>
      </c>
      <c r="G314" s="3" t="n">
        <v>44</v>
      </c>
      <c r="H314" s="8" t="n">
        <f aca="false">(E314/1000)*(F314/1000)*(G314/1000)*7850</f>
        <v>653.4968</v>
      </c>
      <c r="I314" s="3" t="n">
        <v>1</v>
      </c>
      <c r="J314" s="9" t="n">
        <f aca="false">H314*I314</f>
        <v>653.4968</v>
      </c>
      <c r="K314" s="3"/>
    </row>
    <row r="315" customFormat="false" ht="19.5" hidden="false" customHeight="false" outlineLevel="0" collapsed="false">
      <c r="A315" s="3" t="s">
        <v>245</v>
      </c>
      <c r="B315" s="3" t="s">
        <v>219</v>
      </c>
      <c r="C315" s="3" t="s">
        <v>225</v>
      </c>
      <c r="D315" s="3" t="s">
        <v>8</v>
      </c>
      <c r="E315" s="3" t="n">
        <v>1720</v>
      </c>
      <c r="F315" s="3" t="n">
        <v>400</v>
      </c>
      <c r="G315" s="3" t="n">
        <v>44</v>
      </c>
      <c r="H315" s="8" t="n">
        <f aca="false">(E315/1000)*(F315/1000)*(G315/1000)*7850</f>
        <v>237.6352</v>
      </c>
      <c r="I315" s="3" t="n">
        <v>2</v>
      </c>
      <c r="J315" s="9" t="n">
        <f aca="false">H315*I315</f>
        <v>475.2704</v>
      </c>
      <c r="K315" s="3"/>
    </row>
    <row r="316" customFormat="false" ht="19.5" hidden="false" customHeight="false" outlineLevel="0" collapsed="false">
      <c r="A316" s="3" t="s">
        <v>245</v>
      </c>
      <c r="B316" s="3" t="s">
        <v>219</v>
      </c>
      <c r="C316" s="3" t="s">
        <v>226</v>
      </c>
      <c r="D316" s="3" t="s">
        <v>8</v>
      </c>
      <c r="E316" s="3" t="n">
        <v>1320</v>
      </c>
      <c r="F316" s="3" t="n">
        <v>240</v>
      </c>
      <c r="G316" s="3" t="n">
        <v>24</v>
      </c>
      <c r="H316" s="8" t="n">
        <f aca="false">(E316/1000)*(F316/1000)*(G316/1000)*7850</f>
        <v>59.68512</v>
      </c>
      <c r="I316" s="3" t="n">
        <v>10</v>
      </c>
      <c r="J316" s="9" t="n">
        <f aca="false">H316*I316</f>
        <v>596.8512</v>
      </c>
      <c r="K316" s="3"/>
    </row>
    <row r="317" customFormat="false" ht="19.5" hidden="false" customHeight="false" outlineLevel="0" collapsed="false">
      <c r="A317" s="3" t="s">
        <v>246</v>
      </c>
      <c r="B317" s="3" t="s">
        <v>203</v>
      </c>
      <c r="C317" s="3" t="s">
        <v>204</v>
      </c>
      <c r="D317" s="3" t="s">
        <v>8</v>
      </c>
      <c r="E317" s="3" t="n">
        <v>1300</v>
      </c>
      <c r="F317" s="3" t="n">
        <v>1020</v>
      </c>
      <c r="G317" s="3" t="n">
        <v>24</v>
      </c>
      <c r="H317" s="8" t="n">
        <f aca="false">(E317/1000)*(F317/1000)*(G317/1000)*7850</f>
        <v>249.8184</v>
      </c>
      <c r="I317" s="3" t="n">
        <v>2</v>
      </c>
      <c r="J317" s="9" t="n">
        <f aca="false">H317*I317</f>
        <v>499.6368</v>
      </c>
      <c r="K317" s="3"/>
    </row>
    <row r="318" customFormat="false" ht="19.5" hidden="false" customHeight="false" outlineLevel="0" collapsed="false">
      <c r="A318" s="3" t="s">
        <v>246</v>
      </c>
      <c r="B318" s="3" t="s">
        <v>203</v>
      </c>
      <c r="C318" s="3" t="s">
        <v>205</v>
      </c>
      <c r="D318" s="3" t="s">
        <v>8</v>
      </c>
      <c r="E318" s="3" t="n">
        <v>1020</v>
      </c>
      <c r="F318" s="3" t="n">
        <v>600</v>
      </c>
      <c r="G318" s="3" t="n">
        <v>24</v>
      </c>
      <c r="H318" s="8" t="n">
        <f aca="false">(E318/1000)*(F318/1000)*(G318/1000)*7850</f>
        <v>115.3008</v>
      </c>
      <c r="I318" s="3" t="n">
        <v>4</v>
      </c>
      <c r="J318" s="9" t="n">
        <f aca="false">H318*I318</f>
        <v>461.2032</v>
      </c>
      <c r="K318" s="3"/>
    </row>
    <row r="319" customFormat="false" ht="19.5" hidden="false" customHeight="false" outlineLevel="0" collapsed="false">
      <c r="A319" s="3" t="s">
        <v>246</v>
      </c>
      <c r="B319" s="3" t="s">
        <v>203</v>
      </c>
      <c r="C319" s="3" t="s">
        <v>206</v>
      </c>
      <c r="D319" s="3" t="s">
        <v>8</v>
      </c>
      <c r="E319" s="3" t="n">
        <v>1320</v>
      </c>
      <c r="F319" s="3" t="n">
        <v>1100</v>
      </c>
      <c r="G319" s="3" t="n">
        <v>36</v>
      </c>
      <c r="H319" s="8" t="n">
        <f aca="false">(E319/1000)*(F319/1000)*(G319/1000)*7850</f>
        <v>410.3352</v>
      </c>
      <c r="I319" s="3" t="n">
        <v>1</v>
      </c>
      <c r="J319" s="9" t="n">
        <f aca="false">H319*I319</f>
        <v>410.3352</v>
      </c>
      <c r="K319" s="3"/>
    </row>
    <row r="320" customFormat="false" ht="19.5" hidden="false" customHeight="false" outlineLevel="0" collapsed="false">
      <c r="A320" s="3" t="s">
        <v>246</v>
      </c>
      <c r="B320" s="3" t="s">
        <v>203</v>
      </c>
      <c r="C320" s="3" t="s">
        <v>207</v>
      </c>
      <c r="D320" s="3" t="s">
        <v>8</v>
      </c>
      <c r="E320" s="3" t="n">
        <v>1320</v>
      </c>
      <c r="F320" s="3" t="n">
        <v>400</v>
      </c>
      <c r="G320" s="3" t="n">
        <v>36</v>
      </c>
      <c r="H320" s="8" t="n">
        <f aca="false">(E320/1000)*(F320/1000)*(G320/1000)*7850</f>
        <v>149.2128</v>
      </c>
      <c r="I320" s="3" t="n">
        <v>2</v>
      </c>
      <c r="J320" s="9" t="n">
        <f aca="false">H320*I320</f>
        <v>298.4256</v>
      </c>
      <c r="K320" s="3"/>
    </row>
    <row r="321" customFormat="false" ht="19.5" hidden="false" customHeight="false" outlineLevel="0" collapsed="false">
      <c r="A321" s="3" t="s">
        <v>246</v>
      </c>
      <c r="B321" s="3" t="s">
        <v>203</v>
      </c>
      <c r="C321" s="3" t="s">
        <v>208</v>
      </c>
      <c r="D321" s="3" t="s">
        <v>8</v>
      </c>
      <c r="E321" s="3" t="n">
        <v>920</v>
      </c>
      <c r="F321" s="3" t="n">
        <v>200</v>
      </c>
      <c r="G321" s="3" t="n">
        <v>20</v>
      </c>
      <c r="H321" s="8" t="n">
        <f aca="false">(E321/1000)*(F321/1000)*(G321/1000)*7850</f>
        <v>28.888</v>
      </c>
      <c r="I321" s="3" t="n">
        <v>6</v>
      </c>
      <c r="J321" s="9" t="n">
        <f aca="false">H321*I321</f>
        <v>173.328</v>
      </c>
      <c r="K321" s="3"/>
    </row>
    <row r="322" customFormat="false" ht="19.5" hidden="false" customHeight="false" outlineLevel="0" collapsed="false">
      <c r="A322" s="3" t="s">
        <v>246</v>
      </c>
      <c r="B322" s="3" t="s">
        <v>203</v>
      </c>
      <c r="C322" s="3" t="s">
        <v>209</v>
      </c>
      <c r="D322" s="3" t="s">
        <v>8</v>
      </c>
      <c r="E322" s="3" t="n">
        <v>1700</v>
      </c>
      <c r="F322" s="3" t="n">
        <v>500</v>
      </c>
      <c r="G322" s="3" t="n">
        <v>8</v>
      </c>
      <c r="H322" s="8" t="n">
        <f aca="false">(E322/1000)*(F322/1000)*(G322/1000)*7850</f>
        <v>53.38</v>
      </c>
      <c r="I322" s="3" t="n">
        <v>2</v>
      </c>
      <c r="J322" s="9" t="n">
        <f aca="false">H322*I322</f>
        <v>106.76</v>
      </c>
      <c r="K322" s="3"/>
    </row>
    <row r="323" customFormat="false" ht="19.5" hidden="false" customHeight="false" outlineLevel="0" collapsed="false">
      <c r="A323" s="3" t="s">
        <v>246</v>
      </c>
      <c r="B323" s="3" t="s">
        <v>203</v>
      </c>
      <c r="C323" s="3" t="s">
        <v>236</v>
      </c>
      <c r="D323" s="3" t="s">
        <v>8</v>
      </c>
      <c r="E323" s="3" t="n">
        <v>1100</v>
      </c>
      <c r="F323" s="3" t="n">
        <v>650</v>
      </c>
      <c r="G323" s="3" t="n">
        <v>4</v>
      </c>
      <c r="H323" s="8" t="n">
        <f aca="false">(E323/1000)*(F323/1000)*(G323/1000)*7850</f>
        <v>22.451</v>
      </c>
      <c r="I323" s="3" t="n">
        <v>1</v>
      </c>
      <c r="J323" s="9" t="n">
        <f aca="false">H323*I323</f>
        <v>22.451</v>
      </c>
      <c r="K323" s="3"/>
    </row>
    <row r="324" customFormat="false" ht="15" hidden="false" customHeight="false" outlineLevel="0" collapsed="false">
      <c r="A324" s="3" t="s">
        <v>246</v>
      </c>
      <c r="B324" s="3" t="s">
        <v>210</v>
      </c>
      <c r="C324" s="3" t="s">
        <v>211</v>
      </c>
      <c r="D324" s="3" t="s">
        <v>8</v>
      </c>
      <c r="E324" s="3" t="n">
        <v>1520</v>
      </c>
      <c r="F324" s="3" t="n">
        <v>1100</v>
      </c>
      <c r="G324" s="3" t="n">
        <v>24</v>
      </c>
      <c r="H324" s="8" t="n">
        <f aca="false">(E324/1000)*(F324/1000)*(G324/1000)*7850</f>
        <v>315.0048</v>
      </c>
      <c r="I324" s="3" t="n">
        <v>2</v>
      </c>
      <c r="J324" s="9" t="n">
        <f aca="false">H324*I324</f>
        <v>630.0096</v>
      </c>
      <c r="K324" s="3"/>
    </row>
    <row r="325" customFormat="false" ht="15" hidden="false" customHeight="false" outlineLevel="0" collapsed="false">
      <c r="A325" s="3" t="s">
        <v>246</v>
      </c>
      <c r="B325" s="3" t="s">
        <v>210</v>
      </c>
      <c r="C325" s="3" t="s">
        <v>212</v>
      </c>
      <c r="D325" s="3" t="s">
        <v>8</v>
      </c>
      <c r="E325" s="3" t="n">
        <v>1520</v>
      </c>
      <c r="F325" s="3" t="n">
        <v>500</v>
      </c>
      <c r="G325" s="3" t="n">
        <v>24</v>
      </c>
      <c r="H325" s="8" t="n">
        <f aca="false">(E325/1000)*(F325/1000)*(G325/1000)*7850</f>
        <v>143.184</v>
      </c>
      <c r="I325" s="3" t="n">
        <v>4</v>
      </c>
      <c r="J325" s="9" t="n">
        <f aca="false">H325*I325</f>
        <v>572.736</v>
      </c>
      <c r="K325" s="3"/>
    </row>
    <row r="326" customFormat="false" ht="15" hidden="false" customHeight="false" outlineLevel="0" collapsed="false">
      <c r="A326" s="3" t="s">
        <v>246</v>
      </c>
      <c r="B326" s="3" t="s">
        <v>210</v>
      </c>
      <c r="C326" s="3" t="s">
        <v>213</v>
      </c>
      <c r="D326" s="3" t="s">
        <v>8</v>
      </c>
      <c r="E326" s="3" t="n">
        <v>1320</v>
      </c>
      <c r="F326" s="3" t="n">
        <v>1100</v>
      </c>
      <c r="G326" s="3" t="n">
        <v>28</v>
      </c>
      <c r="H326" s="8" t="n">
        <f aca="false">(E326/1000)*(F326/1000)*(G326/1000)*7850</f>
        <v>319.1496</v>
      </c>
      <c r="I326" s="3" t="n">
        <v>1</v>
      </c>
      <c r="J326" s="9" t="n">
        <f aca="false">H326*I326</f>
        <v>319.1496</v>
      </c>
      <c r="K326" s="3"/>
    </row>
    <row r="327" customFormat="false" ht="15" hidden="false" customHeight="false" outlineLevel="0" collapsed="false">
      <c r="A327" s="3" t="s">
        <v>246</v>
      </c>
      <c r="B327" s="3" t="s">
        <v>210</v>
      </c>
      <c r="C327" s="3" t="s">
        <v>214</v>
      </c>
      <c r="D327" s="3" t="s">
        <v>8</v>
      </c>
      <c r="E327" s="3" t="n">
        <v>1320</v>
      </c>
      <c r="F327" s="3" t="n">
        <v>500</v>
      </c>
      <c r="G327" s="3" t="n">
        <v>28</v>
      </c>
      <c r="H327" s="8" t="n">
        <f aca="false">(E327/1000)*(F327/1000)*(G327/1000)*7850</f>
        <v>145.068</v>
      </c>
      <c r="I327" s="3" t="n">
        <v>2</v>
      </c>
      <c r="J327" s="9" t="n">
        <f aca="false">H327*I327</f>
        <v>290.136</v>
      </c>
      <c r="K327" s="3"/>
    </row>
    <row r="328" customFormat="false" ht="15" hidden="false" customHeight="false" outlineLevel="0" collapsed="false">
      <c r="A328" s="3" t="s">
        <v>246</v>
      </c>
      <c r="B328" s="3" t="s">
        <v>210</v>
      </c>
      <c r="C328" s="3" t="s">
        <v>215</v>
      </c>
      <c r="D328" s="3" t="s">
        <v>8</v>
      </c>
      <c r="E328" s="3" t="n">
        <v>1520</v>
      </c>
      <c r="F328" s="3" t="n">
        <v>1100</v>
      </c>
      <c r="G328" s="3" t="n">
        <v>44</v>
      </c>
      <c r="H328" s="8" t="n">
        <f aca="false">(E328/1000)*(F328/1000)*(G328/1000)*7850</f>
        <v>577.5088</v>
      </c>
      <c r="I328" s="3" t="n">
        <v>1</v>
      </c>
      <c r="J328" s="9" t="n">
        <f aca="false">H328*I328</f>
        <v>577.5088</v>
      </c>
      <c r="K328" s="3"/>
    </row>
    <row r="329" customFormat="false" ht="15" hidden="false" customHeight="false" outlineLevel="0" collapsed="false">
      <c r="A329" s="3" t="s">
        <v>246</v>
      </c>
      <c r="B329" s="3" t="s">
        <v>210</v>
      </c>
      <c r="C329" s="3" t="s">
        <v>216</v>
      </c>
      <c r="D329" s="3" t="s">
        <v>8</v>
      </c>
      <c r="E329" s="3" t="n">
        <v>1520</v>
      </c>
      <c r="F329" s="3" t="n">
        <v>240</v>
      </c>
      <c r="G329" s="3" t="n">
        <v>44</v>
      </c>
      <c r="H329" s="8" t="n">
        <f aca="false">(E329/1000)*(F329/1000)*(G329/1000)*7850</f>
        <v>126.00192</v>
      </c>
      <c r="I329" s="3" t="n">
        <v>2</v>
      </c>
      <c r="J329" s="9" t="n">
        <f aca="false">H329*I329</f>
        <v>252.00384</v>
      </c>
      <c r="K329" s="3"/>
    </row>
    <row r="330" customFormat="false" ht="15" hidden="false" customHeight="false" outlineLevel="0" collapsed="false">
      <c r="A330" s="3" t="s">
        <v>246</v>
      </c>
      <c r="B330" s="3" t="s">
        <v>210</v>
      </c>
      <c r="C330" s="3" t="s">
        <v>217</v>
      </c>
      <c r="D330" s="3" t="s">
        <v>8</v>
      </c>
      <c r="E330" s="3" t="n">
        <v>1220</v>
      </c>
      <c r="F330" s="3" t="n">
        <v>240</v>
      </c>
      <c r="G330" s="3" t="n">
        <v>24</v>
      </c>
      <c r="H330" s="8" t="n">
        <f aca="false">(E330/1000)*(F330/1000)*(G330/1000)*7850</f>
        <v>55.16352</v>
      </c>
      <c r="I330" s="3" t="n">
        <v>4</v>
      </c>
      <c r="J330" s="9" t="n">
        <f aca="false">H330*I330</f>
        <v>220.65408</v>
      </c>
      <c r="K330" s="3"/>
    </row>
    <row r="331" customFormat="false" ht="15" hidden="false" customHeight="false" outlineLevel="0" collapsed="false">
      <c r="A331" s="3" t="s">
        <v>246</v>
      </c>
      <c r="B331" s="3" t="s">
        <v>210</v>
      </c>
      <c r="C331" s="3" t="s">
        <v>218</v>
      </c>
      <c r="D331" s="3" t="s">
        <v>8</v>
      </c>
      <c r="E331" s="3" t="n">
        <v>1320</v>
      </c>
      <c r="F331" s="3" t="n">
        <v>240</v>
      </c>
      <c r="G331" s="3" t="n">
        <v>24</v>
      </c>
      <c r="H331" s="8" t="n">
        <f aca="false">(E331/1000)*(F331/1000)*(G331/1000)*7850</f>
        <v>59.68512</v>
      </c>
      <c r="I331" s="3" t="n">
        <v>2</v>
      </c>
      <c r="J331" s="9" t="n">
        <f aca="false">H331*I331</f>
        <v>119.37024</v>
      </c>
      <c r="K331" s="3"/>
    </row>
    <row r="332" customFormat="false" ht="19.5" hidden="false" customHeight="false" outlineLevel="0" collapsed="false">
      <c r="A332" s="3" t="s">
        <v>246</v>
      </c>
      <c r="B332" s="3" t="s">
        <v>219</v>
      </c>
      <c r="C332" s="3" t="s">
        <v>220</v>
      </c>
      <c r="D332" s="3" t="s">
        <v>8</v>
      </c>
      <c r="E332" s="3" t="n">
        <v>1400</v>
      </c>
      <c r="F332" s="3" t="n">
        <v>1220</v>
      </c>
      <c r="G332" s="3" t="n">
        <v>28</v>
      </c>
      <c r="H332" s="8" t="n">
        <f aca="false">(E332/1000)*(F332/1000)*(G332/1000)*7850</f>
        <v>375.4184</v>
      </c>
      <c r="I332" s="3" t="n">
        <v>2</v>
      </c>
      <c r="J332" s="9" t="n">
        <f aca="false">H332*I332</f>
        <v>750.8368</v>
      </c>
      <c r="K332" s="3"/>
    </row>
    <row r="333" customFormat="false" ht="19.5" hidden="false" customHeight="false" outlineLevel="0" collapsed="false">
      <c r="A333" s="3" t="s">
        <v>246</v>
      </c>
      <c r="B333" s="3" t="s">
        <v>219</v>
      </c>
      <c r="C333" s="3" t="s">
        <v>221</v>
      </c>
      <c r="D333" s="3" t="s">
        <v>8</v>
      </c>
      <c r="E333" s="3" t="n">
        <v>1220</v>
      </c>
      <c r="F333" s="3" t="n">
        <v>300</v>
      </c>
      <c r="G333" s="3" t="n">
        <v>28</v>
      </c>
      <c r="H333" s="8" t="n">
        <f aca="false">(E333/1000)*(F333/1000)*(G333/1000)*7850</f>
        <v>80.4468</v>
      </c>
      <c r="I333" s="3" t="n">
        <v>2</v>
      </c>
      <c r="J333" s="9" t="n">
        <f aca="false">H333*I333</f>
        <v>160.8936</v>
      </c>
      <c r="K333" s="3"/>
    </row>
    <row r="334" customFormat="false" ht="19.5" hidden="false" customHeight="false" outlineLevel="0" collapsed="false">
      <c r="A334" s="3" t="s">
        <v>246</v>
      </c>
      <c r="B334" s="3" t="s">
        <v>219</v>
      </c>
      <c r="C334" s="3" t="s">
        <v>222</v>
      </c>
      <c r="D334" s="3" t="s">
        <v>8</v>
      </c>
      <c r="E334" s="3" t="n">
        <v>1220</v>
      </c>
      <c r="F334" s="3" t="n">
        <v>500</v>
      </c>
      <c r="G334" s="3" t="n">
        <v>28</v>
      </c>
      <c r="H334" s="8" t="n">
        <f aca="false">(E334/1000)*(F334/1000)*(G334/1000)*7850</f>
        <v>134.078</v>
      </c>
      <c r="I334" s="3" t="n">
        <v>2</v>
      </c>
      <c r="J334" s="9" t="n">
        <f aca="false">H334*I334</f>
        <v>268.156</v>
      </c>
      <c r="K334" s="3"/>
    </row>
    <row r="335" customFormat="false" ht="19.5" hidden="false" customHeight="false" outlineLevel="0" collapsed="false">
      <c r="A335" s="3" t="s">
        <v>246</v>
      </c>
      <c r="B335" s="3" t="s">
        <v>219</v>
      </c>
      <c r="C335" s="3" t="s">
        <v>223</v>
      </c>
      <c r="D335" s="3" t="s">
        <v>8</v>
      </c>
      <c r="E335" s="3" t="n">
        <v>1220</v>
      </c>
      <c r="F335" s="3" t="n">
        <v>400</v>
      </c>
      <c r="G335" s="3" t="n">
        <v>28</v>
      </c>
      <c r="H335" s="8" t="n">
        <f aca="false">(E335/1000)*(F335/1000)*(G335/1000)*7850</f>
        <v>107.2624</v>
      </c>
      <c r="I335" s="3" t="n">
        <v>2</v>
      </c>
      <c r="J335" s="9" t="n">
        <f aca="false">H335*I335</f>
        <v>214.5248</v>
      </c>
      <c r="K335" s="3"/>
    </row>
    <row r="336" customFormat="false" ht="19.5" hidden="false" customHeight="false" outlineLevel="0" collapsed="false">
      <c r="A336" s="3" t="s">
        <v>246</v>
      </c>
      <c r="B336" s="3" t="s">
        <v>219</v>
      </c>
      <c r="C336" s="3" t="s">
        <v>224</v>
      </c>
      <c r="D336" s="3" t="s">
        <v>8</v>
      </c>
      <c r="E336" s="3" t="n">
        <v>1420</v>
      </c>
      <c r="F336" s="3" t="n">
        <v>1100</v>
      </c>
      <c r="G336" s="3" t="n">
        <v>32</v>
      </c>
      <c r="H336" s="8" t="n">
        <f aca="false">(E336/1000)*(F336/1000)*(G336/1000)*7850</f>
        <v>392.3744</v>
      </c>
      <c r="I336" s="3" t="n">
        <v>1</v>
      </c>
      <c r="J336" s="9" t="n">
        <f aca="false">H336*I336</f>
        <v>392.3744</v>
      </c>
      <c r="K336" s="3"/>
    </row>
    <row r="337" customFormat="false" ht="19.5" hidden="false" customHeight="false" outlineLevel="0" collapsed="false">
      <c r="A337" s="3" t="s">
        <v>246</v>
      </c>
      <c r="B337" s="3" t="s">
        <v>219</v>
      </c>
      <c r="C337" s="3" t="s">
        <v>225</v>
      </c>
      <c r="D337" s="3" t="s">
        <v>8</v>
      </c>
      <c r="E337" s="3" t="n">
        <v>1420</v>
      </c>
      <c r="F337" s="3" t="n">
        <v>400</v>
      </c>
      <c r="G337" s="3" t="n">
        <v>32</v>
      </c>
      <c r="H337" s="8" t="n">
        <f aca="false">(E337/1000)*(F337/1000)*(G337/1000)*7850</f>
        <v>142.6816</v>
      </c>
      <c r="I337" s="3" t="n">
        <v>2</v>
      </c>
      <c r="J337" s="9" t="n">
        <f aca="false">H337*I337</f>
        <v>285.3632</v>
      </c>
      <c r="K337" s="3"/>
    </row>
    <row r="338" customFormat="false" ht="19.5" hidden="false" customHeight="false" outlineLevel="0" collapsed="false">
      <c r="A338" s="3" t="s">
        <v>246</v>
      </c>
      <c r="B338" s="3" t="s">
        <v>219</v>
      </c>
      <c r="C338" s="3" t="s">
        <v>226</v>
      </c>
      <c r="D338" s="3" t="s">
        <v>8</v>
      </c>
      <c r="E338" s="3" t="n">
        <v>920</v>
      </c>
      <c r="F338" s="3" t="n">
        <v>200</v>
      </c>
      <c r="G338" s="3" t="n">
        <v>20</v>
      </c>
      <c r="H338" s="8" t="n">
        <f aca="false">(E338/1000)*(F338/1000)*(G338/1000)*7850</f>
        <v>28.888</v>
      </c>
      <c r="I338" s="3" t="n">
        <v>10</v>
      </c>
      <c r="J338" s="9" t="n">
        <f aca="false">H338*I338</f>
        <v>288.88</v>
      </c>
      <c r="K338" s="3"/>
    </row>
    <row r="339" customFormat="false" ht="19.5" hidden="false" customHeight="false" outlineLevel="0" collapsed="false">
      <c r="A339" s="3" t="s">
        <v>246</v>
      </c>
      <c r="B339" s="3" t="s">
        <v>219</v>
      </c>
      <c r="C339" s="3" t="s">
        <v>227</v>
      </c>
      <c r="D339" s="3" t="s">
        <v>8</v>
      </c>
      <c r="E339" s="3" t="n">
        <v>1800</v>
      </c>
      <c r="F339" s="3" t="n">
        <v>600</v>
      </c>
      <c r="G339" s="3" t="n">
        <v>16</v>
      </c>
      <c r="H339" s="8" t="n">
        <f aca="false">(E339/1000)*(F339/1000)*(G339/1000)*7850</f>
        <v>135.648</v>
      </c>
      <c r="I339" s="3" t="n">
        <v>2</v>
      </c>
      <c r="J339" s="9" t="n">
        <f aca="false">H339*I339</f>
        <v>271.296</v>
      </c>
      <c r="K339" s="3"/>
    </row>
    <row r="340" customFormat="false" ht="19.5" hidden="false" customHeight="false" outlineLevel="0" collapsed="false">
      <c r="A340" s="3" t="s">
        <v>246</v>
      </c>
      <c r="B340" s="3" t="s">
        <v>219</v>
      </c>
      <c r="C340" s="3" t="s">
        <v>237</v>
      </c>
      <c r="D340" s="3" t="s">
        <v>8</v>
      </c>
      <c r="E340" s="3" t="n">
        <v>1100</v>
      </c>
      <c r="F340" s="3" t="n">
        <v>700</v>
      </c>
      <c r="G340" s="3" t="n">
        <v>16</v>
      </c>
      <c r="H340" s="8" t="n">
        <f aca="false">(E340/1000)*(F340/1000)*(G340/1000)*7850</f>
        <v>96.712</v>
      </c>
      <c r="I340" s="3" t="n">
        <v>1</v>
      </c>
      <c r="J340" s="9" t="n">
        <f aca="false">H340*I340</f>
        <v>96.712</v>
      </c>
      <c r="K340" s="3"/>
    </row>
    <row r="341" customFormat="false" ht="19.5" hidden="false" customHeight="false" outlineLevel="0" collapsed="false">
      <c r="A341" s="3" t="s">
        <v>247</v>
      </c>
      <c r="B341" s="3" t="s">
        <v>203</v>
      </c>
      <c r="C341" s="3" t="s">
        <v>204</v>
      </c>
      <c r="D341" s="3" t="s">
        <v>8</v>
      </c>
      <c r="E341" s="3" t="n">
        <v>1300</v>
      </c>
      <c r="F341" s="3" t="n">
        <v>1020</v>
      </c>
      <c r="G341" s="3" t="n">
        <v>24</v>
      </c>
      <c r="H341" s="8" t="n">
        <f aca="false">(E341/1000)*(F341/1000)*(G341/1000)*7850</f>
        <v>249.8184</v>
      </c>
      <c r="I341" s="3" t="n">
        <v>2</v>
      </c>
      <c r="J341" s="9" t="n">
        <f aca="false">H341*I341</f>
        <v>499.6368</v>
      </c>
      <c r="K341" s="3"/>
    </row>
    <row r="342" customFormat="false" ht="19.5" hidden="false" customHeight="false" outlineLevel="0" collapsed="false">
      <c r="A342" s="3" t="s">
        <v>247</v>
      </c>
      <c r="B342" s="3" t="s">
        <v>203</v>
      </c>
      <c r="C342" s="3" t="s">
        <v>205</v>
      </c>
      <c r="D342" s="3" t="s">
        <v>8</v>
      </c>
      <c r="E342" s="3" t="n">
        <v>1020</v>
      </c>
      <c r="F342" s="3" t="n">
        <v>600</v>
      </c>
      <c r="G342" s="3" t="n">
        <v>24</v>
      </c>
      <c r="H342" s="8" t="n">
        <f aca="false">(E342/1000)*(F342/1000)*(G342/1000)*7850</f>
        <v>115.3008</v>
      </c>
      <c r="I342" s="3" t="n">
        <v>4</v>
      </c>
      <c r="J342" s="9" t="n">
        <f aca="false">H342*I342</f>
        <v>461.2032</v>
      </c>
      <c r="K342" s="3"/>
    </row>
    <row r="343" customFormat="false" ht="19.5" hidden="false" customHeight="false" outlineLevel="0" collapsed="false">
      <c r="A343" s="3" t="s">
        <v>247</v>
      </c>
      <c r="B343" s="3" t="s">
        <v>203</v>
      </c>
      <c r="C343" s="3" t="s">
        <v>206</v>
      </c>
      <c r="D343" s="3" t="s">
        <v>8</v>
      </c>
      <c r="E343" s="3" t="n">
        <v>1320</v>
      </c>
      <c r="F343" s="3" t="n">
        <v>1100</v>
      </c>
      <c r="G343" s="3" t="n">
        <v>36</v>
      </c>
      <c r="H343" s="8" t="n">
        <f aca="false">(E343/1000)*(F343/1000)*(G343/1000)*7850</f>
        <v>410.3352</v>
      </c>
      <c r="I343" s="3" t="n">
        <v>1</v>
      </c>
      <c r="J343" s="9" t="n">
        <f aca="false">H343*I343</f>
        <v>410.3352</v>
      </c>
      <c r="K343" s="3"/>
    </row>
    <row r="344" customFormat="false" ht="19.5" hidden="false" customHeight="false" outlineLevel="0" collapsed="false">
      <c r="A344" s="3" t="s">
        <v>247</v>
      </c>
      <c r="B344" s="3" t="s">
        <v>203</v>
      </c>
      <c r="C344" s="3" t="s">
        <v>207</v>
      </c>
      <c r="D344" s="3" t="s">
        <v>8</v>
      </c>
      <c r="E344" s="3" t="n">
        <v>1320</v>
      </c>
      <c r="F344" s="3" t="n">
        <v>400</v>
      </c>
      <c r="G344" s="3" t="n">
        <v>36</v>
      </c>
      <c r="H344" s="8" t="n">
        <f aca="false">(E344/1000)*(F344/1000)*(G344/1000)*7850</f>
        <v>149.2128</v>
      </c>
      <c r="I344" s="3" t="n">
        <v>2</v>
      </c>
      <c r="J344" s="9" t="n">
        <f aca="false">H344*I344</f>
        <v>298.4256</v>
      </c>
      <c r="K344" s="3"/>
    </row>
    <row r="345" customFormat="false" ht="19.5" hidden="false" customHeight="false" outlineLevel="0" collapsed="false">
      <c r="A345" s="3" t="s">
        <v>247</v>
      </c>
      <c r="B345" s="3" t="s">
        <v>203</v>
      </c>
      <c r="C345" s="3" t="s">
        <v>208</v>
      </c>
      <c r="D345" s="3" t="s">
        <v>8</v>
      </c>
      <c r="E345" s="3" t="n">
        <v>920</v>
      </c>
      <c r="F345" s="3" t="n">
        <v>200</v>
      </c>
      <c r="G345" s="3" t="n">
        <v>20</v>
      </c>
      <c r="H345" s="8" t="n">
        <f aca="false">(E345/1000)*(F345/1000)*(G345/1000)*7850</f>
        <v>28.888</v>
      </c>
      <c r="I345" s="3" t="n">
        <v>6</v>
      </c>
      <c r="J345" s="9" t="n">
        <f aca="false">H345*I345</f>
        <v>173.328</v>
      </c>
      <c r="K345" s="3"/>
    </row>
    <row r="346" customFormat="false" ht="19.5" hidden="false" customHeight="false" outlineLevel="0" collapsed="false">
      <c r="A346" s="3" t="s">
        <v>247</v>
      </c>
      <c r="B346" s="3" t="s">
        <v>203</v>
      </c>
      <c r="C346" s="3" t="s">
        <v>209</v>
      </c>
      <c r="D346" s="3" t="s">
        <v>8</v>
      </c>
      <c r="E346" s="3" t="n">
        <v>1700</v>
      </c>
      <c r="F346" s="3" t="n">
        <v>500</v>
      </c>
      <c r="G346" s="3" t="n">
        <v>8</v>
      </c>
      <c r="H346" s="8" t="n">
        <f aca="false">(E346/1000)*(F346/1000)*(G346/1000)*7850</f>
        <v>53.38</v>
      </c>
      <c r="I346" s="3" t="n">
        <v>2</v>
      </c>
      <c r="J346" s="9" t="n">
        <f aca="false">H346*I346</f>
        <v>106.76</v>
      </c>
      <c r="K346" s="3"/>
    </row>
    <row r="347" customFormat="false" ht="19.5" hidden="false" customHeight="false" outlineLevel="0" collapsed="false">
      <c r="A347" s="3" t="s">
        <v>247</v>
      </c>
      <c r="B347" s="3" t="s">
        <v>203</v>
      </c>
      <c r="C347" s="3" t="s">
        <v>236</v>
      </c>
      <c r="D347" s="3" t="s">
        <v>8</v>
      </c>
      <c r="E347" s="3" t="n">
        <v>1100</v>
      </c>
      <c r="F347" s="3" t="n">
        <v>650</v>
      </c>
      <c r="G347" s="3" t="n">
        <v>4</v>
      </c>
      <c r="H347" s="8" t="n">
        <f aca="false">(E347/1000)*(F347/1000)*(G347/1000)*7850</f>
        <v>22.451</v>
      </c>
      <c r="I347" s="3" t="n">
        <v>1</v>
      </c>
      <c r="J347" s="9" t="n">
        <f aca="false">H347*I347</f>
        <v>22.451</v>
      </c>
      <c r="K347" s="3"/>
    </row>
    <row r="348" customFormat="false" ht="15" hidden="false" customHeight="false" outlineLevel="0" collapsed="false">
      <c r="A348" s="3" t="s">
        <v>247</v>
      </c>
      <c r="B348" s="3" t="s">
        <v>210</v>
      </c>
      <c r="C348" s="3" t="s">
        <v>211</v>
      </c>
      <c r="D348" s="3" t="s">
        <v>8</v>
      </c>
      <c r="E348" s="3" t="n">
        <v>1520</v>
      </c>
      <c r="F348" s="3" t="n">
        <v>1100</v>
      </c>
      <c r="G348" s="3" t="n">
        <v>24</v>
      </c>
      <c r="H348" s="8" t="n">
        <f aca="false">(E348/1000)*(F348/1000)*(G348/1000)*7850</f>
        <v>315.0048</v>
      </c>
      <c r="I348" s="3" t="n">
        <v>2</v>
      </c>
      <c r="J348" s="9" t="n">
        <f aca="false">H348*I348</f>
        <v>630.0096</v>
      </c>
      <c r="K348" s="3"/>
    </row>
    <row r="349" customFormat="false" ht="15" hidden="false" customHeight="false" outlineLevel="0" collapsed="false">
      <c r="A349" s="3" t="s">
        <v>247</v>
      </c>
      <c r="B349" s="3" t="s">
        <v>210</v>
      </c>
      <c r="C349" s="3" t="s">
        <v>212</v>
      </c>
      <c r="D349" s="3" t="s">
        <v>8</v>
      </c>
      <c r="E349" s="3" t="n">
        <v>1520</v>
      </c>
      <c r="F349" s="3" t="n">
        <v>500</v>
      </c>
      <c r="G349" s="3" t="n">
        <v>24</v>
      </c>
      <c r="H349" s="8" t="n">
        <f aca="false">(E349/1000)*(F349/1000)*(G349/1000)*7850</f>
        <v>143.184</v>
      </c>
      <c r="I349" s="3" t="n">
        <v>4</v>
      </c>
      <c r="J349" s="9" t="n">
        <f aca="false">H349*I349</f>
        <v>572.736</v>
      </c>
      <c r="K349" s="3"/>
    </row>
    <row r="350" customFormat="false" ht="15" hidden="false" customHeight="false" outlineLevel="0" collapsed="false">
      <c r="A350" s="3" t="s">
        <v>247</v>
      </c>
      <c r="B350" s="3" t="s">
        <v>210</v>
      </c>
      <c r="C350" s="3" t="s">
        <v>213</v>
      </c>
      <c r="D350" s="3" t="s">
        <v>8</v>
      </c>
      <c r="E350" s="3" t="n">
        <v>1320</v>
      </c>
      <c r="F350" s="3" t="n">
        <v>1100</v>
      </c>
      <c r="G350" s="3" t="n">
        <v>28</v>
      </c>
      <c r="H350" s="8" t="n">
        <f aca="false">(E350/1000)*(F350/1000)*(G350/1000)*7850</f>
        <v>319.1496</v>
      </c>
      <c r="I350" s="3" t="n">
        <v>1</v>
      </c>
      <c r="J350" s="9" t="n">
        <f aca="false">H350*I350</f>
        <v>319.1496</v>
      </c>
      <c r="K350" s="3"/>
    </row>
    <row r="351" customFormat="false" ht="15" hidden="false" customHeight="false" outlineLevel="0" collapsed="false">
      <c r="A351" s="3" t="s">
        <v>247</v>
      </c>
      <c r="B351" s="3" t="s">
        <v>210</v>
      </c>
      <c r="C351" s="3" t="s">
        <v>214</v>
      </c>
      <c r="D351" s="3" t="s">
        <v>8</v>
      </c>
      <c r="E351" s="3" t="n">
        <v>1320</v>
      </c>
      <c r="F351" s="3" t="n">
        <v>500</v>
      </c>
      <c r="G351" s="3" t="n">
        <v>28</v>
      </c>
      <c r="H351" s="8" t="n">
        <f aca="false">(E351/1000)*(F351/1000)*(G351/1000)*7850</f>
        <v>145.068</v>
      </c>
      <c r="I351" s="3" t="n">
        <v>2</v>
      </c>
      <c r="J351" s="9" t="n">
        <f aca="false">H351*I351</f>
        <v>290.136</v>
      </c>
      <c r="K351" s="3"/>
    </row>
    <row r="352" customFormat="false" ht="15" hidden="false" customHeight="false" outlineLevel="0" collapsed="false">
      <c r="A352" s="3" t="s">
        <v>247</v>
      </c>
      <c r="B352" s="3" t="s">
        <v>210</v>
      </c>
      <c r="C352" s="3" t="s">
        <v>215</v>
      </c>
      <c r="D352" s="3" t="s">
        <v>8</v>
      </c>
      <c r="E352" s="3" t="n">
        <v>1520</v>
      </c>
      <c r="F352" s="3" t="n">
        <v>1100</v>
      </c>
      <c r="G352" s="3" t="n">
        <v>44</v>
      </c>
      <c r="H352" s="8" t="n">
        <f aca="false">(E352/1000)*(F352/1000)*(G352/1000)*7850</f>
        <v>577.5088</v>
      </c>
      <c r="I352" s="3" t="n">
        <v>1</v>
      </c>
      <c r="J352" s="9" t="n">
        <f aca="false">H352*I352</f>
        <v>577.5088</v>
      </c>
      <c r="K352" s="3"/>
    </row>
    <row r="353" customFormat="false" ht="15" hidden="false" customHeight="false" outlineLevel="0" collapsed="false">
      <c r="A353" s="3" t="s">
        <v>247</v>
      </c>
      <c r="B353" s="3" t="s">
        <v>210</v>
      </c>
      <c r="C353" s="3" t="s">
        <v>216</v>
      </c>
      <c r="D353" s="3" t="s">
        <v>8</v>
      </c>
      <c r="E353" s="3" t="n">
        <v>1520</v>
      </c>
      <c r="F353" s="3" t="n">
        <v>240</v>
      </c>
      <c r="G353" s="3" t="n">
        <v>44</v>
      </c>
      <c r="H353" s="8" t="n">
        <f aca="false">(E353/1000)*(F353/1000)*(G353/1000)*7850</f>
        <v>126.00192</v>
      </c>
      <c r="I353" s="3" t="n">
        <v>2</v>
      </c>
      <c r="J353" s="9" t="n">
        <f aca="false">H353*I353</f>
        <v>252.00384</v>
      </c>
      <c r="K353" s="3"/>
    </row>
    <row r="354" customFormat="false" ht="15" hidden="false" customHeight="false" outlineLevel="0" collapsed="false">
      <c r="A354" s="3" t="s">
        <v>247</v>
      </c>
      <c r="B354" s="3" t="s">
        <v>210</v>
      </c>
      <c r="C354" s="3" t="s">
        <v>217</v>
      </c>
      <c r="D354" s="3" t="s">
        <v>8</v>
      </c>
      <c r="E354" s="3" t="n">
        <v>1220</v>
      </c>
      <c r="F354" s="3" t="n">
        <v>240</v>
      </c>
      <c r="G354" s="3" t="n">
        <v>24</v>
      </c>
      <c r="H354" s="8" t="n">
        <f aca="false">(E354/1000)*(F354/1000)*(G354/1000)*7850</f>
        <v>55.16352</v>
      </c>
      <c r="I354" s="3" t="n">
        <v>4</v>
      </c>
      <c r="J354" s="9" t="n">
        <f aca="false">H354*I354</f>
        <v>220.65408</v>
      </c>
      <c r="K354" s="3"/>
    </row>
    <row r="355" customFormat="false" ht="15" hidden="false" customHeight="false" outlineLevel="0" collapsed="false">
      <c r="A355" s="3" t="s">
        <v>247</v>
      </c>
      <c r="B355" s="3" t="s">
        <v>210</v>
      </c>
      <c r="C355" s="3" t="s">
        <v>218</v>
      </c>
      <c r="D355" s="3" t="s">
        <v>8</v>
      </c>
      <c r="E355" s="3" t="n">
        <v>1320</v>
      </c>
      <c r="F355" s="3" t="n">
        <v>240</v>
      </c>
      <c r="G355" s="3" t="n">
        <v>24</v>
      </c>
      <c r="H355" s="8" t="n">
        <f aca="false">(E355/1000)*(F355/1000)*(G355/1000)*7850</f>
        <v>59.68512</v>
      </c>
      <c r="I355" s="3" t="n">
        <v>2</v>
      </c>
      <c r="J355" s="9" t="n">
        <f aca="false">H355*I355</f>
        <v>119.37024</v>
      </c>
      <c r="K355" s="3"/>
    </row>
    <row r="356" customFormat="false" ht="19.5" hidden="false" customHeight="false" outlineLevel="0" collapsed="false">
      <c r="A356" s="3" t="s">
        <v>247</v>
      </c>
      <c r="B356" s="3" t="s">
        <v>219</v>
      </c>
      <c r="C356" s="3" t="s">
        <v>220</v>
      </c>
      <c r="D356" s="3" t="s">
        <v>8</v>
      </c>
      <c r="E356" s="3" t="n">
        <v>1400</v>
      </c>
      <c r="F356" s="3" t="n">
        <v>1020</v>
      </c>
      <c r="G356" s="3" t="n">
        <v>24</v>
      </c>
      <c r="H356" s="8" t="n">
        <f aca="false">(E356/1000)*(F356/1000)*(G356/1000)*7850</f>
        <v>269.0352</v>
      </c>
      <c r="I356" s="3" t="n">
        <v>2</v>
      </c>
      <c r="J356" s="9" t="n">
        <f aca="false">H356*I356</f>
        <v>538.0704</v>
      </c>
      <c r="K356" s="3"/>
    </row>
    <row r="357" customFormat="false" ht="19.5" hidden="false" customHeight="false" outlineLevel="0" collapsed="false">
      <c r="A357" s="3" t="s">
        <v>247</v>
      </c>
      <c r="B357" s="3" t="s">
        <v>219</v>
      </c>
      <c r="C357" s="3" t="s">
        <v>221</v>
      </c>
      <c r="D357" s="3" t="s">
        <v>8</v>
      </c>
      <c r="E357" s="3" t="n">
        <v>1020</v>
      </c>
      <c r="F357" s="3" t="n">
        <v>300</v>
      </c>
      <c r="G357" s="3" t="n">
        <v>24</v>
      </c>
      <c r="H357" s="8" t="n">
        <f aca="false">(E357/1000)*(F357/1000)*(G357/1000)*7850</f>
        <v>57.6504</v>
      </c>
      <c r="I357" s="3" t="n">
        <v>2</v>
      </c>
      <c r="J357" s="9" t="n">
        <f aca="false">H357*I357</f>
        <v>115.3008</v>
      </c>
      <c r="K357" s="3"/>
    </row>
    <row r="358" customFormat="false" ht="19.5" hidden="false" customHeight="false" outlineLevel="0" collapsed="false">
      <c r="A358" s="3" t="s">
        <v>247</v>
      </c>
      <c r="B358" s="3" t="s">
        <v>219</v>
      </c>
      <c r="C358" s="3" t="s">
        <v>222</v>
      </c>
      <c r="D358" s="3" t="s">
        <v>8</v>
      </c>
      <c r="E358" s="3" t="n">
        <v>1020</v>
      </c>
      <c r="F358" s="3" t="n">
        <v>500</v>
      </c>
      <c r="G358" s="3" t="n">
        <v>24</v>
      </c>
      <c r="H358" s="8" t="n">
        <f aca="false">(E358/1000)*(F358/1000)*(G358/1000)*7850</f>
        <v>96.084</v>
      </c>
      <c r="I358" s="3" t="n">
        <v>2</v>
      </c>
      <c r="J358" s="9" t="n">
        <f aca="false">H358*I358</f>
        <v>192.168</v>
      </c>
      <c r="K358" s="3"/>
    </row>
    <row r="359" customFormat="false" ht="19.5" hidden="false" customHeight="false" outlineLevel="0" collapsed="false">
      <c r="A359" s="3" t="s">
        <v>247</v>
      </c>
      <c r="B359" s="3" t="s">
        <v>219</v>
      </c>
      <c r="C359" s="3" t="s">
        <v>223</v>
      </c>
      <c r="D359" s="3" t="s">
        <v>8</v>
      </c>
      <c r="E359" s="3" t="n">
        <v>1020</v>
      </c>
      <c r="F359" s="3" t="n">
        <v>400</v>
      </c>
      <c r="G359" s="3" t="n">
        <v>24</v>
      </c>
      <c r="H359" s="8" t="n">
        <f aca="false">(E359/1000)*(F359/1000)*(G359/1000)*7850</f>
        <v>76.8672</v>
      </c>
      <c r="I359" s="3" t="n">
        <v>2</v>
      </c>
      <c r="J359" s="9" t="n">
        <f aca="false">H359*I359</f>
        <v>153.7344</v>
      </c>
      <c r="K359" s="3"/>
    </row>
    <row r="360" customFormat="false" ht="19.5" hidden="false" customHeight="false" outlineLevel="0" collapsed="false">
      <c r="A360" s="3" t="s">
        <v>247</v>
      </c>
      <c r="B360" s="3" t="s">
        <v>219</v>
      </c>
      <c r="C360" s="3" t="s">
        <v>224</v>
      </c>
      <c r="D360" s="3" t="s">
        <v>8</v>
      </c>
      <c r="E360" s="3" t="n">
        <v>1420</v>
      </c>
      <c r="F360" s="3" t="n">
        <v>1100</v>
      </c>
      <c r="G360" s="3" t="n">
        <v>28</v>
      </c>
      <c r="H360" s="8" t="n">
        <f aca="false">(E360/1000)*(F360/1000)*(G360/1000)*7850</f>
        <v>343.3276</v>
      </c>
      <c r="I360" s="3" t="n">
        <v>1</v>
      </c>
      <c r="J360" s="9" t="n">
        <f aca="false">H360*I360</f>
        <v>343.3276</v>
      </c>
      <c r="K360" s="3"/>
    </row>
    <row r="361" customFormat="false" ht="19.5" hidden="false" customHeight="false" outlineLevel="0" collapsed="false">
      <c r="A361" s="3" t="s">
        <v>247</v>
      </c>
      <c r="B361" s="3" t="s">
        <v>219</v>
      </c>
      <c r="C361" s="3" t="s">
        <v>225</v>
      </c>
      <c r="D361" s="3" t="s">
        <v>8</v>
      </c>
      <c r="E361" s="3" t="n">
        <v>1420</v>
      </c>
      <c r="F361" s="3" t="n">
        <v>400</v>
      </c>
      <c r="G361" s="3" t="n">
        <v>28</v>
      </c>
      <c r="H361" s="8" t="n">
        <f aca="false">(E361/1000)*(F361/1000)*(G361/1000)*7850</f>
        <v>124.8464</v>
      </c>
      <c r="I361" s="3" t="n">
        <v>2</v>
      </c>
      <c r="J361" s="9" t="n">
        <f aca="false">H361*I361</f>
        <v>249.6928</v>
      </c>
      <c r="K361" s="3"/>
    </row>
    <row r="362" customFormat="false" ht="19.5" hidden="false" customHeight="false" outlineLevel="0" collapsed="false">
      <c r="A362" s="3" t="s">
        <v>247</v>
      </c>
      <c r="B362" s="3" t="s">
        <v>219</v>
      </c>
      <c r="C362" s="3" t="s">
        <v>226</v>
      </c>
      <c r="D362" s="3" t="s">
        <v>8</v>
      </c>
      <c r="E362" s="3" t="n">
        <v>920</v>
      </c>
      <c r="F362" s="3" t="n">
        <v>200</v>
      </c>
      <c r="G362" s="3" t="n">
        <v>20</v>
      </c>
      <c r="H362" s="8" t="n">
        <f aca="false">(E362/1000)*(F362/1000)*(G362/1000)*7850</f>
        <v>28.888</v>
      </c>
      <c r="I362" s="3" t="n">
        <v>10</v>
      </c>
      <c r="J362" s="9" t="n">
        <f aca="false">H362*I362</f>
        <v>288.88</v>
      </c>
      <c r="K362" s="3"/>
    </row>
    <row r="363" customFormat="false" ht="19.5" hidden="false" customHeight="false" outlineLevel="0" collapsed="false">
      <c r="A363" s="3" t="s">
        <v>247</v>
      </c>
      <c r="B363" s="3" t="s">
        <v>219</v>
      </c>
      <c r="C363" s="3" t="s">
        <v>227</v>
      </c>
      <c r="D363" s="3" t="s">
        <v>8</v>
      </c>
      <c r="E363" s="3" t="n">
        <v>1800</v>
      </c>
      <c r="F363" s="3" t="n">
        <v>600</v>
      </c>
      <c r="G363" s="3" t="n">
        <v>12</v>
      </c>
      <c r="H363" s="8" t="n">
        <f aca="false">(E363/1000)*(F363/1000)*(G363/1000)*7850</f>
        <v>101.736</v>
      </c>
      <c r="I363" s="3" t="n">
        <v>2</v>
      </c>
      <c r="J363" s="9" t="n">
        <f aca="false">H363*I363</f>
        <v>203.472</v>
      </c>
      <c r="K363" s="3"/>
    </row>
    <row r="364" customFormat="false" ht="19.5" hidden="false" customHeight="false" outlineLevel="0" collapsed="false">
      <c r="A364" s="3" t="s">
        <v>247</v>
      </c>
      <c r="B364" s="3" t="s">
        <v>219</v>
      </c>
      <c r="C364" s="3" t="s">
        <v>237</v>
      </c>
      <c r="D364" s="3" t="s">
        <v>8</v>
      </c>
      <c r="E364" s="3" t="n">
        <v>1100</v>
      </c>
      <c r="F364" s="3" t="n">
        <v>700</v>
      </c>
      <c r="G364" s="3" t="n">
        <v>4</v>
      </c>
      <c r="H364" s="8" t="n">
        <f aca="false">(E364/1000)*(F364/1000)*(G364/1000)*7850</f>
        <v>24.178</v>
      </c>
      <c r="I364" s="3" t="n">
        <v>1</v>
      </c>
      <c r="J364" s="9" t="n">
        <f aca="false">H364*I364</f>
        <v>24.178</v>
      </c>
      <c r="K364" s="3"/>
    </row>
    <row r="365" customFormat="false" ht="19.5" hidden="false" customHeight="false" outlineLevel="0" collapsed="false">
      <c r="A365" s="3" t="s">
        <v>248</v>
      </c>
      <c r="B365" s="3" t="s">
        <v>203</v>
      </c>
      <c r="C365" s="3" t="s">
        <v>204</v>
      </c>
      <c r="D365" s="3" t="s">
        <v>8</v>
      </c>
      <c r="E365" s="3" t="n">
        <v>1300</v>
      </c>
      <c r="F365" s="3" t="n">
        <v>1020</v>
      </c>
      <c r="G365" s="3" t="n">
        <v>24</v>
      </c>
      <c r="H365" s="8" t="n">
        <f aca="false">(E365/1000)*(F365/1000)*(G365/1000)*7850</f>
        <v>249.8184</v>
      </c>
      <c r="I365" s="3" t="n">
        <v>2</v>
      </c>
      <c r="J365" s="9" t="n">
        <f aca="false">H365*I365</f>
        <v>499.6368</v>
      </c>
      <c r="K365" s="3"/>
    </row>
    <row r="366" customFormat="false" ht="19.5" hidden="false" customHeight="false" outlineLevel="0" collapsed="false">
      <c r="A366" s="3" t="s">
        <v>248</v>
      </c>
      <c r="B366" s="3" t="s">
        <v>203</v>
      </c>
      <c r="C366" s="3" t="s">
        <v>205</v>
      </c>
      <c r="D366" s="3" t="s">
        <v>8</v>
      </c>
      <c r="E366" s="3" t="n">
        <v>1020</v>
      </c>
      <c r="F366" s="3" t="n">
        <v>600</v>
      </c>
      <c r="G366" s="3" t="n">
        <v>24</v>
      </c>
      <c r="H366" s="8" t="n">
        <f aca="false">(E366/1000)*(F366/1000)*(G366/1000)*7850</f>
        <v>115.3008</v>
      </c>
      <c r="I366" s="3" t="n">
        <v>4</v>
      </c>
      <c r="J366" s="9" t="n">
        <f aca="false">H366*I366</f>
        <v>461.2032</v>
      </c>
      <c r="K366" s="3"/>
    </row>
    <row r="367" customFormat="false" ht="19.5" hidden="false" customHeight="false" outlineLevel="0" collapsed="false">
      <c r="A367" s="3" t="s">
        <v>248</v>
      </c>
      <c r="B367" s="3" t="s">
        <v>203</v>
      </c>
      <c r="C367" s="3" t="s">
        <v>206</v>
      </c>
      <c r="D367" s="3" t="s">
        <v>8</v>
      </c>
      <c r="E367" s="3" t="n">
        <v>1320</v>
      </c>
      <c r="F367" s="3" t="n">
        <v>1100</v>
      </c>
      <c r="G367" s="3" t="n">
        <v>36</v>
      </c>
      <c r="H367" s="8" t="n">
        <f aca="false">(E367/1000)*(F367/1000)*(G367/1000)*7850</f>
        <v>410.3352</v>
      </c>
      <c r="I367" s="3" t="n">
        <v>1</v>
      </c>
      <c r="J367" s="9" t="n">
        <f aca="false">H367*I367</f>
        <v>410.3352</v>
      </c>
      <c r="K367" s="3"/>
    </row>
    <row r="368" customFormat="false" ht="19.5" hidden="false" customHeight="false" outlineLevel="0" collapsed="false">
      <c r="A368" s="3" t="s">
        <v>248</v>
      </c>
      <c r="B368" s="3" t="s">
        <v>203</v>
      </c>
      <c r="C368" s="3" t="s">
        <v>207</v>
      </c>
      <c r="D368" s="3" t="s">
        <v>8</v>
      </c>
      <c r="E368" s="3" t="n">
        <v>1320</v>
      </c>
      <c r="F368" s="3" t="n">
        <v>400</v>
      </c>
      <c r="G368" s="3" t="n">
        <v>36</v>
      </c>
      <c r="H368" s="8" t="n">
        <f aca="false">(E368/1000)*(F368/1000)*(G368/1000)*7850</f>
        <v>149.2128</v>
      </c>
      <c r="I368" s="3" t="n">
        <v>2</v>
      </c>
      <c r="J368" s="9" t="n">
        <f aca="false">H368*I368</f>
        <v>298.4256</v>
      </c>
      <c r="K368" s="3"/>
    </row>
    <row r="369" customFormat="false" ht="19.5" hidden="false" customHeight="false" outlineLevel="0" collapsed="false">
      <c r="A369" s="3" t="s">
        <v>248</v>
      </c>
      <c r="B369" s="3" t="s">
        <v>203</v>
      </c>
      <c r="C369" s="3" t="s">
        <v>208</v>
      </c>
      <c r="D369" s="3" t="s">
        <v>8</v>
      </c>
      <c r="E369" s="3" t="n">
        <v>920</v>
      </c>
      <c r="F369" s="3" t="n">
        <v>200</v>
      </c>
      <c r="G369" s="3" t="n">
        <v>20</v>
      </c>
      <c r="H369" s="8" t="n">
        <f aca="false">(E369/1000)*(F369/1000)*(G369/1000)*7850</f>
        <v>28.888</v>
      </c>
      <c r="I369" s="3" t="n">
        <v>6</v>
      </c>
      <c r="J369" s="9" t="n">
        <f aca="false">H369*I369</f>
        <v>173.328</v>
      </c>
      <c r="K369" s="3"/>
    </row>
    <row r="370" customFormat="false" ht="19.5" hidden="false" customHeight="false" outlineLevel="0" collapsed="false">
      <c r="A370" s="3" t="s">
        <v>248</v>
      </c>
      <c r="B370" s="3" t="s">
        <v>203</v>
      </c>
      <c r="C370" s="3" t="s">
        <v>209</v>
      </c>
      <c r="D370" s="3" t="s">
        <v>8</v>
      </c>
      <c r="E370" s="3" t="n">
        <v>1700</v>
      </c>
      <c r="F370" s="3" t="n">
        <v>500</v>
      </c>
      <c r="G370" s="3" t="n">
        <v>8</v>
      </c>
      <c r="H370" s="8" t="n">
        <f aca="false">(E370/1000)*(F370/1000)*(G370/1000)*7850</f>
        <v>53.38</v>
      </c>
      <c r="I370" s="3" t="n">
        <v>2</v>
      </c>
      <c r="J370" s="9" t="n">
        <f aca="false">H370*I370</f>
        <v>106.76</v>
      </c>
      <c r="K370" s="3"/>
    </row>
    <row r="371" customFormat="false" ht="19.5" hidden="false" customHeight="false" outlineLevel="0" collapsed="false">
      <c r="A371" s="3" t="s">
        <v>248</v>
      </c>
      <c r="B371" s="3" t="s">
        <v>203</v>
      </c>
      <c r="C371" s="3" t="s">
        <v>236</v>
      </c>
      <c r="D371" s="3" t="s">
        <v>8</v>
      </c>
      <c r="E371" s="3" t="n">
        <v>1100</v>
      </c>
      <c r="F371" s="3" t="n">
        <v>650</v>
      </c>
      <c r="G371" s="3" t="n">
        <v>4</v>
      </c>
      <c r="H371" s="8" t="n">
        <f aca="false">(E371/1000)*(F371/1000)*(G371/1000)*7850</f>
        <v>22.451</v>
      </c>
      <c r="I371" s="3" t="n">
        <v>1</v>
      </c>
      <c r="J371" s="9" t="n">
        <f aca="false">H371*I371</f>
        <v>22.451</v>
      </c>
      <c r="K371" s="3"/>
    </row>
    <row r="372" customFormat="false" ht="15" hidden="false" customHeight="false" outlineLevel="0" collapsed="false">
      <c r="A372" s="3" t="s">
        <v>248</v>
      </c>
      <c r="B372" s="3" t="s">
        <v>210</v>
      </c>
      <c r="C372" s="3" t="s">
        <v>211</v>
      </c>
      <c r="D372" s="3" t="s">
        <v>8</v>
      </c>
      <c r="E372" s="3" t="n">
        <v>1320</v>
      </c>
      <c r="F372" s="3" t="n">
        <v>900</v>
      </c>
      <c r="G372" s="3" t="n">
        <v>28</v>
      </c>
      <c r="H372" s="8" t="n">
        <f aca="false">(E372/1000)*(F372/1000)*(G372/1000)*7850</f>
        <v>261.1224</v>
      </c>
      <c r="I372" s="3" t="n">
        <v>2</v>
      </c>
      <c r="J372" s="9" t="n">
        <f aca="false">H372*I372</f>
        <v>522.2448</v>
      </c>
      <c r="K372" s="3"/>
    </row>
    <row r="373" customFormat="false" ht="15" hidden="false" customHeight="false" outlineLevel="0" collapsed="false">
      <c r="A373" s="3" t="s">
        <v>248</v>
      </c>
      <c r="B373" s="3" t="s">
        <v>210</v>
      </c>
      <c r="C373" s="3" t="s">
        <v>212</v>
      </c>
      <c r="D373" s="3" t="s">
        <v>8</v>
      </c>
      <c r="E373" s="3" t="n">
        <v>1320</v>
      </c>
      <c r="F373" s="3" t="n">
        <v>400</v>
      </c>
      <c r="G373" s="3" t="n">
        <v>28</v>
      </c>
      <c r="H373" s="8" t="n">
        <f aca="false">(E373/1000)*(F373/1000)*(G373/1000)*7850</f>
        <v>116.0544</v>
      </c>
      <c r="I373" s="3" t="n">
        <v>4</v>
      </c>
      <c r="J373" s="9" t="n">
        <f aca="false">H373*I373</f>
        <v>464.2176</v>
      </c>
      <c r="K373" s="3"/>
    </row>
    <row r="374" customFormat="false" ht="15" hidden="false" customHeight="false" outlineLevel="0" collapsed="false">
      <c r="A374" s="3" t="s">
        <v>248</v>
      </c>
      <c r="B374" s="3" t="s">
        <v>210</v>
      </c>
      <c r="C374" s="3" t="s">
        <v>213</v>
      </c>
      <c r="D374" s="3" t="s">
        <v>8</v>
      </c>
      <c r="E374" s="3" t="n">
        <v>1320</v>
      </c>
      <c r="F374" s="3" t="n">
        <v>500</v>
      </c>
      <c r="G374" s="3" t="n">
        <v>28</v>
      </c>
      <c r="H374" s="8" t="n">
        <f aca="false">(E374/1000)*(F374/1000)*(G374/1000)*7850</f>
        <v>145.068</v>
      </c>
      <c r="I374" s="3" t="n">
        <v>4</v>
      </c>
      <c r="J374" s="9" t="n">
        <f aca="false">H374*I374</f>
        <v>580.272</v>
      </c>
      <c r="K374" s="3"/>
    </row>
    <row r="375" customFormat="false" ht="15" hidden="false" customHeight="false" outlineLevel="0" collapsed="false">
      <c r="A375" s="3" t="s">
        <v>248</v>
      </c>
      <c r="B375" s="3" t="s">
        <v>210</v>
      </c>
      <c r="C375" s="3" t="s">
        <v>214</v>
      </c>
      <c r="D375" s="3" t="s">
        <v>8</v>
      </c>
      <c r="E375" s="3" t="n">
        <v>820</v>
      </c>
      <c r="F375" s="3" t="n">
        <v>200</v>
      </c>
      <c r="G375" s="3" t="n">
        <v>20</v>
      </c>
      <c r="H375" s="8" t="n">
        <f aca="false">(E375/1000)*(F375/1000)*(G375/1000)*7850</f>
        <v>25.748</v>
      </c>
      <c r="I375" s="3" t="n">
        <v>4</v>
      </c>
      <c r="J375" s="9" t="n">
        <f aca="false">H375*I375</f>
        <v>102.992</v>
      </c>
      <c r="K375" s="3"/>
    </row>
    <row r="376" customFormat="false" ht="19.5" hidden="false" customHeight="false" outlineLevel="0" collapsed="false">
      <c r="A376" s="3" t="s">
        <v>248</v>
      </c>
      <c r="B376" s="3" t="s">
        <v>219</v>
      </c>
      <c r="C376" s="3" t="s">
        <v>220</v>
      </c>
      <c r="D376" s="3" t="s">
        <v>8</v>
      </c>
      <c r="E376" s="3" t="n">
        <v>1400</v>
      </c>
      <c r="F376" s="3" t="n">
        <v>1020</v>
      </c>
      <c r="G376" s="3" t="n">
        <v>24</v>
      </c>
      <c r="H376" s="8" t="n">
        <f aca="false">(E376/1000)*(F376/1000)*(G376/1000)*7850</f>
        <v>269.0352</v>
      </c>
      <c r="I376" s="3" t="n">
        <v>2</v>
      </c>
      <c r="J376" s="9" t="n">
        <f aca="false">H376*I376</f>
        <v>538.0704</v>
      </c>
      <c r="K376" s="3"/>
    </row>
    <row r="377" customFormat="false" ht="19.5" hidden="false" customHeight="false" outlineLevel="0" collapsed="false">
      <c r="A377" s="3" t="s">
        <v>248</v>
      </c>
      <c r="B377" s="3" t="s">
        <v>219</v>
      </c>
      <c r="C377" s="3" t="s">
        <v>221</v>
      </c>
      <c r="D377" s="3" t="s">
        <v>8</v>
      </c>
      <c r="E377" s="3" t="n">
        <v>1020</v>
      </c>
      <c r="F377" s="3" t="n">
        <v>300</v>
      </c>
      <c r="G377" s="3" t="n">
        <v>24</v>
      </c>
      <c r="H377" s="8" t="n">
        <f aca="false">(E377/1000)*(F377/1000)*(G377/1000)*7850</f>
        <v>57.6504</v>
      </c>
      <c r="I377" s="3" t="n">
        <v>2</v>
      </c>
      <c r="J377" s="9" t="n">
        <f aca="false">H377*I377</f>
        <v>115.3008</v>
      </c>
      <c r="K377" s="3"/>
    </row>
    <row r="378" customFormat="false" ht="19.5" hidden="false" customHeight="false" outlineLevel="0" collapsed="false">
      <c r="A378" s="3" t="s">
        <v>248</v>
      </c>
      <c r="B378" s="3" t="s">
        <v>219</v>
      </c>
      <c r="C378" s="3" t="s">
        <v>222</v>
      </c>
      <c r="D378" s="3" t="s">
        <v>8</v>
      </c>
      <c r="E378" s="3" t="n">
        <v>1020</v>
      </c>
      <c r="F378" s="3" t="n">
        <v>500</v>
      </c>
      <c r="G378" s="3" t="n">
        <v>24</v>
      </c>
      <c r="H378" s="8" t="n">
        <f aca="false">(E378/1000)*(F378/1000)*(G378/1000)*7850</f>
        <v>96.084</v>
      </c>
      <c r="I378" s="3" t="n">
        <v>2</v>
      </c>
      <c r="J378" s="9" t="n">
        <f aca="false">H378*I378</f>
        <v>192.168</v>
      </c>
      <c r="K378" s="3"/>
    </row>
    <row r="379" customFormat="false" ht="19.5" hidden="false" customHeight="false" outlineLevel="0" collapsed="false">
      <c r="A379" s="3" t="s">
        <v>248</v>
      </c>
      <c r="B379" s="3" t="s">
        <v>219</v>
      </c>
      <c r="C379" s="3" t="s">
        <v>223</v>
      </c>
      <c r="D379" s="3" t="s">
        <v>8</v>
      </c>
      <c r="E379" s="3" t="n">
        <v>1020</v>
      </c>
      <c r="F379" s="3" t="n">
        <v>400</v>
      </c>
      <c r="G379" s="3" t="n">
        <v>24</v>
      </c>
      <c r="H379" s="8" t="n">
        <f aca="false">(E379/1000)*(F379/1000)*(G379/1000)*7850</f>
        <v>76.8672</v>
      </c>
      <c r="I379" s="3" t="n">
        <v>2</v>
      </c>
      <c r="J379" s="9" t="n">
        <f aca="false">H379*I379</f>
        <v>153.7344</v>
      </c>
      <c r="K379" s="3"/>
    </row>
    <row r="380" customFormat="false" ht="19.5" hidden="false" customHeight="false" outlineLevel="0" collapsed="false">
      <c r="A380" s="3" t="s">
        <v>248</v>
      </c>
      <c r="B380" s="3" t="s">
        <v>219</v>
      </c>
      <c r="C380" s="3" t="s">
        <v>224</v>
      </c>
      <c r="D380" s="3" t="s">
        <v>8</v>
      </c>
      <c r="E380" s="3" t="n">
        <v>1420</v>
      </c>
      <c r="F380" s="3" t="n">
        <v>1100</v>
      </c>
      <c r="G380" s="3" t="n">
        <v>28</v>
      </c>
      <c r="H380" s="8" t="n">
        <f aca="false">(E380/1000)*(F380/1000)*(G380/1000)*7850</f>
        <v>343.3276</v>
      </c>
      <c r="I380" s="3" t="n">
        <v>1</v>
      </c>
      <c r="J380" s="9" t="n">
        <f aca="false">H380*I380</f>
        <v>343.3276</v>
      </c>
      <c r="K380" s="3"/>
    </row>
    <row r="381" customFormat="false" ht="19.5" hidden="false" customHeight="false" outlineLevel="0" collapsed="false">
      <c r="A381" s="3" t="s">
        <v>248</v>
      </c>
      <c r="B381" s="3" t="s">
        <v>219</v>
      </c>
      <c r="C381" s="3" t="s">
        <v>225</v>
      </c>
      <c r="D381" s="3" t="s">
        <v>8</v>
      </c>
      <c r="E381" s="3" t="n">
        <v>1420</v>
      </c>
      <c r="F381" s="3" t="n">
        <v>400</v>
      </c>
      <c r="G381" s="3" t="n">
        <v>28</v>
      </c>
      <c r="H381" s="8" t="n">
        <f aca="false">(E381/1000)*(F381/1000)*(G381/1000)*7850</f>
        <v>124.8464</v>
      </c>
      <c r="I381" s="3" t="n">
        <v>2</v>
      </c>
      <c r="J381" s="9" t="n">
        <f aca="false">H381*I381</f>
        <v>249.6928</v>
      </c>
      <c r="K381" s="3"/>
    </row>
    <row r="382" customFormat="false" ht="19.5" hidden="false" customHeight="false" outlineLevel="0" collapsed="false">
      <c r="A382" s="3" t="s">
        <v>248</v>
      </c>
      <c r="B382" s="3" t="s">
        <v>219</v>
      </c>
      <c r="C382" s="3" t="s">
        <v>226</v>
      </c>
      <c r="D382" s="3" t="s">
        <v>8</v>
      </c>
      <c r="E382" s="3" t="n">
        <v>920</v>
      </c>
      <c r="F382" s="3" t="n">
        <v>200</v>
      </c>
      <c r="G382" s="3" t="n">
        <v>20</v>
      </c>
      <c r="H382" s="8" t="n">
        <f aca="false">(E382/1000)*(F382/1000)*(G382/1000)*7850</f>
        <v>28.888</v>
      </c>
      <c r="I382" s="3" t="n">
        <v>10</v>
      </c>
      <c r="J382" s="9" t="n">
        <f aca="false">H382*I382</f>
        <v>288.88</v>
      </c>
      <c r="K382" s="3"/>
    </row>
    <row r="383" customFormat="false" ht="19.5" hidden="false" customHeight="false" outlineLevel="0" collapsed="false">
      <c r="A383" s="3" t="s">
        <v>248</v>
      </c>
      <c r="B383" s="3" t="s">
        <v>219</v>
      </c>
      <c r="C383" s="3" t="s">
        <v>227</v>
      </c>
      <c r="D383" s="3" t="s">
        <v>8</v>
      </c>
      <c r="E383" s="3" t="n">
        <v>1800</v>
      </c>
      <c r="F383" s="3" t="n">
        <v>600</v>
      </c>
      <c r="G383" s="3" t="n">
        <v>12</v>
      </c>
      <c r="H383" s="8" t="n">
        <f aca="false">(E383/1000)*(F383/1000)*(G383/1000)*7850</f>
        <v>101.736</v>
      </c>
      <c r="I383" s="3" t="n">
        <v>2</v>
      </c>
      <c r="J383" s="9" t="n">
        <f aca="false">H383*I383</f>
        <v>203.472</v>
      </c>
      <c r="K383" s="3"/>
    </row>
    <row r="384" customFormat="false" ht="19.5" hidden="false" customHeight="false" outlineLevel="0" collapsed="false">
      <c r="A384" s="3" t="s">
        <v>248</v>
      </c>
      <c r="B384" s="3" t="s">
        <v>219</v>
      </c>
      <c r="C384" s="3" t="s">
        <v>237</v>
      </c>
      <c r="D384" s="3" t="s">
        <v>8</v>
      </c>
      <c r="E384" s="3" t="n">
        <v>1100</v>
      </c>
      <c r="F384" s="3" t="n">
        <v>700</v>
      </c>
      <c r="G384" s="3" t="n">
        <v>4</v>
      </c>
      <c r="H384" s="8" t="n">
        <f aca="false">(E384/1000)*(F384/1000)*(G384/1000)*7850</f>
        <v>24.178</v>
      </c>
      <c r="I384" s="3" t="n">
        <v>1</v>
      </c>
      <c r="J384" s="9" t="n">
        <f aca="false">H384*I384</f>
        <v>24.178</v>
      </c>
      <c r="K384" s="3"/>
    </row>
    <row r="385" customFormat="false" ht="19.5" hidden="false" customHeight="false" outlineLevel="0" collapsed="false">
      <c r="A385" s="3" t="s">
        <v>249</v>
      </c>
      <c r="B385" s="3" t="s">
        <v>203</v>
      </c>
      <c r="C385" s="3" t="s">
        <v>204</v>
      </c>
      <c r="D385" s="3" t="s">
        <v>8</v>
      </c>
      <c r="E385" s="3" t="n">
        <v>1300</v>
      </c>
      <c r="F385" s="3" t="n">
        <v>1020</v>
      </c>
      <c r="G385" s="3" t="n">
        <v>24</v>
      </c>
      <c r="H385" s="8" t="n">
        <f aca="false">(E385/1000)*(F385/1000)*(G385/1000)*7850</f>
        <v>249.8184</v>
      </c>
      <c r="I385" s="3" t="n">
        <v>2</v>
      </c>
      <c r="J385" s="9" t="n">
        <f aca="false">H385*I385</f>
        <v>499.6368</v>
      </c>
      <c r="K385" s="3"/>
    </row>
    <row r="386" customFormat="false" ht="19.5" hidden="false" customHeight="false" outlineLevel="0" collapsed="false">
      <c r="A386" s="3" t="s">
        <v>249</v>
      </c>
      <c r="B386" s="3" t="s">
        <v>203</v>
      </c>
      <c r="C386" s="3" t="s">
        <v>205</v>
      </c>
      <c r="D386" s="3" t="s">
        <v>8</v>
      </c>
      <c r="E386" s="3" t="n">
        <v>1020</v>
      </c>
      <c r="F386" s="3" t="n">
        <v>600</v>
      </c>
      <c r="G386" s="3" t="n">
        <v>24</v>
      </c>
      <c r="H386" s="8" t="n">
        <f aca="false">(E386/1000)*(F386/1000)*(G386/1000)*7850</f>
        <v>115.3008</v>
      </c>
      <c r="I386" s="3" t="n">
        <v>4</v>
      </c>
      <c r="J386" s="9" t="n">
        <f aca="false">H386*I386</f>
        <v>461.2032</v>
      </c>
      <c r="K386" s="3"/>
    </row>
    <row r="387" customFormat="false" ht="19.5" hidden="false" customHeight="false" outlineLevel="0" collapsed="false">
      <c r="A387" s="3" t="s">
        <v>249</v>
      </c>
      <c r="B387" s="3" t="s">
        <v>203</v>
      </c>
      <c r="C387" s="3" t="s">
        <v>206</v>
      </c>
      <c r="D387" s="3" t="s">
        <v>8</v>
      </c>
      <c r="E387" s="3" t="n">
        <v>1320</v>
      </c>
      <c r="F387" s="3" t="n">
        <v>1100</v>
      </c>
      <c r="G387" s="3" t="n">
        <v>36</v>
      </c>
      <c r="H387" s="8" t="n">
        <f aca="false">(E387/1000)*(F387/1000)*(G387/1000)*7850</f>
        <v>410.3352</v>
      </c>
      <c r="I387" s="3" t="n">
        <v>1</v>
      </c>
      <c r="J387" s="9" t="n">
        <f aca="false">H387*I387</f>
        <v>410.3352</v>
      </c>
      <c r="K387" s="3"/>
    </row>
    <row r="388" customFormat="false" ht="19.5" hidden="false" customHeight="false" outlineLevel="0" collapsed="false">
      <c r="A388" s="3" t="s">
        <v>249</v>
      </c>
      <c r="B388" s="3" t="s">
        <v>203</v>
      </c>
      <c r="C388" s="3" t="s">
        <v>207</v>
      </c>
      <c r="D388" s="3" t="s">
        <v>8</v>
      </c>
      <c r="E388" s="3" t="n">
        <v>1320</v>
      </c>
      <c r="F388" s="3" t="n">
        <v>400</v>
      </c>
      <c r="G388" s="3" t="n">
        <v>36</v>
      </c>
      <c r="H388" s="8" t="n">
        <f aca="false">(E388/1000)*(F388/1000)*(G388/1000)*7850</f>
        <v>149.2128</v>
      </c>
      <c r="I388" s="3" t="n">
        <v>2</v>
      </c>
      <c r="J388" s="9" t="n">
        <f aca="false">H388*I388</f>
        <v>298.4256</v>
      </c>
      <c r="K388" s="3"/>
    </row>
    <row r="389" customFormat="false" ht="19.5" hidden="false" customHeight="false" outlineLevel="0" collapsed="false">
      <c r="A389" s="3" t="s">
        <v>249</v>
      </c>
      <c r="B389" s="3" t="s">
        <v>203</v>
      </c>
      <c r="C389" s="3" t="s">
        <v>208</v>
      </c>
      <c r="D389" s="3" t="s">
        <v>8</v>
      </c>
      <c r="E389" s="3" t="n">
        <v>920</v>
      </c>
      <c r="F389" s="3" t="n">
        <v>200</v>
      </c>
      <c r="G389" s="3" t="n">
        <v>20</v>
      </c>
      <c r="H389" s="8" t="n">
        <f aca="false">(E389/1000)*(F389/1000)*(G389/1000)*7850</f>
        <v>28.888</v>
      </c>
      <c r="I389" s="3" t="n">
        <v>6</v>
      </c>
      <c r="J389" s="9" t="n">
        <f aca="false">H389*I389</f>
        <v>173.328</v>
      </c>
      <c r="K389" s="3"/>
    </row>
    <row r="390" customFormat="false" ht="19.5" hidden="false" customHeight="false" outlineLevel="0" collapsed="false">
      <c r="A390" s="3" t="s">
        <v>249</v>
      </c>
      <c r="B390" s="3" t="s">
        <v>203</v>
      </c>
      <c r="C390" s="3" t="s">
        <v>209</v>
      </c>
      <c r="D390" s="3" t="s">
        <v>8</v>
      </c>
      <c r="E390" s="3" t="n">
        <v>1700</v>
      </c>
      <c r="F390" s="3" t="n">
        <v>500</v>
      </c>
      <c r="G390" s="3" t="n">
        <v>8</v>
      </c>
      <c r="H390" s="8" t="n">
        <f aca="false">(E390/1000)*(F390/1000)*(G390/1000)*7850</f>
        <v>53.38</v>
      </c>
      <c r="I390" s="3" t="n">
        <v>2</v>
      </c>
      <c r="J390" s="9" t="n">
        <f aca="false">H390*I390</f>
        <v>106.76</v>
      </c>
      <c r="K390" s="3"/>
    </row>
    <row r="391" customFormat="false" ht="19.5" hidden="false" customHeight="false" outlineLevel="0" collapsed="false">
      <c r="A391" s="3" t="s">
        <v>249</v>
      </c>
      <c r="B391" s="3" t="s">
        <v>203</v>
      </c>
      <c r="C391" s="3" t="s">
        <v>236</v>
      </c>
      <c r="D391" s="3" t="s">
        <v>8</v>
      </c>
      <c r="E391" s="3" t="n">
        <v>1100</v>
      </c>
      <c r="F391" s="3" t="n">
        <v>650</v>
      </c>
      <c r="G391" s="3" t="n">
        <v>4</v>
      </c>
      <c r="H391" s="8" t="n">
        <f aca="false">(E391/1000)*(F391/1000)*(G391/1000)*7850</f>
        <v>22.451</v>
      </c>
      <c r="I391" s="3" t="n">
        <v>1</v>
      </c>
      <c r="J391" s="9" t="n">
        <f aca="false">H391*I391</f>
        <v>22.451</v>
      </c>
      <c r="K391" s="3"/>
    </row>
    <row r="392" customFormat="false" ht="15" hidden="false" customHeight="false" outlineLevel="0" collapsed="false">
      <c r="A392" s="3" t="s">
        <v>249</v>
      </c>
      <c r="B392" s="3" t="s">
        <v>210</v>
      </c>
      <c r="C392" s="3" t="s">
        <v>211</v>
      </c>
      <c r="D392" s="3" t="s">
        <v>8</v>
      </c>
      <c r="E392" s="3" t="n">
        <v>1520</v>
      </c>
      <c r="F392" s="3" t="n">
        <v>1100</v>
      </c>
      <c r="G392" s="3" t="n">
        <v>24</v>
      </c>
      <c r="H392" s="8" t="n">
        <f aca="false">(E392/1000)*(F392/1000)*(G392/1000)*7850</f>
        <v>315.0048</v>
      </c>
      <c r="I392" s="3" t="n">
        <v>2</v>
      </c>
      <c r="J392" s="9" t="n">
        <f aca="false">H392*I392</f>
        <v>630.0096</v>
      </c>
      <c r="K392" s="3"/>
    </row>
    <row r="393" customFormat="false" ht="15" hidden="false" customHeight="false" outlineLevel="0" collapsed="false">
      <c r="A393" s="3" t="s">
        <v>249</v>
      </c>
      <c r="B393" s="3" t="s">
        <v>210</v>
      </c>
      <c r="C393" s="3" t="s">
        <v>212</v>
      </c>
      <c r="D393" s="3" t="s">
        <v>8</v>
      </c>
      <c r="E393" s="3" t="n">
        <v>1520</v>
      </c>
      <c r="F393" s="3" t="n">
        <v>500</v>
      </c>
      <c r="G393" s="3" t="n">
        <v>24</v>
      </c>
      <c r="H393" s="8" t="n">
        <f aca="false">(E393/1000)*(F393/1000)*(G393/1000)*7850</f>
        <v>143.184</v>
      </c>
      <c r="I393" s="3" t="n">
        <v>4</v>
      </c>
      <c r="J393" s="9" t="n">
        <f aca="false">H393*I393</f>
        <v>572.736</v>
      </c>
      <c r="K393" s="3"/>
    </row>
    <row r="394" customFormat="false" ht="15" hidden="false" customHeight="false" outlineLevel="0" collapsed="false">
      <c r="A394" s="3" t="s">
        <v>249</v>
      </c>
      <c r="B394" s="3" t="s">
        <v>210</v>
      </c>
      <c r="C394" s="3" t="s">
        <v>213</v>
      </c>
      <c r="D394" s="3" t="s">
        <v>8</v>
      </c>
      <c r="E394" s="3" t="n">
        <v>1320</v>
      </c>
      <c r="F394" s="3" t="n">
        <v>1100</v>
      </c>
      <c r="G394" s="3" t="n">
        <v>28</v>
      </c>
      <c r="H394" s="8" t="n">
        <f aca="false">(E394/1000)*(F394/1000)*(G394/1000)*7850</f>
        <v>319.1496</v>
      </c>
      <c r="I394" s="3" t="n">
        <v>1</v>
      </c>
      <c r="J394" s="9" t="n">
        <f aca="false">H394*I394</f>
        <v>319.1496</v>
      </c>
      <c r="K394" s="3"/>
    </row>
    <row r="395" customFormat="false" ht="15" hidden="false" customHeight="false" outlineLevel="0" collapsed="false">
      <c r="A395" s="3" t="s">
        <v>249</v>
      </c>
      <c r="B395" s="3" t="s">
        <v>210</v>
      </c>
      <c r="C395" s="3" t="s">
        <v>214</v>
      </c>
      <c r="D395" s="3" t="s">
        <v>8</v>
      </c>
      <c r="E395" s="3" t="n">
        <v>1320</v>
      </c>
      <c r="F395" s="3" t="n">
        <v>500</v>
      </c>
      <c r="G395" s="3" t="n">
        <v>28</v>
      </c>
      <c r="H395" s="8" t="n">
        <f aca="false">(E395/1000)*(F395/1000)*(G395/1000)*7850</f>
        <v>145.068</v>
      </c>
      <c r="I395" s="3" t="n">
        <v>2</v>
      </c>
      <c r="J395" s="9" t="n">
        <f aca="false">H395*I395</f>
        <v>290.136</v>
      </c>
      <c r="K395" s="3"/>
    </row>
    <row r="396" customFormat="false" ht="15" hidden="false" customHeight="false" outlineLevel="0" collapsed="false">
      <c r="A396" s="3" t="s">
        <v>249</v>
      </c>
      <c r="B396" s="3" t="s">
        <v>210</v>
      </c>
      <c r="C396" s="3" t="s">
        <v>215</v>
      </c>
      <c r="D396" s="3" t="s">
        <v>8</v>
      </c>
      <c r="E396" s="3" t="n">
        <v>1520</v>
      </c>
      <c r="F396" s="3" t="n">
        <v>1100</v>
      </c>
      <c r="G396" s="3" t="n">
        <v>44</v>
      </c>
      <c r="H396" s="8" t="n">
        <f aca="false">(E396/1000)*(F396/1000)*(G396/1000)*7850</f>
        <v>577.5088</v>
      </c>
      <c r="I396" s="3" t="n">
        <v>1</v>
      </c>
      <c r="J396" s="9" t="n">
        <f aca="false">H396*I396</f>
        <v>577.5088</v>
      </c>
      <c r="K396" s="3"/>
    </row>
    <row r="397" customFormat="false" ht="15" hidden="false" customHeight="false" outlineLevel="0" collapsed="false">
      <c r="A397" s="3" t="s">
        <v>249</v>
      </c>
      <c r="B397" s="3" t="s">
        <v>210</v>
      </c>
      <c r="C397" s="3" t="s">
        <v>216</v>
      </c>
      <c r="D397" s="3" t="s">
        <v>8</v>
      </c>
      <c r="E397" s="3" t="n">
        <v>1520</v>
      </c>
      <c r="F397" s="3" t="n">
        <v>240</v>
      </c>
      <c r="G397" s="3" t="n">
        <v>44</v>
      </c>
      <c r="H397" s="8" t="n">
        <f aca="false">(E397/1000)*(F397/1000)*(G397/1000)*7850</f>
        <v>126.00192</v>
      </c>
      <c r="I397" s="3" t="n">
        <v>2</v>
      </c>
      <c r="J397" s="9" t="n">
        <f aca="false">H397*I397</f>
        <v>252.00384</v>
      </c>
      <c r="K397" s="3"/>
    </row>
    <row r="398" customFormat="false" ht="15" hidden="false" customHeight="false" outlineLevel="0" collapsed="false">
      <c r="A398" s="3" t="s">
        <v>249</v>
      </c>
      <c r="B398" s="3" t="s">
        <v>210</v>
      </c>
      <c r="C398" s="3" t="s">
        <v>217</v>
      </c>
      <c r="D398" s="3" t="s">
        <v>8</v>
      </c>
      <c r="E398" s="3" t="n">
        <v>1220</v>
      </c>
      <c r="F398" s="3" t="n">
        <v>240</v>
      </c>
      <c r="G398" s="3" t="n">
        <v>24</v>
      </c>
      <c r="H398" s="8" t="n">
        <f aca="false">(E398/1000)*(F398/1000)*(G398/1000)*7850</f>
        <v>55.16352</v>
      </c>
      <c r="I398" s="3" t="n">
        <v>4</v>
      </c>
      <c r="J398" s="9" t="n">
        <f aca="false">H398*I398</f>
        <v>220.65408</v>
      </c>
      <c r="K398" s="3"/>
    </row>
    <row r="399" customFormat="false" ht="15" hidden="false" customHeight="false" outlineLevel="0" collapsed="false">
      <c r="A399" s="3" t="s">
        <v>249</v>
      </c>
      <c r="B399" s="3" t="s">
        <v>210</v>
      </c>
      <c r="C399" s="3" t="s">
        <v>218</v>
      </c>
      <c r="D399" s="3" t="s">
        <v>8</v>
      </c>
      <c r="E399" s="3" t="n">
        <v>1320</v>
      </c>
      <c r="F399" s="3" t="n">
        <v>240</v>
      </c>
      <c r="G399" s="3" t="n">
        <v>24</v>
      </c>
      <c r="H399" s="8" t="n">
        <f aca="false">(E399/1000)*(F399/1000)*(G399/1000)*7850</f>
        <v>59.68512</v>
      </c>
      <c r="I399" s="3" t="n">
        <v>2</v>
      </c>
      <c r="J399" s="9" t="n">
        <f aca="false">H399*I399</f>
        <v>119.37024</v>
      </c>
      <c r="K399" s="3"/>
    </row>
    <row r="400" customFormat="false" ht="19.5" hidden="false" customHeight="false" outlineLevel="0" collapsed="false">
      <c r="A400" s="3" t="s">
        <v>249</v>
      </c>
      <c r="B400" s="3" t="s">
        <v>219</v>
      </c>
      <c r="C400" s="3" t="s">
        <v>220</v>
      </c>
      <c r="D400" s="3" t="s">
        <v>8</v>
      </c>
      <c r="E400" s="3" t="n">
        <v>1400</v>
      </c>
      <c r="F400" s="3" t="n">
        <v>1020</v>
      </c>
      <c r="G400" s="3" t="n">
        <v>24</v>
      </c>
      <c r="H400" s="8" t="n">
        <f aca="false">(E400/1000)*(F400/1000)*(G400/1000)*7850</f>
        <v>269.0352</v>
      </c>
      <c r="I400" s="3" t="n">
        <v>2</v>
      </c>
      <c r="J400" s="9" t="n">
        <f aca="false">H400*I400</f>
        <v>538.0704</v>
      </c>
      <c r="K400" s="3"/>
    </row>
    <row r="401" customFormat="false" ht="19.5" hidden="false" customHeight="false" outlineLevel="0" collapsed="false">
      <c r="A401" s="3" t="s">
        <v>249</v>
      </c>
      <c r="B401" s="3" t="s">
        <v>219</v>
      </c>
      <c r="C401" s="3" t="s">
        <v>221</v>
      </c>
      <c r="D401" s="3" t="s">
        <v>8</v>
      </c>
      <c r="E401" s="3" t="n">
        <v>1020</v>
      </c>
      <c r="F401" s="3" t="n">
        <v>300</v>
      </c>
      <c r="G401" s="3" t="n">
        <v>24</v>
      </c>
      <c r="H401" s="8" t="n">
        <f aca="false">(E401/1000)*(F401/1000)*(G401/1000)*7850</f>
        <v>57.6504</v>
      </c>
      <c r="I401" s="3" t="n">
        <v>2</v>
      </c>
      <c r="J401" s="9" t="n">
        <f aca="false">H401*I401</f>
        <v>115.3008</v>
      </c>
      <c r="K401" s="3"/>
    </row>
    <row r="402" customFormat="false" ht="19.5" hidden="false" customHeight="false" outlineLevel="0" collapsed="false">
      <c r="A402" s="3" t="s">
        <v>249</v>
      </c>
      <c r="B402" s="3" t="s">
        <v>219</v>
      </c>
      <c r="C402" s="3" t="s">
        <v>222</v>
      </c>
      <c r="D402" s="3" t="s">
        <v>8</v>
      </c>
      <c r="E402" s="3" t="n">
        <v>1020</v>
      </c>
      <c r="F402" s="3" t="n">
        <v>500</v>
      </c>
      <c r="G402" s="3" t="n">
        <v>24</v>
      </c>
      <c r="H402" s="8" t="n">
        <f aca="false">(E402/1000)*(F402/1000)*(G402/1000)*7850</f>
        <v>96.084</v>
      </c>
      <c r="I402" s="3" t="n">
        <v>2</v>
      </c>
      <c r="J402" s="9" t="n">
        <f aca="false">H402*I402</f>
        <v>192.168</v>
      </c>
      <c r="K402" s="3"/>
    </row>
    <row r="403" customFormat="false" ht="19.5" hidden="false" customHeight="false" outlineLevel="0" collapsed="false">
      <c r="A403" s="3" t="s">
        <v>249</v>
      </c>
      <c r="B403" s="3" t="s">
        <v>219</v>
      </c>
      <c r="C403" s="3" t="s">
        <v>223</v>
      </c>
      <c r="D403" s="3" t="s">
        <v>8</v>
      </c>
      <c r="E403" s="3" t="n">
        <v>1020</v>
      </c>
      <c r="F403" s="3" t="n">
        <v>400</v>
      </c>
      <c r="G403" s="3" t="n">
        <v>24</v>
      </c>
      <c r="H403" s="8" t="n">
        <f aca="false">(E403/1000)*(F403/1000)*(G403/1000)*7850</f>
        <v>76.8672</v>
      </c>
      <c r="I403" s="3" t="n">
        <v>2</v>
      </c>
      <c r="J403" s="9" t="n">
        <f aca="false">H403*I403</f>
        <v>153.7344</v>
      </c>
      <c r="K403" s="3"/>
    </row>
    <row r="404" customFormat="false" ht="19.5" hidden="false" customHeight="false" outlineLevel="0" collapsed="false">
      <c r="A404" s="3" t="s">
        <v>249</v>
      </c>
      <c r="B404" s="3" t="s">
        <v>219</v>
      </c>
      <c r="C404" s="3" t="s">
        <v>224</v>
      </c>
      <c r="D404" s="3" t="s">
        <v>8</v>
      </c>
      <c r="E404" s="3" t="n">
        <v>1420</v>
      </c>
      <c r="F404" s="3" t="n">
        <v>1100</v>
      </c>
      <c r="G404" s="3" t="n">
        <v>28</v>
      </c>
      <c r="H404" s="8" t="n">
        <f aca="false">(E404/1000)*(F404/1000)*(G404/1000)*7850</f>
        <v>343.3276</v>
      </c>
      <c r="I404" s="3" t="n">
        <v>1</v>
      </c>
      <c r="J404" s="9" t="n">
        <f aca="false">H404*I404</f>
        <v>343.3276</v>
      </c>
      <c r="K404" s="3"/>
    </row>
    <row r="405" customFormat="false" ht="19.5" hidden="false" customHeight="false" outlineLevel="0" collapsed="false">
      <c r="A405" s="3" t="s">
        <v>249</v>
      </c>
      <c r="B405" s="3" t="s">
        <v>219</v>
      </c>
      <c r="C405" s="3" t="s">
        <v>225</v>
      </c>
      <c r="D405" s="3" t="s">
        <v>8</v>
      </c>
      <c r="E405" s="3" t="n">
        <v>1420</v>
      </c>
      <c r="F405" s="3" t="n">
        <v>400</v>
      </c>
      <c r="G405" s="3" t="n">
        <v>28</v>
      </c>
      <c r="H405" s="8" t="n">
        <f aca="false">(E405/1000)*(F405/1000)*(G405/1000)*7850</f>
        <v>124.8464</v>
      </c>
      <c r="I405" s="3" t="n">
        <v>2</v>
      </c>
      <c r="J405" s="9" t="n">
        <f aca="false">H405*I405</f>
        <v>249.6928</v>
      </c>
      <c r="K405" s="3"/>
    </row>
    <row r="406" customFormat="false" ht="19.5" hidden="false" customHeight="false" outlineLevel="0" collapsed="false">
      <c r="A406" s="3" t="s">
        <v>249</v>
      </c>
      <c r="B406" s="3" t="s">
        <v>219</v>
      </c>
      <c r="C406" s="3" t="s">
        <v>226</v>
      </c>
      <c r="D406" s="3" t="s">
        <v>8</v>
      </c>
      <c r="E406" s="3" t="n">
        <v>920</v>
      </c>
      <c r="F406" s="3" t="n">
        <v>200</v>
      </c>
      <c r="G406" s="3" t="n">
        <v>20</v>
      </c>
      <c r="H406" s="8" t="n">
        <f aca="false">(E406/1000)*(F406/1000)*(G406/1000)*7850</f>
        <v>28.888</v>
      </c>
      <c r="I406" s="3" t="n">
        <v>10</v>
      </c>
      <c r="J406" s="9" t="n">
        <f aca="false">H406*I406</f>
        <v>288.88</v>
      </c>
      <c r="K406" s="3"/>
    </row>
    <row r="407" customFormat="false" ht="19.5" hidden="false" customHeight="false" outlineLevel="0" collapsed="false">
      <c r="A407" s="3" t="s">
        <v>249</v>
      </c>
      <c r="B407" s="3" t="s">
        <v>219</v>
      </c>
      <c r="C407" s="3" t="s">
        <v>227</v>
      </c>
      <c r="D407" s="3" t="s">
        <v>8</v>
      </c>
      <c r="E407" s="3" t="n">
        <v>1800</v>
      </c>
      <c r="F407" s="3" t="n">
        <v>600</v>
      </c>
      <c r="G407" s="3" t="n">
        <v>12</v>
      </c>
      <c r="H407" s="8" t="n">
        <f aca="false">(E407/1000)*(F407/1000)*(G407/1000)*7850</f>
        <v>101.736</v>
      </c>
      <c r="I407" s="3" t="n">
        <v>2</v>
      </c>
      <c r="J407" s="9" t="n">
        <f aca="false">H407*I407</f>
        <v>203.472</v>
      </c>
      <c r="K407" s="3"/>
    </row>
    <row r="408" customFormat="false" ht="19.5" hidden="false" customHeight="false" outlineLevel="0" collapsed="false">
      <c r="A408" s="3" t="s">
        <v>249</v>
      </c>
      <c r="B408" s="3" t="s">
        <v>219</v>
      </c>
      <c r="C408" s="3" t="s">
        <v>237</v>
      </c>
      <c r="D408" s="3" t="s">
        <v>8</v>
      </c>
      <c r="E408" s="3" t="n">
        <v>1100</v>
      </c>
      <c r="F408" s="3" t="n">
        <v>700</v>
      </c>
      <c r="G408" s="3" t="n">
        <v>4</v>
      </c>
      <c r="H408" s="8" t="n">
        <f aca="false">(E408/1000)*(F408/1000)*(G408/1000)*7850</f>
        <v>24.178</v>
      </c>
      <c r="I408" s="3" t="n">
        <v>1</v>
      </c>
      <c r="J408" s="9" t="n">
        <f aca="false">H408*I408</f>
        <v>24.178</v>
      </c>
      <c r="K408" s="3"/>
    </row>
    <row r="409" customFormat="false" ht="19.5" hidden="false" customHeight="false" outlineLevel="0" collapsed="false">
      <c r="A409" s="3" t="s">
        <v>250</v>
      </c>
      <c r="B409" s="3" t="s">
        <v>203</v>
      </c>
      <c r="C409" s="3" t="s">
        <v>204</v>
      </c>
      <c r="D409" s="3" t="s">
        <v>8</v>
      </c>
      <c r="E409" s="3" t="n">
        <v>1300</v>
      </c>
      <c r="F409" s="3" t="n">
        <v>1020</v>
      </c>
      <c r="G409" s="3" t="n">
        <v>24</v>
      </c>
      <c r="H409" s="8" t="n">
        <f aca="false">(E409/1000)*(F409/1000)*(G409/1000)*7850</f>
        <v>249.8184</v>
      </c>
      <c r="I409" s="3" t="n">
        <v>2</v>
      </c>
      <c r="J409" s="9" t="n">
        <f aca="false">H409*I409</f>
        <v>499.6368</v>
      </c>
      <c r="K409" s="3"/>
    </row>
    <row r="410" customFormat="false" ht="19.5" hidden="false" customHeight="false" outlineLevel="0" collapsed="false">
      <c r="A410" s="3" t="s">
        <v>250</v>
      </c>
      <c r="B410" s="3" t="s">
        <v>203</v>
      </c>
      <c r="C410" s="3" t="s">
        <v>205</v>
      </c>
      <c r="D410" s="3" t="s">
        <v>8</v>
      </c>
      <c r="E410" s="3" t="n">
        <v>1020</v>
      </c>
      <c r="F410" s="3" t="n">
        <v>600</v>
      </c>
      <c r="G410" s="3" t="n">
        <v>24</v>
      </c>
      <c r="H410" s="8" t="n">
        <f aca="false">(E410/1000)*(F410/1000)*(G410/1000)*7850</f>
        <v>115.3008</v>
      </c>
      <c r="I410" s="3" t="n">
        <v>4</v>
      </c>
      <c r="J410" s="9" t="n">
        <f aca="false">H410*I410</f>
        <v>461.2032</v>
      </c>
      <c r="K410" s="3"/>
    </row>
    <row r="411" customFormat="false" ht="19.5" hidden="false" customHeight="false" outlineLevel="0" collapsed="false">
      <c r="A411" s="3" t="s">
        <v>250</v>
      </c>
      <c r="B411" s="3" t="s">
        <v>203</v>
      </c>
      <c r="C411" s="3" t="s">
        <v>206</v>
      </c>
      <c r="D411" s="3" t="s">
        <v>8</v>
      </c>
      <c r="E411" s="3" t="n">
        <v>1320</v>
      </c>
      <c r="F411" s="3" t="n">
        <v>1100</v>
      </c>
      <c r="G411" s="3" t="n">
        <v>36</v>
      </c>
      <c r="H411" s="8" t="n">
        <f aca="false">(E411/1000)*(F411/1000)*(G411/1000)*7850</f>
        <v>410.3352</v>
      </c>
      <c r="I411" s="3" t="n">
        <v>1</v>
      </c>
      <c r="J411" s="9" t="n">
        <f aca="false">H411*I411</f>
        <v>410.3352</v>
      </c>
      <c r="K411" s="3"/>
    </row>
    <row r="412" customFormat="false" ht="19.5" hidden="false" customHeight="false" outlineLevel="0" collapsed="false">
      <c r="A412" s="3" t="s">
        <v>250</v>
      </c>
      <c r="B412" s="3" t="s">
        <v>203</v>
      </c>
      <c r="C412" s="3" t="s">
        <v>207</v>
      </c>
      <c r="D412" s="3" t="s">
        <v>8</v>
      </c>
      <c r="E412" s="3" t="n">
        <v>1320</v>
      </c>
      <c r="F412" s="3" t="n">
        <v>400</v>
      </c>
      <c r="G412" s="3" t="n">
        <v>36</v>
      </c>
      <c r="H412" s="8" t="n">
        <f aca="false">(E412/1000)*(F412/1000)*(G412/1000)*7850</f>
        <v>149.2128</v>
      </c>
      <c r="I412" s="3" t="n">
        <v>2</v>
      </c>
      <c r="J412" s="9" t="n">
        <f aca="false">H412*I412</f>
        <v>298.4256</v>
      </c>
      <c r="K412" s="3"/>
    </row>
    <row r="413" customFormat="false" ht="19.5" hidden="false" customHeight="false" outlineLevel="0" collapsed="false">
      <c r="A413" s="3" t="s">
        <v>250</v>
      </c>
      <c r="B413" s="3" t="s">
        <v>203</v>
      </c>
      <c r="C413" s="3" t="s">
        <v>208</v>
      </c>
      <c r="D413" s="3" t="s">
        <v>8</v>
      </c>
      <c r="E413" s="3" t="n">
        <v>920</v>
      </c>
      <c r="F413" s="3" t="n">
        <v>200</v>
      </c>
      <c r="G413" s="3" t="n">
        <v>20</v>
      </c>
      <c r="H413" s="8" t="n">
        <f aca="false">(E413/1000)*(F413/1000)*(G413/1000)*7850</f>
        <v>28.888</v>
      </c>
      <c r="I413" s="3" t="n">
        <v>6</v>
      </c>
      <c r="J413" s="9" t="n">
        <f aca="false">H413*I413</f>
        <v>173.328</v>
      </c>
      <c r="K413" s="3"/>
    </row>
    <row r="414" customFormat="false" ht="19.5" hidden="false" customHeight="false" outlineLevel="0" collapsed="false">
      <c r="A414" s="3" t="s">
        <v>250</v>
      </c>
      <c r="B414" s="3" t="s">
        <v>203</v>
      </c>
      <c r="C414" s="3" t="s">
        <v>209</v>
      </c>
      <c r="D414" s="3" t="s">
        <v>8</v>
      </c>
      <c r="E414" s="3" t="n">
        <v>1700</v>
      </c>
      <c r="F414" s="3" t="n">
        <v>500</v>
      </c>
      <c r="G414" s="3" t="n">
        <v>8</v>
      </c>
      <c r="H414" s="8" t="n">
        <f aca="false">(E414/1000)*(F414/1000)*(G414/1000)*7850</f>
        <v>53.38</v>
      </c>
      <c r="I414" s="3" t="n">
        <v>2</v>
      </c>
      <c r="J414" s="9" t="n">
        <f aca="false">H414*I414</f>
        <v>106.76</v>
      </c>
      <c r="K414" s="3"/>
    </row>
    <row r="415" customFormat="false" ht="19.5" hidden="false" customHeight="false" outlineLevel="0" collapsed="false">
      <c r="A415" s="3" t="s">
        <v>250</v>
      </c>
      <c r="B415" s="3" t="s">
        <v>203</v>
      </c>
      <c r="C415" s="3" t="s">
        <v>236</v>
      </c>
      <c r="D415" s="3" t="s">
        <v>8</v>
      </c>
      <c r="E415" s="3" t="n">
        <v>1100</v>
      </c>
      <c r="F415" s="3" t="n">
        <v>650</v>
      </c>
      <c r="G415" s="3" t="n">
        <v>4</v>
      </c>
      <c r="H415" s="8" t="n">
        <f aca="false">(E415/1000)*(F415/1000)*(G415/1000)*7850</f>
        <v>22.451</v>
      </c>
      <c r="I415" s="3" t="n">
        <v>1</v>
      </c>
      <c r="J415" s="9" t="n">
        <f aca="false">H415*I415</f>
        <v>22.451</v>
      </c>
      <c r="K415" s="3"/>
    </row>
    <row r="416" customFormat="false" ht="15" hidden="false" customHeight="false" outlineLevel="0" collapsed="false">
      <c r="A416" s="3" t="s">
        <v>250</v>
      </c>
      <c r="B416" s="3" t="s">
        <v>210</v>
      </c>
      <c r="C416" s="3" t="s">
        <v>211</v>
      </c>
      <c r="D416" s="3" t="s">
        <v>8</v>
      </c>
      <c r="E416" s="3" t="n">
        <v>1520</v>
      </c>
      <c r="F416" s="3" t="n">
        <v>1100</v>
      </c>
      <c r="G416" s="3" t="n">
        <v>24</v>
      </c>
      <c r="H416" s="8" t="n">
        <f aca="false">(E416/1000)*(F416/1000)*(G416/1000)*7850</f>
        <v>315.0048</v>
      </c>
      <c r="I416" s="3" t="n">
        <v>2</v>
      </c>
      <c r="J416" s="9" t="n">
        <f aca="false">H416*I416</f>
        <v>630.0096</v>
      </c>
      <c r="K416" s="3"/>
    </row>
    <row r="417" customFormat="false" ht="15" hidden="false" customHeight="false" outlineLevel="0" collapsed="false">
      <c r="A417" s="3" t="s">
        <v>250</v>
      </c>
      <c r="B417" s="3" t="s">
        <v>210</v>
      </c>
      <c r="C417" s="3" t="s">
        <v>212</v>
      </c>
      <c r="D417" s="3" t="s">
        <v>8</v>
      </c>
      <c r="E417" s="3" t="n">
        <v>1520</v>
      </c>
      <c r="F417" s="3" t="n">
        <v>500</v>
      </c>
      <c r="G417" s="3" t="n">
        <v>24</v>
      </c>
      <c r="H417" s="8" t="n">
        <f aca="false">(E417/1000)*(F417/1000)*(G417/1000)*7850</f>
        <v>143.184</v>
      </c>
      <c r="I417" s="3" t="n">
        <v>4</v>
      </c>
      <c r="J417" s="9" t="n">
        <f aca="false">H417*I417</f>
        <v>572.736</v>
      </c>
      <c r="K417" s="3"/>
    </row>
    <row r="418" customFormat="false" ht="15" hidden="false" customHeight="false" outlineLevel="0" collapsed="false">
      <c r="A418" s="3" t="s">
        <v>250</v>
      </c>
      <c r="B418" s="3" t="s">
        <v>210</v>
      </c>
      <c r="C418" s="3" t="s">
        <v>213</v>
      </c>
      <c r="D418" s="3" t="s">
        <v>8</v>
      </c>
      <c r="E418" s="3" t="n">
        <v>1320</v>
      </c>
      <c r="F418" s="3" t="n">
        <v>1100</v>
      </c>
      <c r="G418" s="3" t="n">
        <v>28</v>
      </c>
      <c r="H418" s="8" t="n">
        <f aca="false">(E418/1000)*(F418/1000)*(G418/1000)*7850</f>
        <v>319.1496</v>
      </c>
      <c r="I418" s="3" t="n">
        <v>1</v>
      </c>
      <c r="J418" s="9" t="n">
        <f aca="false">H418*I418</f>
        <v>319.1496</v>
      </c>
      <c r="K418" s="3"/>
    </row>
    <row r="419" customFormat="false" ht="15" hidden="false" customHeight="false" outlineLevel="0" collapsed="false">
      <c r="A419" s="3" t="s">
        <v>250</v>
      </c>
      <c r="B419" s="3" t="s">
        <v>210</v>
      </c>
      <c r="C419" s="3" t="s">
        <v>214</v>
      </c>
      <c r="D419" s="3" t="s">
        <v>8</v>
      </c>
      <c r="E419" s="3" t="n">
        <v>1320</v>
      </c>
      <c r="F419" s="3" t="n">
        <v>500</v>
      </c>
      <c r="G419" s="3" t="n">
        <v>28</v>
      </c>
      <c r="H419" s="8" t="n">
        <f aca="false">(E419/1000)*(F419/1000)*(G419/1000)*7850</f>
        <v>145.068</v>
      </c>
      <c r="I419" s="3" t="n">
        <v>2</v>
      </c>
      <c r="J419" s="9" t="n">
        <f aca="false">H419*I419</f>
        <v>290.136</v>
      </c>
      <c r="K419" s="3"/>
    </row>
    <row r="420" customFormat="false" ht="15" hidden="false" customHeight="false" outlineLevel="0" collapsed="false">
      <c r="A420" s="3" t="s">
        <v>250</v>
      </c>
      <c r="B420" s="3" t="s">
        <v>210</v>
      </c>
      <c r="C420" s="3" t="s">
        <v>215</v>
      </c>
      <c r="D420" s="3" t="s">
        <v>8</v>
      </c>
      <c r="E420" s="3" t="n">
        <v>1520</v>
      </c>
      <c r="F420" s="3" t="n">
        <v>1100</v>
      </c>
      <c r="G420" s="3" t="n">
        <v>44</v>
      </c>
      <c r="H420" s="8" t="n">
        <f aca="false">(E420/1000)*(F420/1000)*(G420/1000)*7850</f>
        <v>577.5088</v>
      </c>
      <c r="I420" s="3" t="n">
        <v>1</v>
      </c>
      <c r="J420" s="9" t="n">
        <f aca="false">H420*I420</f>
        <v>577.5088</v>
      </c>
      <c r="K420" s="3"/>
    </row>
    <row r="421" customFormat="false" ht="15" hidden="false" customHeight="false" outlineLevel="0" collapsed="false">
      <c r="A421" s="3" t="s">
        <v>250</v>
      </c>
      <c r="B421" s="3" t="s">
        <v>210</v>
      </c>
      <c r="C421" s="3" t="s">
        <v>216</v>
      </c>
      <c r="D421" s="3" t="s">
        <v>8</v>
      </c>
      <c r="E421" s="3" t="n">
        <v>1520</v>
      </c>
      <c r="F421" s="3" t="n">
        <v>240</v>
      </c>
      <c r="G421" s="3" t="n">
        <v>44</v>
      </c>
      <c r="H421" s="8" t="n">
        <f aca="false">(E421/1000)*(F421/1000)*(G421/1000)*7850</f>
        <v>126.00192</v>
      </c>
      <c r="I421" s="3" t="n">
        <v>2</v>
      </c>
      <c r="J421" s="9" t="n">
        <f aca="false">H421*I421</f>
        <v>252.00384</v>
      </c>
      <c r="K421" s="3"/>
    </row>
    <row r="422" customFormat="false" ht="15" hidden="false" customHeight="false" outlineLevel="0" collapsed="false">
      <c r="A422" s="3" t="s">
        <v>250</v>
      </c>
      <c r="B422" s="3" t="s">
        <v>210</v>
      </c>
      <c r="C422" s="3" t="s">
        <v>217</v>
      </c>
      <c r="D422" s="3" t="s">
        <v>8</v>
      </c>
      <c r="E422" s="3" t="n">
        <v>1220</v>
      </c>
      <c r="F422" s="3" t="n">
        <v>240</v>
      </c>
      <c r="G422" s="3" t="n">
        <v>24</v>
      </c>
      <c r="H422" s="8" t="n">
        <f aca="false">(E422/1000)*(F422/1000)*(G422/1000)*7850</f>
        <v>55.16352</v>
      </c>
      <c r="I422" s="3" t="n">
        <v>4</v>
      </c>
      <c r="J422" s="9" t="n">
        <f aca="false">H422*I422</f>
        <v>220.65408</v>
      </c>
      <c r="K422" s="3"/>
    </row>
    <row r="423" customFormat="false" ht="15" hidden="false" customHeight="false" outlineLevel="0" collapsed="false">
      <c r="A423" s="3" t="s">
        <v>250</v>
      </c>
      <c r="B423" s="3" t="s">
        <v>210</v>
      </c>
      <c r="C423" s="3" t="s">
        <v>218</v>
      </c>
      <c r="D423" s="3" t="s">
        <v>8</v>
      </c>
      <c r="E423" s="3" t="n">
        <v>1320</v>
      </c>
      <c r="F423" s="3" t="n">
        <v>240</v>
      </c>
      <c r="G423" s="3" t="n">
        <v>24</v>
      </c>
      <c r="H423" s="8" t="n">
        <f aca="false">(E423/1000)*(F423/1000)*(G423/1000)*7850</f>
        <v>59.68512</v>
      </c>
      <c r="I423" s="3" t="n">
        <v>2</v>
      </c>
      <c r="J423" s="9" t="n">
        <f aca="false">H423*I423</f>
        <v>119.37024</v>
      </c>
      <c r="K423" s="3"/>
    </row>
    <row r="424" customFormat="false" ht="19.5" hidden="false" customHeight="false" outlineLevel="0" collapsed="false">
      <c r="A424" s="3" t="s">
        <v>250</v>
      </c>
      <c r="B424" s="3" t="s">
        <v>219</v>
      </c>
      <c r="C424" s="3" t="s">
        <v>220</v>
      </c>
      <c r="D424" s="3" t="s">
        <v>8</v>
      </c>
      <c r="E424" s="3" t="n">
        <v>1400</v>
      </c>
      <c r="F424" s="3" t="n">
        <v>1220</v>
      </c>
      <c r="G424" s="3" t="n">
        <v>28</v>
      </c>
      <c r="H424" s="8" t="n">
        <f aca="false">(E424/1000)*(F424/1000)*(G424/1000)*7850</f>
        <v>375.4184</v>
      </c>
      <c r="I424" s="3" t="n">
        <v>2</v>
      </c>
      <c r="J424" s="9" t="n">
        <f aca="false">H424*I424</f>
        <v>750.8368</v>
      </c>
      <c r="K424" s="3"/>
    </row>
    <row r="425" customFormat="false" ht="19.5" hidden="false" customHeight="false" outlineLevel="0" collapsed="false">
      <c r="A425" s="3" t="s">
        <v>250</v>
      </c>
      <c r="B425" s="3" t="s">
        <v>219</v>
      </c>
      <c r="C425" s="3" t="s">
        <v>221</v>
      </c>
      <c r="D425" s="3" t="s">
        <v>8</v>
      </c>
      <c r="E425" s="3" t="n">
        <v>1220</v>
      </c>
      <c r="F425" s="3" t="n">
        <v>300</v>
      </c>
      <c r="G425" s="3" t="n">
        <v>28</v>
      </c>
      <c r="H425" s="8" t="n">
        <f aca="false">(E425/1000)*(F425/1000)*(G425/1000)*7850</f>
        <v>80.4468</v>
      </c>
      <c r="I425" s="3" t="n">
        <v>2</v>
      </c>
      <c r="J425" s="9" t="n">
        <f aca="false">H425*I425</f>
        <v>160.8936</v>
      </c>
      <c r="K425" s="3"/>
    </row>
    <row r="426" customFormat="false" ht="19.5" hidden="false" customHeight="false" outlineLevel="0" collapsed="false">
      <c r="A426" s="3" t="s">
        <v>250</v>
      </c>
      <c r="B426" s="3" t="s">
        <v>219</v>
      </c>
      <c r="C426" s="3" t="s">
        <v>222</v>
      </c>
      <c r="D426" s="3" t="s">
        <v>8</v>
      </c>
      <c r="E426" s="3" t="n">
        <v>1220</v>
      </c>
      <c r="F426" s="3" t="n">
        <v>500</v>
      </c>
      <c r="G426" s="3" t="n">
        <v>28</v>
      </c>
      <c r="H426" s="8" t="n">
        <f aca="false">(E426/1000)*(F426/1000)*(G426/1000)*7850</f>
        <v>134.078</v>
      </c>
      <c r="I426" s="3" t="n">
        <v>2</v>
      </c>
      <c r="J426" s="9" t="n">
        <f aca="false">H426*I426</f>
        <v>268.156</v>
      </c>
      <c r="K426" s="3"/>
    </row>
    <row r="427" customFormat="false" ht="19.5" hidden="false" customHeight="false" outlineLevel="0" collapsed="false">
      <c r="A427" s="3" t="s">
        <v>250</v>
      </c>
      <c r="B427" s="3" t="s">
        <v>219</v>
      </c>
      <c r="C427" s="3" t="s">
        <v>223</v>
      </c>
      <c r="D427" s="3" t="s">
        <v>8</v>
      </c>
      <c r="E427" s="3" t="n">
        <v>1220</v>
      </c>
      <c r="F427" s="3" t="n">
        <v>400</v>
      </c>
      <c r="G427" s="3" t="n">
        <v>28</v>
      </c>
      <c r="H427" s="8" t="n">
        <f aca="false">(E427/1000)*(F427/1000)*(G427/1000)*7850</f>
        <v>107.2624</v>
      </c>
      <c r="I427" s="3" t="n">
        <v>2</v>
      </c>
      <c r="J427" s="9" t="n">
        <f aca="false">H427*I427</f>
        <v>214.5248</v>
      </c>
      <c r="K427" s="3"/>
    </row>
    <row r="428" customFormat="false" ht="19.5" hidden="false" customHeight="false" outlineLevel="0" collapsed="false">
      <c r="A428" s="3" t="s">
        <v>250</v>
      </c>
      <c r="B428" s="3" t="s">
        <v>219</v>
      </c>
      <c r="C428" s="3" t="s">
        <v>224</v>
      </c>
      <c r="D428" s="3" t="s">
        <v>8</v>
      </c>
      <c r="E428" s="3" t="n">
        <v>1420</v>
      </c>
      <c r="F428" s="3" t="n">
        <v>1100</v>
      </c>
      <c r="G428" s="3" t="n">
        <v>32</v>
      </c>
      <c r="H428" s="8" t="n">
        <f aca="false">(E428/1000)*(F428/1000)*(G428/1000)*7850</f>
        <v>392.3744</v>
      </c>
      <c r="I428" s="3" t="n">
        <v>1</v>
      </c>
      <c r="J428" s="9" t="n">
        <f aca="false">H428*I428</f>
        <v>392.3744</v>
      </c>
      <c r="K428" s="3"/>
    </row>
    <row r="429" customFormat="false" ht="19.5" hidden="false" customHeight="false" outlineLevel="0" collapsed="false">
      <c r="A429" s="3" t="s">
        <v>250</v>
      </c>
      <c r="B429" s="3" t="s">
        <v>219</v>
      </c>
      <c r="C429" s="3" t="s">
        <v>225</v>
      </c>
      <c r="D429" s="3" t="s">
        <v>8</v>
      </c>
      <c r="E429" s="3" t="n">
        <v>1420</v>
      </c>
      <c r="F429" s="3" t="n">
        <v>400</v>
      </c>
      <c r="G429" s="3" t="n">
        <v>32</v>
      </c>
      <c r="H429" s="8" t="n">
        <f aca="false">(E429/1000)*(F429/1000)*(G429/1000)*7850</f>
        <v>142.6816</v>
      </c>
      <c r="I429" s="3" t="n">
        <v>2</v>
      </c>
      <c r="J429" s="9" t="n">
        <f aca="false">H429*I429</f>
        <v>285.3632</v>
      </c>
      <c r="K429" s="3"/>
    </row>
    <row r="430" customFormat="false" ht="19.5" hidden="false" customHeight="false" outlineLevel="0" collapsed="false">
      <c r="A430" s="3" t="s">
        <v>250</v>
      </c>
      <c r="B430" s="3" t="s">
        <v>219</v>
      </c>
      <c r="C430" s="3" t="s">
        <v>226</v>
      </c>
      <c r="D430" s="3" t="s">
        <v>8</v>
      </c>
      <c r="E430" s="3" t="n">
        <v>920</v>
      </c>
      <c r="F430" s="3" t="n">
        <v>200</v>
      </c>
      <c r="G430" s="3" t="n">
        <v>20</v>
      </c>
      <c r="H430" s="8" t="n">
        <f aca="false">(E430/1000)*(F430/1000)*(G430/1000)*7850</f>
        <v>28.888</v>
      </c>
      <c r="I430" s="3" t="n">
        <v>10</v>
      </c>
      <c r="J430" s="9" t="n">
        <f aca="false">H430*I430</f>
        <v>288.88</v>
      </c>
      <c r="K430" s="3"/>
    </row>
    <row r="431" customFormat="false" ht="19.5" hidden="false" customHeight="false" outlineLevel="0" collapsed="false">
      <c r="A431" s="3" t="s">
        <v>250</v>
      </c>
      <c r="B431" s="3" t="s">
        <v>219</v>
      </c>
      <c r="C431" s="3" t="s">
        <v>227</v>
      </c>
      <c r="D431" s="3" t="s">
        <v>8</v>
      </c>
      <c r="E431" s="3" t="n">
        <v>1800</v>
      </c>
      <c r="F431" s="3" t="n">
        <v>600</v>
      </c>
      <c r="G431" s="3" t="n">
        <v>16</v>
      </c>
      <c r="H431" s="8" t="n">
        <f aca="false">(E431/1000)*(F431/1000)*(G431/1000)*7850</f>
        <v>135.648</v>
      </c>
      <c r="I431" s="3" t="n">
        <v>2</v>
      </c>
      <c r="J431" s="9" t="n">
        <f aca="false">H431*I431</f>
        <v>271.296</v>
      </c>
      <c r="K431" s="3"/>
    </row>
    <row r="432" customFormat="false" ht="19.5" hidden="false" customHeight="false" outlineLevel="0" collapsed="false">
      <c r="A432" s="3" t="s">
        <v>250</v>
      </c>
      <c r="B432" s="3" t="s">
        <v>219</v>
      </c>
      <c r="C432" s="3" t="s">
        <v>237</v>
      </c>
      <c r="D432" s="3" t="s">
        <v>8</v>
      </c>
      <c r="E432" s="3" t="n">
        <v>1100</v>
      </c>
      <c r="F432" s="3" t="n">
        <v>700</v>
      </c>
      <c r="G432" s="3" t="n">
        <v>16</v>
      </c>
      <c r="H432" s="8" t="n">
        <f aca="false">(E432/1000)*(F432/1000)*(G432/1000)*7850</f>
        <v>96.712</v>
      </c>
      <c r="I432" s="3" t="n">
        <v>1</v>
      </c>
      <c r="J432" s="9" t="n">
        <f aca="false">H432*I432</f>
        <v>96.712</v>
      </c>
      <c r="K432" s="3"/>
    </row>
    <row r="433" customFormat="false" ht="19.5" hidden="false" customHeight="false" outlineLevel="0" collapsed="false">
      <c r="A433" s="3" t="s">
        <v>251</v>
      </c>
      <c r="B433" s="3" t="s">
        <v>203</v>
      </c>
      <c r="C433" s="3" t="s">
        <v>204</v>
      </c>
      <c r="D433" s="3" t="s">
        <v>8</v>
      </c>
      <c r="E433" s="3" t="n">
        <v>1300</v>
      </c>
      <c r="F433" s="3" t="n">
        <v>1020</v>
      </c>
      <c r="G433" s="3" t="n">
        <v>24</v>
      </c>
      <c r="H433" s="8" t="n">
        <f aca="false">(E433/1000)*(F433/1000)*(G433/1000)*7850</f>
        <v>249.8184</v>
      </c>
      <c r="I433" s="3" t="n">
        <v>2</v>
      </c>
      <c r="J433" s="9" t="n">
        <f aca="false">H433*I433</f>
        <v>499.6368</v>
      </c>
      <c r="K433" s="3"/>
    </row>
    <row r="434" customFormat="false" ht="19.5" hidden="false" customHeight="false" outlineLevel="0" collapsed="false">
      <c r="A434" s="3" t="s">
        <v>251</v>
      </c>
      <c r="B434" s="3" t="s">
        <v>203</v>
      </c>
      <c r="C434" s="3" t="s">
        <v>205</v>
      </c>
      <c r="D434" s="3" t="s">
        <v>8</v>
      </c>
      <c r="E434" s="3" t="n">
        <v>1020</v>
      </c>
      <c r="F434" s="3" t="n">
        <v>600</v>
      </c>
      <c r="G434" s="3" t="n">
        <v>24</v>
      </c>
      <c r="H434" s="8" t="n">
        <f aca="false">(E434/1000)*(F434/1000)*(G434/1000)*7850</f>
        <v>115.3008</v>
      </c>
      <c r="I434" s="3" t="n">
        <v>4</v>
      </c>
      <c r="J434" s="9" t="n">
        <f aca="false">H434*I434</f>
        <v>461.2032</v>
      </c>
      <c r="K434" s="3"/>
    </row>
    <row r="435" customFormat="false" ht="19.5" hidden="false" customHeight="false" outlineLevel="0" collapsed="false">
      <c r="A435" s="3" t="s">
        <v>251</v>
      </c>
      <c r="B435" s="3" t="s">
        <v>203</v>
      </c>
      <c r="C435" s="3" t="s">
        <v>206</v>
      </c>
      <c r="D435" s="3" t="s">
        <v>8</v>
      </c>
      <c r="E435" s="3" t="n">
        <v>1320</v>
      </c>
      <c r="F435" s="3" t="n">
        <v>1100</v>
      </c>
      <c r="G435" s="3" t="n">
        <v>36</v>
      </c>
      <c r="H435" s="8" t="n">
        <f aca="false">(E435/1000)*(F435/1000)*(G435/1000)*7850</f>
        <v>410.3352</v>
      </c>
      <c r="I435" s="3" t="n">
        <v>1</v>
      </c>
      <c r="J435" s="9" t="n">
        <f aca="false">H435*I435</f>
        <v>410.3352</v>
      </c>
      <c r="K435" s="3"/>
    </row>
    <row r="436" customFormat="false" ht="19.5" hidden="false" customHeight="false" outlineLevel="0" collapsed="false">
      <c r="A436" s="3" t="s">
        <v>251</v>
      </c>
      <c r="B436" s="3" t="s">
        <v>203</v>
      </c>
      <c r="C436" s="3" t="s">
        <v>207</v>
      </c>
      <c r="D436" s="3" t="s">
        <v>8</v>
      </c>
      <c r="E436" s="3" t="n">
        <v>1320</v>
      </c>
      <c r="F436" s="3" t="n">
        <v>400</v>
      </c>
      <c r="G436" s="3" t="n">
        <v>36</v>
      </c>
      <c r="H436" s="8" t="n">
        <f aca="false">(E436/1000)*(F436/1000)*(G436/1000)*7850</f>
        <v>149.2128</v>
      </c>
      <c r="I436" s="3" t="n">
        <v>2</v>
      </c>
      <c r="J436" s="9" t="n">
        <f aca="false">H436*I436</f>
        <v>298.4256</v>
      </c>
      <c r="K436" s="3"/>
    </row>
    <row r="437" customFormat="false" ht="19.5" hidden="false" customHeight="false" outlineLevel="0" collapsed="false">
      <c r="A437" s="3" t="s">
        <v>251</v>
      </c>
      <c r="B437" s="3" t="s">
        <v>203</v>
      </c>
      <c r="C437" s="3" t="s">
        <v>208</v>
      </c>
      <c r="D437" s="3" t="s">
        <v>8</v>
      </c>
      <c r="E437" s="3" t="n">
        <v>920</v>
      </c>
      <c r="F437" s="3" t="n">
        <v>200</v>
      </c>
      <c r="G437" s="3" t="n">
        <v>20</v>
      </c>
      <c r="H437" s="8" t="n">
        <f aca="false">(E437/1000)*(F437/1000)*(G437/1000)*7850</f>
        <v>28.888</v>
      </c>
      <c r="I437" s="3" t="n">
        <v>6</v>
      </c>
      <c r="J437" s="9" t="n">
        <f aca="false">H437*I437</f>
        <v>173.328</v>
      </c>
      <c r="K437" s="3"/>
    </row>
    <row r="438" customFormat="false" ht="19.5" hidden="false" customHeight="false" outlineLevel="0" collapsed="false">
      <c r="A438" s="3" t="s">
        <v>251</v>
      </c>
      <c r="B438" s="3" t="s">
        <v>203</v>
      </c>
      <c r="C438" s="3" t="s">
        <v>209</v>
      </c>
      <c r="D438" s="3" t="s">
        <v>8</v>
      </c>
      <c r="E438" s="3" t="n">
        <v>1700</v>
      </c>
      <c r="F438" s="3" t="n">
        <v>500</v>
      </c>
      <c r="G438" s="3" t="n">
        <v>8</v>
      </c>
      <c r="H438" s="8" t="n">
        <f aca="false">(E438/1000)*(F438/1000)*(G438/1000)*7850</f>
        <v>53.38</v>
      </c>
      <c r="I438" s="3" t="n">
        <v>2</v>
      </c>
      <c r="J438" s="9" t="n">
        <f aca="false">H438*I438</f>
        <v>106.76</v>
      </c>
      <c r="K438" s="3"/>
    </row>
    <row r="439" customFormat="false" ht="19.5" hidden="false" customHeight="false" outlineLevel="0" collapsed="false">
      <c r="A439" s="3" t="s">
        <v>251</v>
      </c>
      <c r="B439" s="3" t="s">
        <v>203</v>
      </c>
      <c r="C439" s="3" t="s">
        <v>236</v>
      </c>
      <c r="D439" s="3" t="s">
        <v>8</v>
      </c>
      <c r="E439" s="3" t="n">
        <v>1100</v>
      </c>
      <c r="F439" s="3" t="n">
        <v>650</v>
      </c>
      <c r="G439" s="3" t="n">
        <v>4</v>
      </c>
      <c r="H439" s="8" t="n">
        <f aca="false">(E439/1000)*(F439/1000)*(G439/1000)*7850</f>
        <v>22.451</v>
      </c>
      <c r="I439" s="3" t="n">
        <v>1</v>
      </c>
      <c r="J439" s="9" t="n">
        <f aca="false">H439*I439</f>
        <v>22.451</v>
      </c>
      <c r="K439" s="3"/>
    </row>
    <row r="440" customFormat="false" ht="15" hidden="false" customHeight="false" outlineLevel="0" collapsed="false">
      <c r="A440" s="3" t="s">
        <v>251</v>
      </c>
      <c r="B440" s="3" t="s">
        <v>210</v>
      </c>
      <c r="C440" s="3" t="s">
        <v>211</v>
      </c>
      <c r="D440" s="3" t="s">
        <v>8</v>
      </c>
      <c r="E440" s="3" t="n">
        <v>1520</v>
      </c>
      <c r="F440" s="3" t="n">
        <v>1500</v>
      </c>
      <c r="G440" s="3" t="n">
        <v>32</v>
      </c>
      <c r="H440" s="8" t="n">
        <f aca="false">(E440/1000)*(F440/1000)*(G440/1000)*7850</f>
        <v>572.736</v>
      </c>
      <c r="I440" s="3" t="n">
        <v>2</v>
      </c>
      <c r="J440" s="9" t="n">
        <f aca="false">H440*I440</f>
        <v>1145.472</v>
      </c>
      <c r="K440" s="3"/>
    </row>
    <row r="441" customFormat="false" ht="15" hidden="false" customHeight="false" outlineLevel="0" collapsed="false">
      <c r="A441" s="3" t="s">
        <v>251</v>
      </c>
      <c r="B441" s="3" t="s">
        <v>210</v>
      </c>
      <c r="C441" s="3" t="s">
        <v>212</v>
      </c>
      <c r="D441" s="3" t="s">
        <v>8</v>
      </c>
      <c r="E441" s="3" t="n">
        <v>1520</v>
      </c>
      <c r="F441" s="3" t="n">
        <v>400</v>
      </c>
      <c r="G441" s="3" t="n">
        <v>32</v>
      </c>
      <c r="H441" s="8" t="n">
        <f aca="false">(E441/1000)*(F441/1000)*(G441/1000)*7850</f>
        <v>152.7296</v>
      </c>
      <c r="I441" s="3" t="n">
        <v>4</v>
      </c>
      <c r="J441" s="9" t="n">
        <f aca="false">H441*I441</f>
        <v>610.9184</v>
      </c>
      <c r="K441" s="3"/>
    </row>
    <row r="442" customFormat="false" ht="15" hidden="false" customHeight="false" outlineLevel="0" collapsed="false">
      <c r="A442" s="3" t="s">
        <v>251</v>
      </c>
      <c r="B442" s="3" t="s">
        <v>210</v>
      </c>
      <c r="C442" s="3" t="s">
        <v>213</v>
      </c>
      <c r="D442" s="3" t="s">
        <v>8</v>
      </c>
      <c r="E442" s="3" t="n">
        <v>1520</v>
      </c>
      <c r="F442" s="3" t="n">
        <v>500</v>
      </c>
      <c r="G442" s="3" t="n">
        <v>32</v>
      </c>
      <c r="H442" s="8" t="n">
        <f aca="false">(E442/1000)*(F442/1000)*(G442/1000)*7850</f>
        <v>190.912</v>
      </c>
      <c r="I442" s="3" t="n">
        <v>2</v>
      </c>
      <c r="J442" s="9" t="n">
        <f aca="false">H442*I442</f>
        <v>381.824</v>
      </c>
      <c r="K442" s="3"/>
    </row>
    <row r="443" customFormat="false" ht="15" hidden="false" customHeight="false" outlineLevel="0" collapsed="false">
      <c r="A443" s="3" t="s">
        <v>251</v>
      </c>
      <c r="B443" s="3" t="s">
        <v>210</v>
      </c>
      <c r="C443" s="3" t="s">
        <v>214</v>
      </c>
      <c r="D443" s="3" t="s">
        <v>8</v>
      </c>
      <c r="E443" s="3" t="n">
        <v>1520</v>
      </c>
      <c r="F443" s="3" t="n">
        <v>1100</v>
      </c>
      <c r="G443" s="3" t="n">
        <v>28</v>
      </c>
      <c r="H443" s="8" t="n">
        <f aca="false">(E443/1000)*(F443/1000)*(G443/1000)*7850</f>
        <v>367.5056</v>
      </c>
      <c r="I443" s="3" t="n">
        <v>1</v>
      </c>
      <c r="J443" s="9" t="n">
        <f aca="false">H443*I443</f>
        <v>367.5056</v>
      </c>
      <c r="K443" s="3"/>
    </row>
    <row r="444" customFormat="false" ht="15" hidden="false" customHeight="false" outlineLevel="0" collapsed="false">
      <c r="A444" s="3" t="s">
        <v>251</v>
      </c>
      <c r="B444" s="3" t="s">
        <v>210</v>
      </c>
      <c r="C444" s="3" t="s">
        <v>215</v>
      </c>
      <c r="D444" s="3" t="s">
        <v>8</v>
      </c>
      <c r="E444" s="3" t="n">
        <v>1520</v>
      </c>
      <c r="F444" s="3" t="n">
        <v>500</v>
      </c>
      <c r="G444" s="3" t="n">
        <v>28</v>
      </c>
      <c r="H444" s="8" t="n">
        <f aca="false">(E444/1000)*(F444/1000)*(G444/1000)*7850</f>
        <v>167.048</v>
      </c>
      <c r="I444" s="3" t="n">
        <v>2</v>
      </c>
      <c r="J444" s="9" t="n">
        <f aca="false">H444*I444</f>
        <v>334.096</v>
      </c>
      <c r="K444" s="3"/>
    </row>
    <row r="445" customFormat="false" ht="15" hidden="false" customHeight="false" outlineLevel="0" collapsed="false">
      <c r="A445" s="3" t="s">
        <v>251</v>
      </c>
      <c r="B445" s="3" t="s">
        <v>210</v>
      </c>
      <c r="C445" s="3" t="s">
        <v>216</v>
      </c>
      <c r="D445" s="3" t="s">
        <v>8</v>
      </c>
      <c r="E445" s="3" t="n">
        <v>1520</v>
      </c>
      <c r="F445" s="3" t="n">
        <v>1100</v>
      </c>
      <c r="G445" s="3" t="n">
        <v>40</v>
      </c>
      <c r="H445" s="8" t="n">
        <f aca="false">(E445/1000)*(F445/1000)*(G445/1000)*7850</f>
        <v>525.008</v>
      </c>
      <c r="I445" s="3" t="n">
        <v>1</v>
      </c>
      <c r="J445" s="9" t="n">
        <f aca="false">H445*I445</f>
        <v>525.008</v>
      </c>
      <c r="K445" s="3"/>
    </row>
    <row r="446" customFormat="false" ht="15" hidden="false" customHeight="false" outlineLevel="0" collapsed="false">
      <c r="A446" s="3" t="s">
        <v>251</v>
      </c>
      <c r="B446" s="3" t="s">
        <v>210</v>
      </c>
      <c r="C446" s="3" t="s">
        <v>217</v>
      </c>
      <c r="D446" s="3" t="s">
        <v>8</v>
      </c>
      <c r="E446" s="3" t="n">
        <v>1520</v>
      </c>
      <c r="F446" s="3" t="n">
        <v>400</v>
      </c>
      <c r="G446" s="3" t="n">
        <v>40</v>
      </c>
      <c r="H446" s="8" t="n">
        <f aca="false">(E446/1000)*(F446/1000)*(G446/1000)*7850</f>
        <v>190.912</v>
      </c>
      <c r="I446" s="3" t="n">
        <v>2</v>
      </c>
      <c r="J446" s="9" t="n">
        <f aca="false">H446*I446</f>
        <v>381.824</v>
      </c>
      <c r="K446" s="3"/>
    </row>
    <row r="447" customFormat="false" ht="15" hidden="false" customHeight="false" outlineLevel="0" collapsed="false">
      <c r="A447" s="3" t="s">
        <v>251</v>
      </c>
      <c r="B447" s="3" t="s">
        <v>210</v>
      </c>
      <c r="C447" s="3" t="s">
        <v>218</v>
      </c>
      <c r="D447" s="3" t="s">
        <v>8</v>
      </c>
      <c r="E447" s="3" t="n">
        <v>1320</v>
      </c>
      <c r="F447" s="3" t="n">
        <v>240</v>
      </c>
      <c r="G447" s="3" t="n">
        <v>24</v>
      </c>
      <c r="H447" s="8" t="n">
        <f aca="false">(E447/1000)*(F447/1000)*(G447/1000)*7850</f>
        <v>59.68512</v>
      </c>
      <c r="I447" s="3" t="n">
        <v>10</v>
      </c>
      <c r="J447" s="9" t="n">
        <f aca="false">H447*I447</f>
        <v>596.8512</v>
      </c>
      <c r="K447" s="3"/>
    </row>
    <row r="448" customFormat="false" ht="19.5" hidden="false" customHeight="false" outlineLevel="0" collapsed="false">
      <c r="A448" s="3" t="s">
        <v>251</v>
      </c>
      <c r="B448" s="3" t="s">
        <v>219</v>
      </c>
      <c r="C448" s="3" t="s">
        <v>220</v>
      </c>
      <c r="D448" s="3" t="s">
        <v>8</v>
      </c>
      <c r="E448" s="3" t="n">
        <v>1820</v>
      </c>
      <c r="F448" s="3" t="n">
        <v>1400</v>
      </c>
      <c r="G448" s="3" t="n">
        <v>40</v>
      </c>
      <c r="H448" s="8" t="n">
        <f aca="false">(E448/1000)*(F448/1000)*(G448/1000)*7850</f>
        <v>800.072</v>
      </c>
      <c r="I448" s="3" t="n">
        <v>2</v>
      </c>
      <c r="J448" s="9" t="n">
        <f aca="false">H448*I448</f>
        <v>1600.144</v>
      </c>
      <c r="K448" s="3"/>
    </row>
    <row r="449" customFormat="false" ht="19.5" hidden="false" customHeight="false" outlineLevel="0" collapsed="false">
      <c r="A449" s="3" t="s">
        <v>251</v>
      </c>
      <c r="B449" s="3" t="s">
        <v>219</v>
      </c>
      <c r="C449" s="3" t="s">
        <v>221</v>
      </c>
      <c r="D449" s="3" t="s">
        <v>8</v>
      </c>
      <c r="E449" s="3" t="n">
        <v>1820</v>
      </c>
      <c r="F449" s="3" t="n">
        <v>300</v>
      </c>
      <c r="G449" s="3" t="n">
        <v>40</v>
      </c>
      <c r="H449" s="8" t="n">
        <f aca="false">(E449/1000)*(F449/1000)*(G449/1000)*7850</f>
        <v>171.444</v>
      </c>
      <c r="I449" s="3" t="n">
        <v>2</v>
      </c>
      <c r="J449" s="9" t="n">
        <f aca="false">H449*I449</f>
        <v>342.888</v>
      </c>
      <c r="K449" s="3"/>
    </row>
    <row r="450" customFormat="false" ht="19.5" hidden="false" customHeight="false" outlineLevel="0" collapsed="false">
      <c r="A450" s="3" t="s">
        <v>251</v>
      </c>
      <c r="B450" s="3" t="s">
        <v>219</v>
      </c>
      <c r="C450" s="3" t="s">
        <v>222</v>
      </c>
      <c r="D450" s="3" t="s">
        <v>8</v>
      </c>
      <c r="E450" s="3" t="n">
        <v>1820</v>
      </c>
      <c r="F450" s="3" t="n">
        <v>500</v>
      </c>
      <c r="G450" s="3" t="n">
        <v>40</v>
      </c>
      <c r="H450" s="8" t="n">
        <f aca="false">(E450/1000)*(F450/1000)*(G450/1000)*7850</f>
        <v>285.74</v>
      </c>
      <c r="I450" s="3" t="n">
        <v>2</v>
      </c>
      <c r="J450" s="9" t="n">
        <f aca="false">H450*I450</f>
        <v>571.48</v>
      </c>
      <c r="K450" s="3"/>
    </row>
    <row r="451" customFormat="false" ht="19.5" hidden="false" customHeight="false" outlineLevel="0" collapsed="false">
      <c r="A451" s="3" t="s">
        <v>251</v>
      </c>
      <c r="B451" s="3" t="s">
        <v>219</v>
      </c>
      <c r="C451" s="3" t="s">
        <v>223</v>
      </c>
      <c r="D451" s="3" t="s">
        <v>8</v>
      </c>
      <c r="E451" s="3" t="n">
        <v>1820</v>
      </c>
      <c r="F451" s="3" t="n">
        <v>400</v>
      </c>
      <c r="G451" s="3" t="n">
        <v>40</v>
      </c>
      <c r="H451" s="8" t="n">
        <f aca="false">(E451/1000)*(F451/1000)*(G451/1000)*7850</f>
        <v>228.592</v>
      </c>
      <c r="I451" s="3" t="n">
        <v>2</v>
      </c>
      <c r="J451" s="9" t="n">
        <f aca="false">H451*I451</f>
        <v>457.184</v>
      </c>
      <c r="K451" s="3"/>
    </row>
    <row r="452" customFormat="false" ht="19.5" hidden="false" customHeight="false" outlineLevel="0" collapsed="false">
      <c r="A452" s="3" t="s">
        <v>251</v>
      </c>
      <c r="B452" s="3" t="s">
        <v>219</v>
      </c>
      <c r="C452" s="3" t="s">
        <v>224</v>
      </c>
      <c r="D452" s="3" t="s">
        <v>8</v>
      </c>
      <c r="E452" s="3" t="n">
        <v>1720</v>
      </c>
      <c r="F452" s="3" t="n">
        <v>1100</v>
      </c>
      <c r="G452" s="3" t="n">
        <v>44</v>
      </c>
      <c r="H452" s="8" t="n">
        <f aca="false">(E452/1000)*(F452/1000)*(G452/1000)*7850</f>
        <v>653.4968</v>
      </c>
      <c r="I452" s="3" t="n">
        <v>1</v>
      </c>
      <c r="J452" s="9" t="n">
        <f aca="false">H452*I452</f>
        <v>653.4968</v>
      </c>
      <c r="K452" s="3"/>
    </row>
    <row r="453" customFormat="false" ht="19.5" hidden="false" customHeight="false" outlineLevel="0" collapsed="false">
      <c r="A453" s="3" t="s">
        <v>251</v>
      </c>
      <c r="B453" s="3" t="s">
        <v>219</v>
      </c>
      <c r="C453" s="3" t="s">
        <v>225</v>
      </c>
      <c r="D453" s="3" t="s">
        <v>8</v>
      </c>
      <c r="E453" s="3" t="n">
        <v>1720</v>
      </c>
      <c r="F453" s="3" t="n">
        <v>400</v>
      </c>
      <c r="G453" s="3" t="n">
        <v>44</v>
      </c>
      <c r="H453" s="8" t="n">
        <f aca="false">(E453/1000)*(F453/1000)*(G453/1000)*7850</f>
        <v>237.6352</v>
      </c>
      <c r="I453" s="3" t="n">
        <v>2</v>
      </c>
      <c r="J453" s="9" t="n">
        <f aca="false">H453*I453</f>
        <v>475.2704</v>
      </c>
      <c r="K453" s="3"/>
    </row>
    <row r="454" customFormat="false" ht="19.5" hidden="false" customHeight="false" outlineLevel="0" collapsed="false">
      <c r="A454" s="3" t="s">
        <v>251</v>
      </c>
      <c r="B454" s="3" t="s">
        <v>219</v>
      </c>
      <c r="C454" s="3" t="s">
        <v>226</v>
      </c>
      <c r="D454" s="3" t="s">
        <v>8</v>
      </c>
      <c r="E454" s="3" t="n">
        <v>1320</v>
      </c>
      <c r="F454" s="3" t="n">
        <v>240</v>
      </c>
      <c r="G454" s="3" t="n">
        <v>24</v>
      </c>
      <c r="H454" s="8" t="n">
        <f aca="false">(E454/1000)*(F454/1000)*(G454/1000)*7850</f>
        <v>59.68512</v>
      </c>
      <c r="I454" s="3" t="n">
        <v>10</v>
      </c>
      <c r="J454" s="9" t="n">
        <f aca="false">H454*I454</f>
        <v>596.8512</v>
      </c>
      <c r="K454" s="3"/>
    </row>
    <row r="455" customFormat="false" ht="19.5" hidden="false" customHeight="false" outlineLevel="0" collapsed="false">
      <c r="A455" s="3" t="s">
        <v>252</v>
      </c>
      <c r="B455" s="3" t="s">
        <v>203</v>
      </c>
      <c r="C455" s="3" t="s">
        <v>204</v>
      </c>
      <c r="D455" s="3" t="s">
        <v>8</v>
      </c>
      <c r="E455" s="3" t="n">
        <v>1300</v>
      </c>
      <c r="F455" s="3" t="n">
        <v>1220</v>
      </c>
      <c r="G455" s="3" t="n">
        <v>28</v>
      </c>
      <c r="H455" s="8" t="n">
        <f aca="false">(E455/1000)*(F455/1000)*(G455/1000)*7850</f>
        <v>348.6028</v>
      </c>
      <c r="I455" s="3" t="n">
        <v>2</v>
      </c>
      <c r="J455" s="9" t="n">
        <f aca="false">H455*I455</f>
        <v>697.2056</v>
      </c>
      <c r="K455" s="3"/>
    </row>
    <row r="456" customFormat="false" ht="19.5" hidden="false" customHeight="false" outlineLevel="0" collapsed="false">
      <c r="A456" s="3" t="s">
        <v>252</v>
      </c>
      <c r="B456" s="3" t="s">
        <v>203</v>
      </c>
      <c r="C456" s="3" t="s">
        <v>205</v>
      </c>
      <c r="D456" s="3" t="s">
        <v>8</v>
      </c>
      <c r="E456" s="3" t="n">
        <v>1220</v>
      </c>
      <c r="F456" s="3" t="n">
        <v>600</v>
      </c>
      <c r="G456" s="3" t="n">
        <v>28</v>
      </c>
      <c r="H456" s="8" t="n">
        <f aca="false">(E456/1000)*(F456/1000)*(G456/1000)*7850</f>
        <v>160.8936</v>
      </c>
      <c r="I456" s="3" t="n">
        <v>4</v>
      </c>
      <c r="J456" s="9" t="n">
        <f aca="false">H456*I456</f>
        <v>643.5744</v>
      </c>
      <c r="K456" s="3"/>
    </row>
    <row r="457" customFormat="false" ht="19.5" hidden="false" customHeight="false" outlineLevel="0" collapsed="false">
      <c r="A457" s="3" t="s">
        <v>252</v>
      </c>
      <c r="B457" s="3" t="s">
        <v>203</v>
      </c>
      <c r="C457" s="3" t="s">
        <v>206</v>
      </c>
      <c r="D457" s="3" t="s">
        <v>8</v>
      </c>
      <c r="E457" s="3" t="n">
        <v>1520</v>
      </c>
      <c r="F457" s="3" t="n">
        <v>1100</v>
      </c>
      <c r="G457" s="3" t="n">
        <v>36</v>
      </c>
      <c r="H457" s="8" t="n">
        <f aca="false">(E457/1000)*(F457/1000)*(G457/1000)*7850</f>
        <v>472.5072</v>
      </c>
      <c r="I457" s="3" t="n">
        <v>1</v>
      </c>
      <c r="J457" s="9" t="n">
        <f aca="false">H457*I457</f>
        <v>472.5072</v>
      </c>
      <c r="K457" s="3"/>
    </row>
    <row r="458" customFormat="false" ht="19.5" hidden="false" customHeight="false" outlineLevel="0" collapsed="false">
      <c r="A458" s="3" t="s">
        <v>252</v>
      </c>
      <c r="B458" s="3" t="s">
        <v>203</v>
      </c>
      <c r="C458" s="3" t="s">
        <v>207</v>
      </c>
      <c r="D458" s="3" t="s">
        <v>8</v>
      </c>
      <c r="E458" s="3" t="n">
        <v>1520</v>
      </c>
      <c r="F458" s="3" t="n">
        <v>400</v>
      </c>
      <c r="G458" s="3" t="n">
        <v>36</v>
      </c>
      <c r="H458" s="8" t="n">
        <f aca="false">(E458/1000)*(F458/1000)*(G458/1000)*7850</f>
        <v>171.8208</v>
      </c>
      <c r="I458" s="3" t="n">
        <v>2</v>
      </c>
      <c r="J458" s="9" t="n">
        <f aca="false">H458*I458</f>
        <v>343.6416</v>
      </c>
      <c r="K458" s="3"/>
    </row>
    <row r="459" customFormat="false" ht="19.5" hidden="false" customHeight="false" outlineLevel="0" collapsed="false">
      <c r="A459" s="3" t="s">
        <v>252</v>
      </c>
      <c r="B459" s="3" t="s">
        <v>203</v>
      </c>
      <c r="C459" s="3" t="s">
        <v>208</v>
      </c>
      <c r="D459" s="3" t="s">
        <v>8</v>
      </c>
      <c r="E459" s="3" t="n">
        <v>1320</v>
      </c>
      <c r="F459" s="3" t="n">
        <v>240</v>
      </c>
      <c r="G459" s="3" t="n">
        <v>24</v>
      </c>
      <c r="H459" s="8" t="n">
        <f aca="false">(E459/1000)*(F459/1000)*(G459/1000)*7850</f>
        <v>59.68512</v>
      </c>
      <c r="I459" s="3" t="n">
        <v>6</v>
      </c>
      <c r="J459" s="9" t="n">
        <f aca="false">H459*I459</f>
        <v>358.11072</v>
      </c>
      <c r="K459" s="3"/>
    </row>
    <row r="460" customFormat="false" ht="19.5" hidden="false" customHeight="false" outlineLevel="0" collapsed="false">
      <c r="A460" s="3" t="s">
        <v>252</v>
      </c>
      <c r="B460" s="3" t="s">
        <v>203</v>
      </c>
      <c r="C460" s="3" t="s">
        <v>209</v>
      </c>
      <c r="D460" s="3" t="s">
        <v>8</v>
      </c>
      <c r="E460" s="3" t="n">
        <v>1300</v>
      </c>
      <c r="F460" s="3" t="n">
        <v>600</v>
      </c>
      <c r="G460" s="3" t="n">
        <v>4</v>
      </c>
      <c r="H460" s="8" t="n">
        <f aca="false">(E460/1000)*(F460/1000)*(G460/1000)*7850</f>
        <v>24.492</v>
      </c>
      <c r="I460" s="3" t="n">
        <v>1</v>
      </c>
      <c r="J460" s="9" t="n">
        <f aca="false">H460*I460</f>
        <v>24.492</v>
      </c>
      <c r="K460" s="3"/>
    </row>
    <row r="461" customFormat="false" ht="15" hidden="false" customHeight="false" outlineLevel="0" collapsed="false">
      <c r="A461" s="3" t="s">
        <v>252</v>
      </c>
      <c r="B461" s="3" t="s">
        <v>210</v>
      </c>
      <c r="C461" s="3" t="s">
        <v>211</v>
      </c>
      <c r="D461" s="3" t="s">
        <v>8</v>
      </c>
      <c r="E461" s="3" t="n">
        <v>1520</v>
      </c>
      <c r="F461" s="3" t="n">
        <v>1500</v>
      </c>
      <c r="G461" s="3" t="n">
        <v>32</v>
      </c>
      <c r="H461" s="8" t="n">
        <f aca="false">(E461/1000)*(F461/1000)*(G461/1000)*7850</f>
        <v>572.736</v>
      </c>
      <c r="I461" s="3" t="n">
        <v>2</v>
      </c>
      <c r="J461" s="9" t="n">
        <f aca="false">H461*I461</f>
        <v>1145.472</v>
      </c>
      <c r="K461" s="3"/>
    </row>
    <row r="462" customFormat="false" ht="15" hidden="false" customHeight="false" outlineLevel="0" collapsed="false">
      <c r="A462" s="3" t="s">
        <v>252</v>
      </c>
      <c r="B462" s="3" t="s">
        <v>210</v>
      </c>
      <c r="C462" s="3" t="s">
        <v>212</v>
      </c>
      <c r="D462" s="3" t="s">
        <v>8</v>
      </c>
      <c r="E462" s="3" t="n">
        <v>1520</v>
      </c>
      <c r="F462" s="3" t="n">
        <v>400</v>
      </c>
      <c r="G462" s="3" t="n">
        <v>32</v>
      </c>
      <c r="H462" s="8" t="n">
        <f aca="false">(E462/1000)*(F462/1000)*(G462/1000)*7850</f>
        <v>152.7296</v>
      </c>
      <c r="I462" s="3" t="n">
        <v>4</v>
      </c>
      <c r="J462" s="9" t="n">
        <f aca="false">H462*I462</f>
        <v>610.9184</v>
      </c>
      <c r="K462" s="3"/>
    </row>
    <row r="463" customFormat="false" ht="15" hidden="false" customHeight="false" outlineLevel="0" collapsed="false">
      <c r="A463" s="3" t="s">
        <v>252</v>
      </c>
      <c r="B463" s="3" t="s">
        <v>210</v>
      </c>
      <c r="C463" s="3" t="s">
        <v>213</v>
      </c>
      <c r="D463" s="3" t="s">
        <v>8</v>
      </c>
      <c r="E463" s="3" t="n">
        <v>1520</v>
      </c>
      <c r="F463" s="3" t="n">
        <v>500</v>
      </c>
      <c r="G463" s="3" t="n">
        <v>32</v>
      </c>
      <c r="H463" s="8" t="n">
        <f aca="false">(E463/1000)*(F463/1000)*(G463/1000)*7850</f>
        <v>190.912</v>
      </c>
      <c r="I463" s="3" t="n">
        <v>2</v>
      </c>
      <c r="J463" s="9" t="n">
        <f aca="false">H463*I463</f>
        <v>381.824</v>
      </c>
      <c r="K463" s="3"/>
    </row>
    <row r="464" customFormat="false" ht="15" hidden="false" customHeight="false" outlineLevel="0" collapsed="false">
      <c r="A464" s="3" t="s">
        <v>252</v>
      </c>
      <c r="B464" s="3" t="s">
        <v>210</v>
      </c>
      <c r="C464" s="3" t="s">
        <v>214</v>
      </c>
      <c r="D464" s="3" t="s">
        <v>8</v>
      </c>
      <c r="E464" s="3" t="n">
        <v>1520</v>
      </c>
      <c r="F464" s="3" t="n">
        <v>1100</v>
      </c>
      <c r="G464" s="3" t="n">
        <v>28</v>
      </c>
      <c r="H464" s="8" t="n">
        <f aca="false">(E464/1000)*(F464/1000)*(G464/1000)*7850</f>
        <v>367.5056</v>
      </c>
      <c r="I464" s="3" t="n">
        <v>1</v>
      </c>
      <c r="J464" s="9" t="n">
        <f aca="false">H464*I464</f>
        <v>367.5056</v>
      </c>
      <c r="K464" s="3"/>
    </row>
    <row r="465" customFormat="false" ht="15" hidden="false" customHeight="false" outlineLevel="0" collapsed="false">
      <c r="A465" s="3" t="s">
        <v>252</v>
      </c>
      <c r="B465" s="3" t="s">
        <v>210</v>
      </c>
      <c r="C465" s="3" t="s">
        <v>215</v>
      </c>
      <c r="D465" s="3" t="s">
        <v>8</v>
      </c>
      <c r="E465" s="3" t="n">
        <v>1520</v>
      </c>
      <c r="F465" s="3" t="n">
        <v>500</v>
      </c>
      <c r="G465" s="3" t="n">
        <v>28</v>
      </c>
      <c r="H465" s="8" t="n">
        <f aca="false">(E465/1000)*(F465/1000)*(G465/1000)*7850</f>
        <v>167.048</v>
      </c>
      <c r="I465" s="3" t="n">
        <v>2</v>
      </c>
      <c r="J465" s="9" t="n">
        <f aca="false">H465*I465</f>
        <v>334.096</v>
      </c>
      <c r="K465" s="3"/>
    </row>
    <row r="466" customFormat="false" ht="15" hidden="false" customHeight="false" outlineLevel="0" collapsed="false">
      <c r="A466" s="3" t="s">
        <v>252</v>
      </c>
      <c r="B466" s="3" t="s">
        <v>210</v>
      </c>
      <c r="C466" s="3" t="s">
        <v>216</v>
      </c>
      <c r="D466" s="3" t="s">
        <v>8</v>
      </c>
      <c r="E466" s="3" t="n">
        <v>1520</v>
      </c>
      <c r="F466" s="3" t="n">
        <v>1100</v>
      </c>
      <c r="G466" s="3" t="n">
        <v>40</v>
      </c>
      <c r="H466" s="8" t="n">
        <f aca="false">(E466/1000)*(F466/1000)*(G466/1000)*7850</f>
        <v>525.008</v>
      </c>
      <c r="I466" s="3" t="n">
        <v>1</v>
      </c>
      <c r="J466" s="9" t="n">
        <f aca="false">H466*I466</f>
        <v>525.008</v>
      </c>
      <c r="K466" s="3"/>
    </row>
    <row r="467" customFormat="false" ht="15" hidden="false" customHeight="false" outlineLevel="0" collapsed="false">
      <c r="A467" s="3" t="s">
        <v>252</v>
      </c>
      <c r="B467" s="3" t="s">
        <v>210</v>
      </c>
      <c r="C467" s="3" t="s">
        <v>217</v>
      </c>
      <c r="D467" s="3" t="s">
        <v>8</v>
      </c>
      <c r="E467" s="3" t="n">
        <v>1520</v>
      </c>
      <c r="F467" s="3" t="n">
        <v>400</v>
      </c>
      <c r="G467" s="3" t="n">
        <v>40</v>
      </c>
      <c r="H467" s="8" t="n">
        <f aca="false">(E467/1000)*(F467/1000)*(G467/1000)*7850</f>
        <v>190.912</v>
      </c>
      <c r="I467" s="3" t="n">
        <v>2</v>
      </c>
      <c r="J467" s="9" t="n">
        <f aca="false">H467*I467</f>
        <v>381.824</v>
      </c>
      <c r="K467" s="3"/>
    </row>
    <row r="468" customFormat="false" ht="15" hidden="false" customHeight="false" outlineLevel="0" collapsed="false">
      <c r="A468" s="3" t="s">
        <v>252</v>
      </c>
      <c r="B468" s="3" t="s">
        <v>210</v>
      </c>
      <c r="C468" s="3" t="s">
        <v>218</v>
      </c>
      <c r="D468" s="3" t="s">
        <v>8</v>
      </c>
      <c r="E468" s="3" t="n">
        <v>1320</v>
      </c>
      <c r="F468" s="3" t="n">
        <v>240</v>
      </c>
      <c r="G468" s="3" t="n">
        <v>24</v>
      </c>
      <c r="H468" s="8" t="n">
        <f aca="false">(E468/1000)*(F468/1000)*(G468/1000)*7850</f>
        <v>59.68512</v>
      </c>
      <c r="I468" s="3" t="n">
        <v>10</v>
      </c>
      <c r="J468" s="9" t="n">
        <f aca="false">H468*I468</f>
        <v>596.8512</v>
      </c>
      <c r="K468" s="3"/>
    </row>
    <row r="469" customFormat="false" ht="19.5" hidden="false" customHeight="false" outlineLevel="0" collapsed="false">
      <c r="A469" s="3" t="s">
        <v>252</v>
      </c>
      <c r="B469" s="3" t="s">
        <v>219</v>
      </c>
      <c r="C469" s="3" t="s">
        <v>220</v>
      </c>
      <c r="D469" s="3" t="s">
        <v>8</v>
      </c>
      <c r="E469" s="3" t="n">
        <v>1820</v>
      </c>
      <c r="F469" s="3" t="n">
        <v>1400</v>
      </c>
      <c r="G469" s="3" t="n">
        <v>40</v>
      </c>
      <c r="H469" s="8" t="n">
        <f aca="false">(E469/1000)*(F469/1000)*(G469/1000)*7850</f>
        <v>800.072</v>
      </c>
      <c r="I469" s="3" t="n">
        <v>2</v>
      </c>
      <c r="J469" s="9" t="n">
        <f aca="false">H469*I469</f>
        <v>1600.144</v>
      </c>
      <c r="K469" s="3"/>
    </row>
    <row r="470" customFormat="false" ht="19.5" hidden="false" customHeight="false" outlineLevel="0" collapsed="false">
      <c r="A470" s="3" t="s">
        <v>252</v>
      </c>
      <c r="B470" s="3" t="s">
        <v>219</v>
      </c>
      <c r="C470" s="3" t="s">
        <v>221</v>
      </c>
      <c r="D470" s="3" t="s">
        <v>8</v>
      </c>
      <c r="E470" s="3" t="n">
        <v>1820</v>
      </c>
      <c r="F470" s="3" t="n">
        <v>300</v>
      </c>
      <c r="G470" s="3" t="n">
        <v>40</v>
      </c>
      <c r="H470" s="8" t="n">
        <f aca="false">(E470/1000)*(F470/1000)*(G470/1000)*7850</f>
        <v>171.444</v>
      </c>
      <c r="I470" s="3" t="n">
        <v>2</v>
      </c>
      <c r="J470" s="9" t="n">
        <f aca="false">H470*I470</f>
        <v>342.888</v>
      </c>
      <c r="K470" s="3"/>
    </row>
    <row r="471" customFormat="false" ht="19.5" hidden="false" customHeight="false" outlineLevel="0" collapsed="false">
      <c r="A471" s="3" t="s">
        <v>252</v>
      </c>
      <c r="B471" s="3" t="s">
        <v>219</v>
      </c>
      <c r="C471" s="3" t="s">
        <v>222</v>
      </c>
      <c r="D471" s="3" t="s">
        <v>8</v>
      </c>
      <c r="E471" s="3" t="n">
        <v>1820</v>
      </c>
      <c r="F471" s="3" t="n">
        <v>500</v>
      </c>
      <c r="G471" s="3" t="n">
        <v>40</v>
      </c>
      <c r="H471" s="8" t="n">
        <f aca="false">(E471/1000)*(F471/1000)*(G471/1000)*7850</f>
        <v>285.74</v>
      </c>
      <c r="I471" s="3" t="n">
        <v>2</v>
      </c>
      <c r="J471" s="9" t="n">
        <f aca="false">H471*I471</f>
        <v>571.48</v>
      </c>
      <c r="K471" s="3"/>
    </row>
    <row r="472" customFormat="false" ht="19.5" hidden="false" customHeight="false" outlineLevel="0" collapsed="false">
      <c r="A472" s="3" t="s">
        <v>252</v>
      </c>
      <c r="B472" s="3" t="s">
        <v>219</v>
      </c>
      <c r="C472" s="3" t="s">
        <v>223</v>
      </c>
      <c r="D472" s="3" t="s">
        <v>8</v>
      </c>
      <c r="E472" s="3" t="n">
        <v>1820</v>
      </c>
      <c r="F472" s="3" t="n">
        <v>400</v>
      </c>
      <c r="G472" s="3" t="n">
        <v>40</v>
      </c>
      <c r="H472" s="8" t="n">
        <f aca="false">(E472/1000)*(F472/1000)*(G472/1000)*7850</f>
        <v>228.592</v>
      </c>
      <c r="I472" s="3" t="n">
        <v>2</v>
      </c>
      <c r="J472" s="9" t="n">
        <f aca="false">H472*I472</f>
        <v>457.184</v>
      </c>
      <c r="K472" s="3"/>
    </row>
    <row r="473" customFormat="false" ht="19.5" hidden="false" customHeight="false" outlineLevel="0" collapsed="false">
      <c r="A473" s="3" t="s">
        <v>252</v>
      </c>
      <c r="B473" s="3" t="s">
        <v>219</v>
      </c>
      <c r="C473" s="3" t="s">
        <v>224</v>
      </c>
      <c r="D473" s="3" t="s">
        <v>8</v>
      </c>
      <c r="E473" s="3" t="n">
        <v>1720</v>
      </c>
      <c r="F473" s="3" t="n">
        <v>1100</v>
      </c>
      <c r="G473" s="3" t="n">
        <v>44</v>
      </c>
      <c r="H473" s="8" t="n">
        <f aca="false">(E473/1000)*(F473/1000)*(G473/1000)*7850</f>
        <v>653.4968</v>
      </c>
      <c r="I473" s="3" t="n">
        <v>1</v>
      </c>
      <c r="J473" s="9" t="n">
        <f aca="false">H473*I473</f>
        <v>653.4968</v>
      </c>
      <c r="K473" s="3"/>
    </row>
    <row r="474" customFormat="false" ht="19.5" hidden="false" customHeight="false" outlineLevel="0" collapsed="false">
      <c r="A474" s="3" t="s">
        <v>252</v>
      </c>
      <c r="B474" s="3" t="s">
        <v>219</v>
      </c>
      <c r="C474" s="3" t="s">
        <v>225</v>
      </c>
      <c r="D474" s="3" t="s">
        <v>8</v>
      </c>
      <c r="E474" s="3" t="n">
        <v>1720</v>
      </c>
      <c r="F474" s="3" t="n">
        <v>400</v>
      </c>
      <c r="G474" s="3" t="n">
        <v>44</v>
      </c>
      <c r="H474" s="8" t="n">
        <f aca="false">(E474/1000)*(F474/1000)*(G474/1000)*7850</f>
        <v>237.6352</v>
      </c>
      <c r="I474" s="3" t="n">
        <v>2</v>
      </c>
      <c r="J474" s="9" t="n">
        <f aca="false">H474*I474</f>
        <v>475.2704</v>
      </c>
      <c r="K474" s="3"/>
    </row>
    <row r="475" customFormat="false" ht="19.5" hidden="false" customHeight="false" outlineLevel="0" collapsed="false">
      <c r="A475" s="3" t="s">
        <v>252</v>
      </c>
      <c r="B475" s="3" t="s">
        <v>219</v>
      </c>
      <c r="C475" s="3" t="s">
        <v>226</v>
      </c>
      <c r="D475" s="3" t="s">
        <v>8</v>
      </c>
      <c r="E475" s="3" t="n">
        <v>1320</v>
      </c>
      <c r="F475" s="3" t="n">
        <v>240</v>
      </c>
      <c r="G475" s="3" t="n">
        <v>24</v>
      </c>
      <c r="H475" s="8" t="n">
        <f aca="false">(E475/1000)*(F475/1000)*(G475/1000)*7850</f>
        <v>59.68512</v>
      </c>
      <c r="I475" s="3" t="n">
        <v>10</v>
      </c>
      <c r="J475" s="9" t="n">
        <f aca="false">H475*I475</f>
        <v>596.8512</v>
      </c>
      <c r="K475" s="3"/>
    </row>
    <row r="476" customFormat="false" ht="19.5" hidden="false" customHeight="false" outlineLevel="0" collapsed="false">
      <c r="A476" s="3" t="s">
        <v>253</v>
      </c>
      <c r="B476" s="3" t="s">
        <v>203</v>
      </c>
      <c r="C476" s="3" t="s">
        <v>204</v>
      </c>
      <c r="D476" s="3" t="s">
        <v>8</v>
      </c>
      <c r="E476" s="3" t="n">
        <v>1300</v>
      </c>
      <c r="F476" s="3" t="n">
        <v>1220</v>
      </c>
      <c r="G476" s="3" t="n">
        <v>28</v>
      </c>
      <c r="H476" s="8" t="n">
        <f aca="false">(E476/1000)*(F476/1000)*(G476/1000)*7850</f>
        <v>348.6028</v>
      </c>
      <c r="I476" s="3" t="n">
        <v>2</v>
      </c>
      <c r="J476" s="9" t="n">
        <f aca="false">H476*I476</f>
        <v>697.2056</v>
      </c>
      <c r="K476" s="3"/>
    </row>
    <row r="477" customFormat="false" ht="19.5" hidden="false" customHeight="false" outlineLevel="0" collapsed="false">
      <c r="A477" s="3" t="s">
        <v>253</v>
      </c>
      <c r="B477" s="3" t="s">
        <v>203</v>
      </c>
      <c r="C477" s="3" t="s">
        <v>205</v>
      </c>
      <c r="D477" s="3" t="s">
        <v>8</v>
      </c>
      <c r="E477" s="3" t="n">
        <v>1220</v>
      </c>
      <c r="F477" s="3" t="n">
        <v>600</v>
      </c>
      <c r="G477" s="3" t="n">
        <v>28</v>
      </c>
      <c r="H477" s="8" t="n">
        <f aca="false">(E477/1000)*(F477/1000)*(G477/1000)*7850</f>
        <v>160.8936</v>
      </c>
      <c r="I477" s="3" t="n">
        <v>4</v>
      </c>
      <c r="J477" s="9" t="n">
        <f aca="false">H477*I477</f>
        <v>643.5744</v>
      </c>
      <c r="K477" s="3"/>
    </row>
    <row r="478" customFormat="false" ht="19.5" hidden="false" customHeight="false" outlineLevel="0" collapsed="false">
      <c r="A478" s="3" t="s">
        <v>253</v>
      </c>
      <c r="B478" s="3" t="s">
        <v>203</v>
      </c>
      <c r="C478" s="3" t="s">
        <v>206</v>
      </c>
      <c r="D478" s="3" t="s">
        <v>8</v>
      </c>
      <c r="E478" s="3" t="n">
        <v>1520</v>
      </c>
      <c r="F478" s="3" t="n">
        <v>1100</v>
      </c>
      <c r="G478" s="3" t="n">
        <v>36</v>
      </c>
      <c r="H478" s="8" t="n">
        <f aca="false">(E478/1000)*(F478/1000)*(G478/1000)*7850</f>
        <v>472.5072</v>
      </c>
      <c r="I478" s="3" t="n">
        <v>1</v>
      </c>
      <c r="J478" s="9" t="n">
        <f aca="false">H478*I478</f>
        <v>472.5072</v>
      </c>
      <c r="K478" s="3"/>
    </row>
    <row r="479" customFormat="false" ht="19.5" hidden="false" customHeight="false" outlineLevel="0" collapsed="false">
      <c r="A479" s="3" t="s">
        <v>253</v>
      </c>
      <c r="B479" s="3" t="s">
        <v>203</v>
      </c>
      <c r="C479" s="3" t="s">
        <v>207</v>
      </c>
      <c r="D479" s="3" t="s">
        <v>8</v>
      </c>
      <c r="E479" s="3" t="n">
        <v>1520</v>
      </c>
      <c r="F479" s="3" t="n">
        <v>400</v>
      </c>
      <c r="G479" s="3" t="n">
        <v>36</v>
      </c>
      <c r="H479" s="8" t="n">
        <f aca="false">(E479/1000)*(F479/1000)*(G479/1000)*7850</f>
        <v>171.8208</v>
      </c>
      <c r="I479" s="3" t="n">
        <v>2</v>
      </c>
      <c r="J479" s="9" t="n">
        <f aca="false">H479*I479</f>
        <v>343.6416</v>
      </c>
      <c r="K479" s="3"/>
    </row>
    <row r="480" customFormat="false" ht="19.5" hidden="false" customHeight="false" outlineLevel="0" collapsed="false">
      <c r="A480" s="3" t="s">
        <v>253</v>
      </c>
      <c r="B480" s="3" t="s">
        <v>203</v>
      </c>
      <c r="C480" s="3" t="s">
        <v>208</v>
      </c>
      <c r="D480" s="3" t="s">
        <v>8</v>
      </c>
      <c r="E480" s="3" t="n">
        <v>1320</v>
      </c>
      <c r="F480" s="3" t="n">
        <v>240</v>
      </c>
      <c r="G480" s="3" t="n">
        <v>24</v>
      </c>
      <c r="H480" s="8" t="n">
        <f aca="false">(E480/1000)*(F480/1000)*(G480/1000)*7850</f>
        <v>59.68512</v>
      </c>
      <c r="I480" s="3" t="n">
        <v>6</v>
      </c>
      <c r="J480" s="9" t="n">
        <f aca="false">H480*I480</f>
        <v>358.11072</v>
      </c>
      <c r="K480" s="3"/>
    </row>
    <row r="481" customFormat="false" ht="19.5" hidden="false" customHeight="false" outlineLevel="0" collapsed="false">
      <c r="A481" s="3" t="s">
        <v>253</v>
      </c>
      <c r="B481" s="3" t="s">
        <v>203</v>
      </c>
      <c r="C481" s="3" t="s">
        <v>209</v>
      </c>
      <c r="D481" s="3" t="s">
        <v>8</v>
      </c>
      <c r="E481" s="3" t="n">
        <v>1300</v>
      </c>
      <c r="F481" s="3" t="n">
        <v>600</v>
      </c>
      <c r="G481" s="3" t="n">
        <v>4</v>
      </c>
      <c r="H481" s="8" t="n">
        <f aca="false">(E481/1000)*(F481/1000)*(G481/1000)*7850</f>
        <v>24.492</v>
      </c>
      <c r="I481" s="3" t="n">
        <v>1</v>
      </c>
      <c r="J481" s="9" t="n">
        <f aca="false">H481*I481</f>
        <v>24.492</v>
      </c>
      <c r="K481" s="3"/>
    </row>
    <row r="482" customFormat="false" ht="15" hidden="false" customHeight="false" outlineLevel="0" collapsed="false">
      <c r="A482" s="3" t="s">
        <v>253</v>
      </c>
      <c r="B482" s="3" t="s">
        <v>210</v>
      </c>
      <c r="C482" s="3" t="s">
        <v>211</v>
      </c>
      <c r="D482" s="3" t="s">
        <v>8</v>
      </c>
      <c r="E482" s="3" t="n">
        <v>1520</v>
      </c>
      <c r="F482" s="3" t="n">
        <v>1100</v>
      </c>
      <c r="G482" s="3" t="n">
        <v>24</v>
      </c>
      <c r="H482" s="8" t="n">
        <f aca="false">(E482/1000)*(F482/1000)*(G482/1000)*7850</f>
        <v>315.0048</v>
      </c>
      <c r="I482" s="3" t="n">
        <v>2</v>
      </c>
      <c r="J482" s="9" t="n">
        <f aca="false">H482*I482</f>
        <v>630.0096</v>
      </c>
      <c r="K482" s="3"/>
    </row>
    <row r="483" customFormat="false" ht="15" hidden="false" customHeight="false" outlineLevel="0" collapsed="false">
      <c r="A483" s="3" t="s">
        <v>253</v>
      </c>
      <c r="B483" s="3" t="s">
        <v>210</v>
      </c>
      <c r="C483" s="3" t="s">
        <v>212</v>
      </c>
      <c r="D483" s="3" t="s">
        <v>8</v>
      </c>
      <c r="E483" s="3" t="n">
        <v>1520</v>
      </c>
      <c r="F483" s="3" t="n">
        <v>500</v>
      </c>
      <c r="G483" s="3" t="n">
        <v>24</v>
      </c>
      <c r="H483" s="8" t="n">
        <f aca="false">(E483/1000)*(F483/1000)*(G483/1000)*7850</f>
        <v>143.184</v>
      </c>
      <c r="I483" s="3" t="n">
        <v>4</v>
      </c>
      <c r="J483" s="9" t="n">
        <f aca="false">H483*I483</f>
        <v>572.736</v>
      </c>
      <c r="K483" s="3"/>
    </row>
    <row r="484" customFormat="false" ht="15" hidden="false" customHeight="false" outlineLevel="0" collapsed="false">
      <c r="A484" s="3" t="s">
        <v>253</v>
      </c>
      <c r="B484" s="3" t="s">
        <v>210</v>
      </c>
      <c r="C484" s="3" t="s">
        <v>213</v>
      </c>
      <c r="D484" s="3" t="s">
        <v>8</v>
      </c>
      <c r="E484" s="3" t="n">
        <v>1320</v>
      </c>
      <c r="F484" s="3" t="n">
        <v>1100</v>
      </c>
      <c r="G484" s="3" t="n">
        <v>28</v>
      </c>
      <c r="H484" s="8" t="n">
        <f aca="false">(E484/1000)*(F484/1000)*(G484/1000)*7850</f>
        <v>319.1496</v>
      </c>
      <c r="I484" s="3" t="n">
        <v>1</v>
      </c>
      <c r="J484" s="9" t="n">
        <f aca="false">H484*I484</f>
        <v>319.1496</v>
      </c>
      <c r="K484" s="3"/>
    </row>
    <row r="485" customFormat="false" ht="15" hidden="false" customHeight="false" outlineLevel="0" collapsed="false">
      <c r="A485" s="3" t="s">
        <v>253</v>
      </c>
      <c r="B485" s="3" t="s">
        <v>210</v>
      </c>
      <c r="C485" s="3" t="s">
        <v>214</v>
      </c>
      <c r="D485" s="3" t="s">
        <v>8</v>
      </c>
      <c r="E485" s="3" t="n">
        <v>1320</v>
      </c>
      <c r="F485" s="3" t="n">
        <v>500</v>
      </c>
      <c r="G485" s="3" t="n">
        <v>28</v>
      </c>
      <c r="H485" s="8" t="n">
        <f aca="false">(E485/1000)*(F485/1000)*(G485/1000)*7850</f>
        <v>145.068</v>
      </c>
      <c r="I485" s="3" t="n">
        <v>2</v>
      </c>
      <c r="J485" s="9" t="n">
        <f aca="false">H485*I485</f>
        <v>290.136</v>
      </c>
      <c r="K485" s="3"/>
    </row>
    <row r="486" customFormat="false" ht="15" hidden="false" customHeight="false" outlineLevel="0" collapsed="false">
      <c r="A486" s="3" t="s">
        <v>253</v>
      </c>
      <c r="B486" s="3" t="s">
        <v>210</v>
      </c>
      <c r="C486" s="3" t="s">
        <v>215</v>
      </c>
      <c r="D486" s="3" t="s">
        <v>8</v>
      </c>
      <c r="E486" s="3" t="n">
        <v>1520</v>
      </c>
      <c r="F486" s="3" t="n">
        <v>1100</v>
      </c>
      <c r="G486" s="3" t="n">
        <v>44</v>
      </c>
      <c r="H486" s="8" t="n">
        <f aca="false">(E486/1000)*(F486/1000)*(G486/1000)*7850</f>
        <v>577.5088</v>
      </c>
      <c r="I486" s="3" t="n">
        <v>1</v>
      </c>
      <c r="J486" s="9" t="n">
        <f aca="false">H486*I486</f>
        <v>577.5088</v>
      </c>
      <c r="K486" s="3"/>
    </row>
    <row r="487" customFormat="false" ht="15" hidden="false" customHeight="false" outlineLevel="0" collapsed="false">
      <c r="A487" s="3" t="s">
        <v>253</v>
      </c>
      <c r="B487" s="3" t="s">
        <v>210</v>
      </c>
      <c r="C487" s="3" t="s">
        <v>216</v>
      </c>
      <c r="D487" s="3" t="s">
        <v>8</v>
      </c>
      <c r="E487" s="3" t="n">
        <v>1520</v>
      </c>
      <c r="F487" s="3" t="n">
        <v>240</v>
      </c>
      <c r="G487" s="3" t="n">
        <v>44</v>
      </c>
      <c r="H487" s="8" t="n">
        <f aca="false">(E487/1000)*(F487/1000)*(G487/1000)*7850</f>
        <v>126.00192</v>
      </c>
      <c r="I487" s="3" t="n">
        <v>2</v>
      </c>
      <c r="J487" s="9" t="n">
        <f aca="false">H487*I487</f>
        <v>252.00384</v>
      </c>
      <c r="K487" s="3"/>
    </row>
    <row r="488" customFormat="false" ht="15" hidden="false" customHeight="false" outlineLevel="0" collapsed="false">
      <c r="A488" s="3" t="s">
        <v>253</v>
      </c>
      <c r="B488" s="3" t="s">
        <v>210</v>
      </c>
      <c r="C488" s="3" t="s">
        <v>217</v>
      </c>
      <c r="D488" s="3" t="s">
        <v>8</v>
      </c>
      <c r="E488" s="3" t="n">
        <v>1220</v>
      </c>
      <c r="F488" s="3" t="n">
        <v>240</v>
      </c>
      <c r="G488" s="3" t="n">
        <v>24</v>
      </c>
      <c r="H488" s="8" t="n">
        <f aca="false">(E488/1000)*(F488/1000)*(G488/1000)*7850</f>
        <v>55.16352</v>
      </c>
      <c r="I488" s="3" t="n">
        <v>4</v>
      </c>
      <c r="J488" s="9" t="n">
        <f aca="false">H488*I488</f>
        <v>220.65408</v>
      </c>
      <c r="K488" s="3"/>
    </row>
    <row r="489" customFormat="false" ht="15" hidden="false" customHeight="false" outlineLevel="0" collapsed="false">
      <c r="A489" s="3" t="s">
        <v>253</v>
      </c>
      <c r="B489" s="3" t="s">
        <v>210</v>
      </c>
      <c r="C489" s="3" t="s">
        <v>218</v>
      </c>
      <c r="D489" s="3" t="s">
        <v>8</v>
      </c>
      <c r="E489" s="3" t="n">
        <v>1320</v>
      </c>
      <c r="F489" s="3" t="n">
        <v>240</v>
      </c>
      <c r="G489" s="3" t="n">
        <v>24</v>
      </c>
      <c r="H489" s="8" t="n">
        <f aca="false">(E489/1000)*(F489/1000)*(G489/1000)*7850</f>
        <v>59.68512</v>
      </c>
      <c r="I489" s="3" t="n">
        <v>2</v>
      </c>
      <c r="J489" s="9" t="n">
        <f aca="false">H489*I489</f>
        <v>119.37024</v>
      </c>
      <c r="K489" s="3"/>
    </row>
    <row r="490" customFormat="false" ht="19.5" hidden="false" customHeight="false" outlineLevel="0" collapsed="false">
      <c r="A490" s="3" t="s">
        <v>253</v>
      </c>
      <c r="B490" s="3" t="s">
        <v>219</v>
      </c>
      <c r="C490" s="3" t="s">
        <v>220</v>
      </c>
      <c r="D490" s="3" t="s">
        <v>8</v>
      </c>
      <c r="E490" s="3" t="n">
        <v>1820</v>
      </c>
      <c r="F490" s="3" t="n">
        <v>1400</v>
      </c>
      <c r="G490" s="3" t="n">
        <v>40</v>
      </c>
      <c r="H490" s="8" t="n">
        <f aca="false">(E490/1000)*(F490/1000)*(G490/1000)*7850</f>
        <v>800.072</v>
      </c>
      <c r="I490" s="3" t="n">
        <v>2</v>
      </c>
      <c r="J490" s="9" t="n">
        <f aca="false">H490*I490</f>
        <v>1600.144</v>
      </c>
      <c r="K490" s="3"/>
    </row>
    <row r="491" customFormat="false" ht="19.5" hidden="false" customHeight="false" outlineLevel="0" collapsed="false">
      <c r="A491" s="3" t="s">
        <v>253</v>
      </c>
      <c r="B491" s="3" t="s">
        <v>219</v>
      </c>
      <c r="C491" s="3" t="s">
        <v>221</v>
      </c>
      <c r="D491" s="3" t="s">
        <v>8</v>
      </c>
      <c r="E491" s="3" t="n">
        <v>1820</v>
      </c>
      <c r="F491" s="3" t="n">
        <v>300</v>
      </c>
      <c r="G491" s="3" t="n">
        <v>40</v>
      </c>
      <c r="H491" s="8" t="n">
        <f aca="false">(E491/1000)*(F491/1000)*(G491/1000)*7850</f>
        <v>171.444</v>
      </c>
      <c r="I491" s="3" t="n">
        <v>2</v>
      </c>
      <c r="J491" s="9" t="n">
        <f aca="false">H491*I491</f>
        <v>342.888</v>
      </c>
      <c r="K491" s="3"/>
    </row>
    <row r="492" customFormat="false" ht="19.5" hidden="false" customHeight="false" outlineLevel="0" collapsed="false">
      <c r="A492" s="3" t="s">
        <v>253</v>
      </c>
      <c r="B492" s="3" t="s">
        <v>219</v>
      </c>
      <c r="C492" s="3" t="s">
        <v>222</v>
      </c>
      <c r="D492" s="3" t="s">
        <v>8</v>
      </c>
      <c r="E492" s="3" t="n">
        <v>1820</v>
      </c>
      <c r="F492" s="3" t="n">
        <v>500</v>
      </c>
      <c r="G492" s="3" t="n">
        <v>40</v>
      </c>
      <c r="H492" s="8" t="n">
        <f aca="false">(E492/1000)*(F492/1000)*(G492/1000)*7850</f>
        <v>285.74</v>
      </c>
      <c r="I492" s="3" t="n">
        <v>2</v>
      </c>
      <c r="J492" s="9" t="n">
        <f aca="false">H492*I492</f>
        <v>571.48</v>
      </c>
      <c r="K492" s="3"/>
    </row>
    <row r="493" customFormat="false" ht="19.5" hidden="false" customHeight="false" outlineLevel="0" collapsed="false">
      <c r="A493" s="3" t="s">
        <v>253</v>
      </c>
      <c r="B493" s="3" t="s">
        <v>219</v>
      </c>
      <c r="C493" s="3" t="s">
        <v>223</v>
      </c>
      <c r="D493" s="3" t="s">
        <v>8</v>
      </c>
      <c r="E493" s="3" t="n">
        <v>1820</v>
      </c>
      <c r="F493" s="3" t="n">
        <v>400</v>
      </c>
      <c r="G493" s="3" t="n">
        <v>40</v>
      </c>
      <c r="H493" s="8" t="n">
        <f aca="false">(E493/1000)*(F493/1000)*(G493/1000)*7850</f>
        <v>228.592</v>
      </c>
      <c r="I493" s="3" t="n">
        <v>2</v>
      </c>
      <c r="J493" s="9" t="n">
        <f aca="false">H493*I493</f>
        <v>457.184</v>
      </c>
      <c r="K493" s="3"/>
    </row>
    <row r="494" customFormat="false" ht="19.5" hidden="false" customHeight="false" outlineLevel="0" collapsed="false">
      <c r="A494" s="3" t="s">
        <v>253</v>
      </c>
      <c r="B494" s="3" t="s">
        <v>219</v>
      </c>
      <c r="C494" s="3" t="s">
        <v>224</v>
      </c>
      <c r="D494" s="3" t="s">
        <v>8</v>
      </c>
      <c r="E494" s="3" t="n">
        <v>1720</v>
      </c>
      <c r="F494" s="3" t="n">
        <v>1100</v>
      </c>
      <c r="G494" s="3" t="n">
        <v>44</v>
      </c>
      <c r="H494" s="8" t="n">
        <f aca="false">(E494/1000)*(F494/1000)*(G494/1000)*7850</f>
        <v>653.4968</v>
      </c>
      <c r="I494" s="3" t="n">
        <v>1</v>
      </c>
      <c r="J494" s="9" t="n">
        <f aca="false">H494*I494</f>
        <v>653.4968</v>
      </c>
      <c r="K494" s="3"/>
    </row>
    <row r="495" customFormat="false" ht="19.5" hidden="false" customHeight="false" outlineLevel="0" collapsed="false">
      <c r="A495" s="3" t="s">
        <v>253</v>
      </c>
      <c r="B495" s="3" t="s">
        <v>219</v>
      </c>
      <c r="C495" s="3" t="s">
        <v>225</v>
      </c>
      <c r="D495" s="3" t="s">
        <v>8</v>
      </c>
      <c r="E495" s="3" t="n">
        <v>1720</v>
      </c>
      <c r="F495" s="3" t="n">
        <v>400</v>
      </c>
      <c r="G495" s="3" t="n">
        <v>44</v>
      </c>
      <c r="H495" s="8" t="n">
        <f aca="false">(E495/1000)*(F495/1000)*(G495/1000)*7850</f>
        <v>237.6352</v>
      </c>
      <c r="I495" s="3" t="n">
        <v>2</v>
      </c>
      <c r="J495" s="9" t="n">
        <f aca="false">H495*I495</f>
        <v>475.2704</v>
      </c>
      <c r="K495" s="3"/>
    </row>
    <row r="496" customFormat="false" ht="19.5" hidden="false" customHeight="false" outlineLevel="0" collapsed="false">
      <c r="A496" s="3" t="s">
        <v>253</v>
      </c>
      <c r="B496" s="3" t="s">
        <v>219</v>
      </c>
      <c r="C496" s="3" t="s">
        <v>226</v>
      </c>
      <c r="D496" s="3" t="s">
        <v>8</v>
      </c>
      <c r="E496" s="3" t="n">
        <v>1320</v>
      </c>
      <c r="F496" s="3" t="n">
        <v>240</v>
      </c>
      <c r="G496" s="3" t="n">
        <v>24</v>
      </c>
      <c r="H496" s="8" t="n">
        <f aca="false">(E496/1000)*(F496/1000)*(G496/1000)*7850</f>
        <v>59.68512</v>
      </c>
      <c r="I496" s="3" t="n">
        <v>10</v>
      </c>
      <c r="J496" s="9" t="n">
        <f aca="false">H496*I496</f>
        <v>596.8512</v>
      </c>
      <c r="K496" s="3"/>
    </row>
    <row r="497" customFormat="false" ht="19.5" hidden="false" customHeight="false" outlineLevel="0" collapsed="false">
      <c r="A497" s="3" t="s">
        <v>254</v>
      </c>
      <c r="B497" s="3" t="s">
        <v>203</v>
      </c>
      <c r="C497" s="3" t="s">
        <v>204</v>
      </c>
      <c r="D497" s="3" t="s">
        <v>8</v>
      </c>
      <c r="E497" s="3" t="n">
        <v>1300</v>
      </c>
      <c r="F497" s="3" t="n">
        <v>1020</v>
      </c>
      <c r="G497" s="3" t="n">
        <v>24</v>
      </c>
      <c r="H497" s="8" t="n">
        <f aca="false">(E497/1000)*(F497/1000)*(G497/1000)*7850</f>
        <v>249.8184</v>
      </c>
      <c r="I497" s="3" t="n">
        <v>2</v>
      </c>
      <c r="J497" s="9" t="n">
        <f aca="false">H497*I497</f>
        <v>499.6368</v>
      </c>
      <c r="K497" s="3"/>
    </row>
    <row r="498" customFormat="false" ht="19.5" hidden="false" customHeight="false" outlineLevel="0" collapsed="false">
      <c r="A498" s="3" t="s">
        <v>254</v>
      </c>
      <c r="B498" s="3" t="s">
        <v>203</v>
      </c>
      <c r="C498" s="3" t="s">
        <v>205</v>
      </c>
      <c r="D498" s="3" t="s">
        <v>8</v>
      </c>
      <c r="E498" s="3" t="n">
        <v>1020</v>
      </c>
      <c r="F498" s="3" t="n">
        <v>600</v>
      </c>
      <c r="G498" s="3" t="n">
        <v>24</v>
      </c>
      <c r="H498" s="8" t="n">
        <f aca="false">(E498/1000)*(F498/1000)*(G498/1000)*7850</f>
        <v>115.3008</v>
      </c>
      <c r="I498" s="3" t="n">
        <v>4</v>
      </c>
      <c r="J498" s="9" t="n">
        <f aca="false">H498*I498</f>
        <v>461.2032</v>
      </c>
      <c r="K498" s="3"/>
    </row>
    <row r="499" customFormat="false" ht="19.5" hidden="false" customHeight="false" outlineLevel="0" collapsed="false">
      <c r="A499" s="3" t="s">
        <v>254</v>
      </c>
      <c r="B499" s="3" t="s">
        <v>203</v>
      </c>
      <c r="C499" s="3" t="s">
        <v>206</v>
      </c>
      <c r="D499" s="3" t="s">
        <v>8</v>
      </c>
      <c r="E499" s="3" t="n">
        <v>1320</v>
      </c>
      <c r="F499" s="3" t="n">
        <v>1100</v>
      </c>
      <c r="G499" s="3" t="n">
        <v>36</v>
      </c>
      <c r="H499" s="8" t="n">
        <f aca="false">(E499/1000)*(F499/1000)*(G499/1000)*7850</f>
        <v>410.3352</v>
      </c>
      <c r="I499" s="3" t="n">
        <v>1</v>
      </c>
      <c r="J499" s="9" t="n">
        <f aca="false">H499*I499</f>
        <v>410.3352</v>
      </c>
      <c r="K499" s="3"/>
    </row>
    <row r="500" customFormat="false" ht="19.5" hidden="false" customHeight="false" outlineLevel="0" collapsed="false">
      <c r="A500" s="3" t="s">
        <v>254</v>
      </c>
      <c r="B500" s="3" t="s">
        <v>203</v>
      </c>
      <c r="C500" s="3" t="s">
        <v>207</v>
      </c>
      <c r="D500" s="3" t="s">
        <v>8</v>
      </c>
      <c r="E500" s="3" t="n">
        <v>1320</v>
      </c>
      <c r="F500" s="3" t="n">
        <v>400</v>
      </c>
      <c r="G500" s="3" t="n">
        <v>36</v>
      </c>
      <c r="H500" s="8" t="n">
        <f aca="false">(E500/1000)*(F500/1000)*(G500/1000)*7850</f>
        <v>149.2128</v>
      </c>
      <c r="I500" s="3" t="n">
        <v>2</v>
      </c>
      <c r="J500" s="9" t="n">
        <f aca="false">H500*I500</f>
        <v>298.4256</v>
      </c>
      <c r="K500" s="3"/>
    </row>
    <row r="501" customFormat="false" ht="19.5" hidden="false" customHeight="false" outlineLevel="0" collapsed="false">
      <c r="A501" s="3" t="s">
        <v>254</v>
      </c>
      <c r="B501" s="3" t="s">
        <v>203</v>
      </c>
      <c r="C501" s="3" t="s">
        <v>208</v>
      </c>
      <c r="D501" s="3" t="s">
        <v>8</v>
      </c>
      <c r="E501" s="3" t="n">
        <v>920</v>
      </c>
      <c r="F501" s="3" t="n">
        <v>200</v>
      </c>
      <c r="G501" s="3" t="n">
        <v>20</v>
      </c>
      <c r="H501" s="8" t="n">
        <f aca="false">(E501/1000)*(F501/1000)*(G501/1000)*7850</f>
        <v>28.888</v>
      </c>
      <c r="I501" s="3" t="n">
        <v>6</v>
      </c>
      <c r="J501" s="9" t="n">
        <f aca="false">H501*I501</f>
        <v>173.328</v>
      </c>
      <c r="K501" s="3"/>
    </row>
    <row r="502" customFormat="false" ht="19.5" hidden="false" customHeight="false" outlineLevel="0" collapsed="false">
      <c r="A502" s="3" t="s">
        <v>254</v>
      </c>
      <c r="B502" s="3" t="s">
        <v>203</v>
      </c>
      <c r="C502" s="3" t="s">
        <v>209</v>
      </c>
      <c r="D502" s="3" t="s">
        <v>8</v>
      </c>
      <c r="E502" s="3" t="n">
        <v>1700</v>
      </c>
      <c r="F502" s="3" t="n">
        <v>500</v>
      </c>
      <c r="G502" s="3" t="n">
        <v>8</v>
      </c>
      <c r="H502" s="8" t="n">
        <f aca="false">(E502/1000)*(F502/1000)*(G502/1000)*7850</f>
        <v>53.38</v>
      </c>
      <c r="I502" s="3" t="n">
        <v>2</v>
      </c>
      <c r="J502" s="9" t="n">
        <f aca="false">H502*I502</f>
        <v>106.76</v>
      </c>
      <c r="K502" s="3"/>
    </row>
    <row r="503" customFormat="false" ht="19.5" hidden="false" customHeight="false" outlineLevel="0" collapsed="false">
      <c r="A503" s="3" t="s">
        <v>254</v>
      </c>
      <c r="B503" s="3" t="s">
        <v>203</v>
      </c>
      <c r="C503" s="3" t="s">
        <v>236</v>
      </c>
      <c r="D503" s="3" t="s">
        <v>8</v>
      </c>
      <c r="E503" s="3" t="n">
        <v>1100</v>
      </c>
      <c r="F503" s="3" t="n">
        <v>650</v>
      </c>
      <c r="G503" s="3" t="n">
        <v>4</v>
      </c>
      <c r="H503" s="8" t="n">
        <f aca="false">(E503/1000)*(F503/1000)*(G503/1000)*7850</f>
        <v>22.451</v>
      </c>
      <c r="I503" s="3" t="n">
        <v>1</v>
      </c>
      <c r="J503" s="9" t="n">
        <f aca="false">H503*I503</f>
        <v>22.451</v>
      </c>
      <c r="K503" s="3"/>
    </row>
    <row r="504" customFormat="false" ht="15" hidden="false" customHeight="false" outlineLevel="0" collapsed="false">
      <c r="A504" s="3" t="s">
        <v>254</v>
      </c>
      <c r="B504" s="3" t="s">
        <v>210</v>
      </c>
      <c r="C504" s="3" t="s">
        <v>211</v>
      </c>
      <c r="D504" s="3" t="s">
        <v>8</v>
      </c>
      <c r="E504" s="3" t="n">
        <v>1520</v>
      </c>
      <c r="F504" s="3" t="n">
        <v>1100</v>
      </c>
      <c r="G504" s="3" t="n">
        <v>24</v>
      </c>
      <c r="H504" s="8" t="n">
        <f aca="false">(E504/1000)*(F504/1000)*(G504/1000)*7850</f>
        <v>315.0048</v>
      </c>
      <c r="I504" s="3" t="n">
        <v>2</v>
      </c>
      <c r="J504" s="9" t="n">
        <f aca="false">H504*I504</f>
        <v>630.0096</v>
      </c>
      <c r="K504" s="3"/>
    </row>
    <row r="505" customFormat="false" ht="15" hidden="false" customHeight="false" outlineLevel="0" collapsed="false">
      <c r="A505" s="3" t="s">
        <v>254</v>
      </c>
      <c r="B505" s="3" t="s">
        <v>210</v>
      </c>
      <c r="C505" s="3" t="s">
        <v>212</v>
      </c>
      <c r="D505" s="3" t="s">
        <v>8</v>
      </c>
      <c r="E505" s="3" t="n">
        <v>1520</v>
      </c>
      <c r="F505" s="3" t="n">
        <v>500</v>
      </c>
      <c r="G505" s="3" t="n">
        <v>24</v>
      </c>
      <c r="H505" s="8" t="n">
        <f aca="false">(E505/1000)*(F505/1000)*(G505/1000)*7850</f>
        <v>143.184</v>
      </c>
      <c r="I505" s="3" t="n">
        <v>4</v>
      </c>
      <c r="J505" s="9" t="n">
        <f aca="false">H505*I505</f>
        <v>572.736</v>
      </c>
      <c r="K505" s="3"/>
    </row>
    <row r="506" customFormat="false" ht="15" hidden="false" customHeight="false" outlineLevel="0" collapsed="false">
      <c r="A506" s="3" t="s">
        <v>254</v>
      </c>
      <c r="B506" s="3" t="s">
        <v>210</v>
      </c>
      <c r="C506" s="3" t="s">
        <v>213</v>
      </c>
      <c r="D506" s="3" t="s">
        <v>8</v>
      </c>
      <c r="E506" s="3" t="n">
        <v>1320</v>
      </c>
      <c r="F506" s="3" t="n">
        <v>1100</v>
      </c>
      <c r="G506" s="3" t="n">
        <v>28</v>
      </c>
      <c r="H506" s="8" t="n">
        <f aca="false">(E506/1000)*(F506/1000)*(G506/1000)*7850</f>
        <v>319.1496</v>
      </c>
      <c r="I506" s="3" t="n">
        <v>1</v>
      </c>
      <c r="J506" s="9" t="n">
        <f aca="false">H506*I506</f>
        <v>319.1496</v>
      </c>
      <c r="K506" s="3"/>
    </row>
    <row r="507" customFormat="false" ht="15" hidden="false" customHeight="false" outlineLevel="0" collapsed="false">
      <c r="A507" s="3" t="s">
        <v>254</v>
      </c>
      <c r="B507" s="3" t="s">
        <v>210</v>
      </c>
      <c r="C507" s="3" t="s">
        <v>214</v>
      </c>
      <c r="D507" s="3" t="s">
        <v>8</v>
      </c>
      <c r="E507" s="3" t="n">
        <v>1320</v>
      </c>
      <c r="F507" s="3" t="n">
        <v>500</v>
      </c>
      <c r="G507" s="3" t="n">
        <v>28</v>
      </c>
      <c r="H507" s="8" t="n">
        <f aca="false">(E507/1000)*(F507/1000)*(G507/1000)*7850</f>
        <v>145.068</v>
      </c>
      <c r="I507" s="3" t="n">
        <v>2</v>
      </c>
      <c r="J507" s="9" t="n">
        <f aca="false">H507*I507</f>
        <v>290.136</v>
      </c>
      <c r="K507" s="3"/>
    </row>
    <row r="508" customFormat="false" ht="15" hidden="false" customHeight="false" outlineLevel="0" collapsed="false">
      <c r="A508" s="3" t="s">
        <v>254</v>
      </c>
      <c r="B508" s="3" t="s">
        <v>210</v>
      </c>
      <c r="C508" s="3" t="s">
        <v>215</v>
      </c>
      <c r="D508" s="3" t="s">
        <v>8</v>
      </c>
      <c r="E508" s="3" t="n">
        <v>1520</v>
      </c>
      <c r="F508" s="3" t="n">
        <v>1100</v>
      </c>
      <c r="G508" s="3" t="n">
        <v>44</v>
      </c>
      <c r="H508" s="8" t="n">
        <f aca="false">(E508/1000)*(F508/1000)*(G508/1000)*7850</f>
        <v>577.5088</v>
      </c>
      <c r="I508" s="3" t="n">
        <v>1</v>
      </c>
      <c r="J508" s="9" t="n">
        <f aca="false">H508*I508</f>
        <v>577.5088</v>
      </c>
      <c r="K508" s="3"/>
    </row>
    <row r="509" customFormat="false" ht="15" hidden="false" customHeight="false" outlineLevel="0" collapsed="false">
      <c r="A509" s="3" t="s">
        <v>254</v>
      </c>
      <c r="B509" s="3" t="s">
        <v>210</v>
      </c>
      <c r="C509" s="3" t="s">
        <v>216</v>
      </c>
      <c r="D509" s="3" t="s">
        <v>8</v>
      </c>
      <c r="E509" s="3" t="n">
        <v>1520</v>
      </c>
      <c r="F509" s="3" t="n">
        <v>240</v>
      </c>
      <c r="G509" s="3" t="n">
        <v>44</v>
      </c>
      <c r="H509" s="8" t="n">
        <f aca="false">(E509/1000)*(F509/1000)*(G509/1000)*7850</f>
        <v>126.00192</v>
      </c>
      <c r="I509" s="3" t="n">
        <v>2</v>
      </c>
      <c r="J509" s="9" t="n">
        <f aca="false">H509*I509</f>
        <v>252.00384</v>
      </c>
      <c r="K509" s="3"/>
    </row>
    <row r="510" customFormat="false" ht="15" hidden="false" customHeight="false" outlineLevel="0" collapsed="false">
      <c r="A510" s="3" t="s">
        <v>254</v>
      </c>
      <c r="B510" s="3" t="s">
        <v>210</v>
      </c>
      <c r="C510" s="3" t="s">
        <v>217</v>
      </c>
      <c r="D510" s="3" t="s">
        <v>8</v>
      </c>
      <c r="E510" s="3" t="n">
        <v>1220</v>
      </c>
      <c r="F510" s="3" t="n">
        <v>240</v>
      </c>
      <c r="G510" s="3" t="n">
        <v>24</v>
      </c>
      <c r="H510" s="8" t="n">
        <f aca="false">(E510/1000)*(F510/1000)*(G510/1000)*7850</f>
        <v>55.16352</v>
      </c>
      <c r="I510" s="3" t="n">
        <v>4</v>
      </c>
      <c r="J510" s="9" t="n">
        <f aca="false">H510*I510</f>
        <v>220.65408</v>
      </c>
      <c r="K510" s="3"/>
    </row>
    <row r="511" customFormat="false" ht="15" hidden="false" customHeight="false" outlineLevel="0" collapsed="false">
      <c r="A511" s="3" t="s">
        <v>254</v>
      </c>
      <c r="B511" s="3" t="s">
        <v>210</v>
      </c>
      <c r="C511" s="3" t="s">
        <v>218</v>
      </c>
      <c r="D511" s="3" t="s">
        <v>8</v>
      </c>
      <c r="E511" s="3" t="n">
        <v>1320</v>
      </c>
      <c r="F511" s="3" t="n">
        <v>240</v>
      </c>
      <c r="G511" s="3" t="n">
        <v>24</v>
      </c>
      <c r="H511" s="8" t="n">
        <f aca="false">(E511/1000)*(F511/1000)*(G511/1000)*7850</f>
        <v>59.68512</v>
      </c>
      <c r="I511" s="3" t="n">
        <v>2</v>
      </c>
      <c r="J511" s="9" t="n">
        <f aca="false">H511*I511</f>
        <v>119.37024</v>
      </c>
      <c r="K511" s="3"/>
    </row>
    <row r="512" customFormat="false" ht="19.5" hidden="false" customHeight="false" outlineLevel="0" collapsed="false">
      <c r="A512" s="3" t="s">
        <v>254</v>
      </c>
      <c r="B512" s="3" t="s">
        <v>219</v>
      </c>
      <c r="C512" s="3" t="s">
        <v>220</v>
      </c>
      <c r="D512" s="3" t="s">
        <v>8</v>
      </c>
      <c r="E512" s="3" t="n">
        <v>1400</v>
      </c>
      <c r="F512" s="3" t="n">
        <v>1220</v>
      </c>
      <c r="G512" s="3" t="n">
        <v>28</v>
      </c>
      <c r="H512" s="8" t="n">
        <f aca="false">(E512/1000)*(F512/1000)*(G512/1000)*7850</f>
        <v>375.4184</v>
      </c>
      <c r="I512" s="3" t="n">
        <v>2</v>
      </c>
      <c r="J512" s="9" t="n">
        <f aca="false">H512*I512</f>
        <v>750.8368</v>
      </c>
      <c r="K512" s="3"/>
    </row>
    <row r="513" customFormat="false" ht="19.5" hidden="false" customHeight="false" outlineLevel="0" collapsed="false">
      <c r="A513" s="3" t="s">
        <v>254</v>
      </c>
      <c r="B513" s="3" t="s">
        <v>219</v>
      </c>
      <c r="C513" s="3" t="s">
        <v>221</v>
      </c>
      <c r="D513" s="3" t="s">
        <v>8</v>
      </c>
      <c r="E513" s="3" t="n">
        <v>1220</v>
      </c>
      <c r="F513" s="3" t="n">
        <v>300</v>
      </c>
      <c r="G513" s="3" t="n">
        <v>28</v>
      </c>
      <c r="H513" s="8" t="n">
        <f aca="false">(E513/1000)*(F513/1000)*(G513/1000)*7850</f>
        <v>80.4468</v>
      </c>
      <c r="I513" s="3" t="n">
        <v>2</v>
      </c>
      <c r="J513" s="9" t="n">
        <f aca="false">H513*I513</f>
        <v>160.8936</v>
      </c>
      <c r="K513" s="3"/>
    </row>
    <row r="514" customFormat="false" ht="19.5" hidden="false" customHeight="false" outlineLevel="0" collapsed="false">
      <c r="A514" s="3" t="s">
        <v>254</v>
      </c>
      <c r="B514" s="3" t="s">
        <v>219</v>
      </c>
      <c r="C514" s="3" t="s">
        <v>222</v>
      </c>
      <c r="D514" s="3" t="s">
        <v>8</v>
      </c>
      <c r="E514" s="3" t="n">
        <v>1220</v>
      </c>
      <c r="F514" s="3" t="n">
        <v>500</v>
      </c>
      <c r="G514" s="3" t="n">
        <v>28</v>
      </c>
      <c r="H514" s="8" t="n">
        <f aca="false">(E514/1000)*(F514/1000)*(G514/1000)*7850</f>
        <v>134.078</v>
      </c>
      <c r="I514" s="3" t="n">
        <v>2</v>
      </c>
      <c r="J514" s="9" t="n">
        <f aca="false">H514*I514</f>
        <v>268.156</v>
      </c>
      <c r="K514" s="3"/>
    </row>
    <row r="515" customFormat="false" ht="19.5" hidden="false" customHeight="false" outlineLevel="0" collapsed="false">
      <c r="A515" s="3" t="s">
        <v>254</v>
      </c>
      <c r="B515" s="3" t="s">
        <v>219</v>
      </c>
      <c r="C515" s="3" t="s">
        <v>223</v>
      </c>
      <c r="D515" s="3" t="s">
        <v>8</v>
      </c>
      <c r="E515" s="3" t="n">
        <v>1220</v>
      </c>
      <c r="F515" s="3" t="n">
        <v>400</v>
      </c>
      <c r="G515" s="3" t="n">
        <v>28</v>
      </c>
      <c r="H515" s="8" t="n">
        <f aca="false">(E515/1000)*(F515/1000)*(G515/1000)*7850</f>
        <v>107.2624</v>
      </c>
      <c r="I515" s="3" t="n">
        <v>2</v>
      </c>
      <c r="J515" s="9" t="n">
        <f aca="false">H515*I515</f>
        <v>214.5248</v>
      </c>
      <c r="K515" s="3"/>
    </row>
    <row r="516" customFormat="false" ht="19.5" hidden="false" customHeight="false" outlineLevel="0" collapsed="false">
      <c r="A516" s="3" t="s">
        <v>254</v>
      </c>
      <c r="B516" s="3" t="s">
        <v>219</v>
      </c>
      <c r="C516" s="3" t="s">
        <v>224</v>
      </c>
      <c r="D516" s="3" t="s">
        <v>8</v>
      </c>
      <c r="E516" s="3" t="n">
        <v>1420</v>
      </c>
      <c r="F516" s="3" t="n">
        <v>1100</v>
      </c>
      <c r="G516" s="3" t="n">
        <v>32</v>
      </c>
      <c r="H516" s="8" t="n">
        <f aca="false">(E516/1000)*(F516/1000)*(G516/1000)*7850</f>
        <v>392.3744</v>
      </c>
      <c r="I516" s="3" t="n">
        <v>1</v>
      </c>
      <c r="J516" s="9" t="n">
        <f aca="false">H516*I516</f>
        <v>392.3744</v>
      </c>
      <c r="K516" s="3"/>
    </row>
    <row r="517" customFormat="false" ht="19.5" hidden="false" customHeight="false" outlineLevel="0" collapsed="false">
      <c r="A517" s="3" t="s">
        <v>254</v>
      </c>
      <c r="B517" s="3" t="s">
        <v>219</v>
      </c>
      <c r="C517" s="3" t="s">
        <v>225</v>
      </c>
      <c r="D517" s="3" t="s">
        <v>8</v>
      </c>
      <c r="E517" s="3" t="n">
        <v>1420</v>
      </c>
      <c r="F517" s="3" t="n">
        <v>400</v>
      </c>
      <c r="G517" s="3" t="n">
        <v>32</v>
      </c>
      <c r="H517" s="8" t="n">
        <f aca="false">(E517/1000)*(F517/1000)*(G517/1000)*7850</f>
        <v>142.6816</v>
      </c>
      <c r="I517" s="3" t="n">
        <v>2</v>
      </c>
      <c r="J517" s="9" t="n">
        <f aca="false">H517*I517</f>
        <v>285.3632</v>
      </c>
      <c r="K517" s="3"/>
    </row>
    <row r="518" customFormat="false" ht="19.5" hidden="false" customHeight="false" outlineLevel="0" collapsed="false">
      <c r="A518" s="3" t="s">
        <v>254</v>
      </c>
      <c r="B518" s="3" t="s">
        <v>219</v>
      </c>
      <c r="C518" s="3" t="s">
        <v>226</v>
      </c>
      <c r="D518" s="3" t="s">
        <v>8</v>
      </c>
      <c r="E518" s="3" t="n">
        <v>920</v>
      </c>
      <c r="F518" s="3" t="n">
        <v>200</v>
      </c>
      <c r="G518" s="3" t="n">
        <v>20</v>
      </c>
      <c r="H518" s="8" t="n">
        <f aca="false">(E518/1000)*(F518/1000)*(G518/1000)*7850</f>
        <v>28.888</v>
      </c>
      <c r="I518" s="3" t="n">
        <v>10</v>
      </c>
      <c r="J518" s="9" t="n">
        <f aca="false">H518*I518</f>
        <v>288.88</v>
      </c>
      <c r="K518" s="3"/>
    </row>
    <row r="519" customFormat="false" ht="19.5" hidden="false" customHeight="false" outlineLevel="0" collapsed="false">
      <c r="A519" s="3" t="s">
        <v>254</v>
      </c>
      <c r="B519" s="3" t="s">
        <v>219</v>
      </c>
      <c r="C519" s="3" t="s">
        <v>227</v>
      </c>
      <c r="D519" s="3" t="s">
        <v>8</v>
      </c>
      <c r="E519" s="3" t="n">
        <v>1800</v>
      </c>
      <c r="F519" s="3" t="n">
        <v>600</v>
      </c>
      <c r="G519" s="3" t="n">
        <v>16</v>
      </c>
      <c r="H519" s="8" t="n">
        <f aca="false">(E519/1000)*(F519/1000)*(G519/1000)*7850</f>
        <v>135.648</v>
      </c>
      <c r="I519" s="3" t="n">
        <v>2</v>
      </c>
      <c r="J519" s="9" t="n">
        <f aca="false">H519*I519</f>
        <v>271.296</v>
      </c>
      <c r="K519" s="3"/>
    </row>
    <row r="520" customFormat="false" ht="19.5" hidden="false" customHeight="false" outlineLevel="0" collapsed="false">
      <c r="A520" s="3" t="s">
        <v>254</v>
      </c>
      <c r="B520" s="3" t="s">
        <v>219</v>
      </c>
      <c r="C520" s="3" t="s">
        <v>237</v>
      </c>
      <c r="D520" s="3" t="s">
        <v>8</v>
      </c>
      <c r="E520" s="3" t="n">
        <v>1100</v>
      </c>
      <c r="F520" s="3" t="n">
        <v>700</v>
      </c>
      <c r="G520" s="3" t="n">
        <v>16</v>
      </c>
      <c r="H520" s="8" t="n">
        <f aca="false">(E520/1000)*(F520/1000)*(G520/1000)*7850</f>
        <v>96.712</v>
      </c>
      <c r="I520" s="3" t="n">
        <v>1</v>
      </c>
      <c r="J520" s="9" t="n">
        <f aca="false">H520*I520</f>
        <v>96.712</v>
      </c>
      <c r="K520" s="3"/>
    </row>
    <row r="521" customFormat="false" ht="19.5" hidden="false" customHeight="false" outlineLevel="0" collapsed="false">
      <c r="A521" s="3" t="s">
        <v>255</v>
      </c>
      <c r="B521" s="3" t="s">
        <v>203</v>
      </c>
      <c r="C521" s="3" t="s">
        <v>204</v>
      </c>
      <c r="D521" s="3" t="s">
        <v>8</v>
      </c>
      <c r="E521" s="3" t="n">
        <v>1300</v>
      </c>
      <c r="F521" s="3" t="n">
        <v>820</v>
      </c>
      <c r="G521" s="3" t="n">
        <v>20</v>
      </c>
      <c r="H521" s="8" t="n">
        <f aca="false">(E521/1000)*(F521/1000)*(G521/1000)*7850</f>
        <v>167.362</v>
      </c>
      <c r="I521" s="3" t="n">
        <v>2</v>
      </c>
      <c r="J521" s="9" t="n">
        <f aca="false">H521*I521</f>
        <v>334.724</v>
      </c>
      <c r="K521" s="3"/>
    </row>
    <row r="522" customFormat="false" ht="19.5" hidden="false" customHeight="false" outlineLevel="0" collapsed="false">
      <c r="A522" s="3" t="s">
        <v>255</v>
      </c>
      <c r="B522" s="3" t="s">
        <v>203</v>
      </c>
      <c r="C522" s="3" t="s">
        <v>205</v>
      </c>
      <c r="D522" s="3" t="s">
        <v>8</v>
      </c>
      <c r="E522" s="3" t="n">
        <v>820</v>
      </c>
      <c r="F522" s="3" t="n">
        <v>600</v>
      </c>
      <c r="G522" s="3" t="n">
        <v>20</v>
      </c>
      <c r="H522" s="8" t="n">
        <f aca="false">(E522/1000)*(F522/1000)*(G522/1000)*7850</f>
        <v>77.244</v>
      </c>
      <c r="I522" s="3" t="n">
        <v>4</v>
      </c>
      <c r="J522" s="9" t="n">
        <f aca="false">H522*I522</f>
        <v>308.976</v>
      </c>
      <c r="K522" s="3"/>
    </row>
    <row r="523" customFormat="false" ht="19.5" hidden="false" customHeight="false" outlineLevel="0" collapsed="false">
      <c r="A523" s="3" t="s">
        <v>255</v>
      </c>
      <c r="B523" s="3" t="s">
        <v>203</v>
      </c>
      <c r="C523" s="3" t="s">
        <v>206</v>
      </c>
      <c r="D523" s="3" t="s">
        <v>8</v>
      </c>
      <c r="E523" s="3" t="n">
        <v>1120</v>
      </c>
      <c r="F523" s="3" t="n">
        <v>1100</v>
      </c>
      <c r="G523" s="3" t="n">
        <v>32</v>
      </c>
      <c r="H523" s="8" t="n">
        <f aca="false">(E523/1000)*(F523/1000)*(G523/1000)*7850</f>
        <v>309.4784</v>
      </c>
      <c r="I523" s="3" t="n">
        <v>1</v>
      </c>
      <c r="J523" s="9" t="n">
        <f aca="false">H523*I523</f>
        <v>309.4784</v>
      </c>
      <c r="K523" s="3"/>
    </row>
    <row r="524" customFormat="false" ht="19.5" hidden="false" customHeight="false" outlineLevel="0" collapsed="false">
      <c r="A524" s="3" t="s">
        <v>255</v>
      </c>
      <c r="B524" s="3" t="s">
        <v>203</v>
      </c>
      <c r="C524" s="3" t="s">
        <v>207</v>
      </c>
      <c r="D524" s="3" t="s">
        <v>8</v>
      </c>
      <c r="E524" s="3" t="n">
        <v>1120</v>
      </c>
      <c r="F524" s="3" t="n">
        <v>400</v>
      </c>
      <c r="G524" s="3" t="n">
        <v>32</v>
      </c>
      <c r="H524" s="8" t="n">
        <f aca="false">(E524/1000)*(F524/1000)*(G524/1000)*7850</f>
        <v>112.5376</v>
      </c>
      <c r="I524" s="3" t="n">
        <v>2</v>
      </c>
      <c r="J524" s="9" t="n">
        <f aca="false">H524*I524</f>
        <v>225.0752</v>
      </c>
      <c r="K524" s="3"/>
    </row>
    <row r="525" customFormat="false" ht="19.5" hidden="false" customHeight="false" outlineLevel="0" collapsed="false">
      <c r="A525" s="3" t="s">
        <v>255</v>
      </c>
      <c r="B525" s="3" t="s">
        <v>203</v>
      </c>
      <c r="C525" s="3" t="s">
        <v>208</v>
      </c>
      <c r="D525" s="3" t="s">
        <v>8</v>
      </c>
      <c r="E525" s="3" t="n">
        <v>920</v>
      </c>
      <c r="F525" s="3" t="n">
        <v>200</v>
      </c>
      <c r="G525" s="3" t="n">
        <v>20</v>
      </c>
      <c r="H525" s="8" t="n">
        <f aca="false">(E525/1000)*(F525/1000)*(G525/1000)*7850</f>
        <v>28.888</v>
      </c>
      <c r="I525" s="3" t="n">
        <v>6</v>
      </c>
      <c r="J525" s="9" t="n">
        <f aca="false">H525*I525</f>
        <v>173.328</v>
      </c>
      <c r="K525" s="3"/>
    </row>
    <row r="526" customFormat="false" ht="19.5" hidden="false" customHeight="false" outlineLevel="0" collapsed="false">
      <c r="A526" s="3" t="s">
        <v>255</v>
      </c>
      <c r="B526" s="3" t="s">
        <v>203</v>
      </c>
      <c r="C526" s="3" t="s">
        <v>209</v>
      </c>
      <c r="D526" s="3" t="s">
        <v>8</v>
      </c>
      <c r="E526" s="3" t="n">
        <v>1700</v>
      </c>
      <c r="F526" s="3" t="n">
        <v>400</v>
      </c>
      <c r="G526" s="3" t="n">
        <v>16</v>
      </c>
      <c r="H526" s="8" t="n">
        <f aca="false">(E526/1000)*(F526/1000)*(G526/1000)*7850</f>
        <v>85.408</v>
      </c>
      <c r="I526" s="3" t="n">
        <v>2</v>
      </c>
      <c r="J526" s="9" t="n">
        <f aca="false">H526*I526</f>
        <v>170.816</v>
      </c>
      <c r="K526" s="3"/>
    </row>
    <row r="527" customFormat="false" ht="15" hidden="false" customHeight="false" outlineLevel="0" collapsed="false">
      <c r="A527" s="3" t="s">
        <v>255</v>
      </c>
      <c r="B527" s="3" t="s">
        <v>210</v>
      </c>
      <c r="C527" s="3" t="s">
        <v>211</v>
      </c>
      <c r="D527" s="3" t="s">
        <v>8</v>
      </c>
      <c r="E527" s="3" t="n">
        <v>1320</v>
      </c>
      <c r="F527" s="3" t="n">
        <v>900</v>
      </c>
      <c r="G527" s="3" t="n">
        <v>28</v>
      </c>
      <c r="H527" s="8" t="n">
        <f aca="false">(E527/1000)*(F527/1000)*(G527/1000)*7850</f>
        <v>261.1224</v>
      </c>
      <c r="I527" s="3" t="n">
        <v>2</v>
      </c>
      <c r="J527" s="9" t="n">
        <f aca="false">H527*I527</f>
        <v>522.2448</v>
      </c>
      <c r="K527" s="3"/>
    </row>
    <row r="528" customFormat="false" ht="15" hidden="false" customHeight="false" outlineLevel="0" collapsed="false">
      <c r="A528" s="3" t="s">
        <v>255</v>
      </c>
      <c r="B528" s="3" t="s">
        <v>210</v>
      </c>
      <c r="C528" s="3" t="s">
        <v>212</v>
      </c>
      <c r="D528" s="3" t="s">
        <v>8</v>
      </c>
      <c r="E528" s="3" t="n">
        <v>1320</v>
      </c>
      <c r="F528" s="3" t="n">
        <v>400</v>
      </c>
      <c r="G528" s="3" t="n">
        <v>28</v>
      </c>
      <c r="H528" s="8" t="n">
        <f aca="false">(E528/1000)*(F528/1000)*(G528/1000)*7850</f>
        <v>116.0544</v>
      </c>
      <c r="I528" s="3" t="n">
        <v>4</v>
      </c>
      <c r="J528" s="9" t="n">
        <f aca="false">H528*I528</f>
        <v>464.2176</v>
      </c>
      <c r="K528" s="3"/>
    </row>
    <row r="529" customFormat="false" ht="15" hidden="false" customHeight="false" outlineLevel="0" collapsed="false">
      <c r="A529" s="3" t="s">
        <v>255</v>
      </c>
      <c r="B529" s="3" t="s">
        <v>210</v>
      </c>
      <c r="C529" s="3" t="s">
        <v>213</v>
      </c>
      <c r="D529" s="3" t="s">
        <v>8</v>
      </c>
      <c r="E529" s="3" t="n">
        <v>1320</v>
      </c>
      <c r="F529" s="3" t="n">
        <v>500</v>
      </c>
      <c r="G529" s="3" t="n">
        <v>28</v>
      </c>
      <c r="H529" s="8" t="n">
        <f aca="false">(E529/1000)*(F529/1000)*(G529/1000)*7850</f>
        <v>145.068</v>
      </c>
      <c r="I529" s="3" t="n">
        <v>4</v>
      </c>
      <c r="J529" s="9" t="n">
        <f aca="false">H529*I529</f>
        <v>580.272</v>
      </c>
      <c r="K529" s="3"/>
    </row>
    <row r="530" customFormat="false" ht="15" hidden="false" customHeight="false" outlineLevel="0" collapsed="false">
      <c r="A530" s="3" t="s">
        <v>255</v>
      </c>
      <c r="B530" s="3" t="s">
        <v>210</v>
      </c>
      <c r="C530" s="3" t="s">
        <v>214</v>
      </c>
      <c r="D530" s="3" t="s">
        <v>8</v>
      </c>
      <c r="E530" s="3" t="n">
        <v>820</v>
      </c>
      <c r="F530" s="3" t="n">
        <v>200</v>
      </c>
      <c r="G530" s="3" t="n">
        <v>20</v>
      </c>
      <c r="H530" s="8" t="n">
        <f aca="false">(E530/1000)*(F530/1000)*(G530/1000)*7850</f>
        <v>25.748</v>
      </c>
      <c r="I530" s="3" t="n">
        <v>4</v>
      </c>
      <c r="J530" s="9" t="n">
        <f aca="false">H530*I530</f>
        <v>102.992</v>
      </c>
      <c r="K530" s="3"/>
    </row>
    <row r="531" customFormat="false" ht="19.5" hidden="false" customHeight="false" outlineLevel="0" collapsed="false">
      <c r="A531" s="3" t="s">
        <v>255</v>
      </c>
      <c r="B531" s="3" t="s">
        <v>219</v>
      </c>
      <c r="C531" s="3" t="s">
        <v>220</v>
      </c>
      <c r="D531" s="3" t="s">
        <v>8</v>
      </c>
      <c r="E531" s="3" t="n">
        <v>1400</v>
      </c>
      <c r="F531" s="3" t="n">
        <v>1020</v>
      </c>
      <c r="G531" s="3" t="n">
        <v>16</v>
      </c>
      <c r="H531" s="8" t="n">
        <f aca="false">(E531/1000)*(F531/1000)*(G531/1000)*7850</f>
        <v>179.3568</v>
      </c>
      <c r="I531" s="3" t="n">
        <v>2</v>
      </c>
      <c r="J531" s="9" t="n">
        <f aca="false">H531*I531</f>
        <v>358.7136</v>
      </c>
      <c r="K531" s="3"/>
    </row>
    <row r="532" customFormat="false" ht="19.5" hidden="false" customHeight="false" outlineLevel="0" collapsed="false">
      <c r="A532" s="3" t="s">
        <v>255</v>
      </c>
      <c r="B532" s="3" t="s">
        <v>219</v>
      </c>
      <c r="C532" s="3" t="s">
        <v>221</v>
      </c>
      <c r="D532" s="3" t="s">
        <v>8</v>
      </c>
      <c r="E532" s="3" t="n">
        <v>1020</v>
      </c>
      <c r="F532" s="3" t="n">
        <v>300</v>
      </c>
      <c r="G532" s="3" t="n">
        <v>16</v>
      </c>
      <c r="H532" s="8" t="n">
        <f aca="false">(E532/1000)*(F532/1000)*(G532/1000)*7850</f>
        <v>38.4336</v>
      </c>
      <c r="I532" s="3" t="n">
        <v>2</v>
      </c>
      <c r="J532" s="9" t="n">
        <f aca="false">H532*I532</f>
        <v>76.8672</v>
      </c>
      <c r="K532" s="3"/>
    </row>
    <row r="533" customFormat="false" ht="19.5" hidden="false" customHeight="false" outlineLevel="0" collapsed="false">
      <c r="A533" s="3" t="s">
        <v>255</v>
      </c>
      <c r="B533" s="3" t="s">
        <v>219</v>
      </c>
      <c r="C533" s="3" t="s">
        <v>222</v>
      </c>
      <c r="D533" s="3" t="s">
        <v>8</v>
      </c>
      <c r="E533" s="3" t="n">
        <v>1020</v>
      </c>
      <c r="F533" s="3" t="n">
        <v>500</v>
      </c>
      <c r="G533" s="3" t="n">
        <v>16</v>
      </c>
      <c r="H533" s="8" t="n">
        <f aca="false">(E533/1000)*(F533/1000)*(G533/1000)*7850</f>
        <v>64.056</v>
      </c>
      <c r="I533" s="3" t="n">
        <v>2</v>
      </c>
      <c r="J533" s="9" t="n">
        <f aca="false">H533*I533</f>
        <v>128.112</v>
      </c>
      <c r="K533" s="3"/>
    </row>
    <row r="534" customFormat="false" ht="19.5" hidden="false" customHeight="false" outlineLevel="0" collapsed="false">
      <c r="A534" s="3" t="s">
        <v>255</v>
      </c>
      <c r="B534" s="3" t="s">
        <v>219</v>
      </c>
      <c r="C534" s="3" t="s">
        <v>223</v>
      </c>
      <c r="D534" s="3" t="s">
        <v>8</v>
      </c>
      <c r="E534" s="3" t="n">
        <v>1020</v>
      </c>
      <c r="F534" s="3" t="n">
        <v>400</v>
      </c>
      <c r="G534" s="3" t="n">
        <v>16</v>
      </c>
      <c r="H534" s="8" t="n">
        <f aca="false">(E534/1000)*(F534/1000)*(G534/1000)*7850</f>
        <v>51.2448</v>
      </c>
      <c r="I534" s="3" t="n">
        <v>2</v>
      </c>
      <c r="J534" s="9" t="n">
        <f aca="false">H534*I534</f>
        <v>102.4896</v>
      </c>
      <c r="K534" s="3"/>
    </row>
    <row r="535" customFormat="false" ht="19.5" hidden="false" customHeight="false" outlineLevel="0" collapsed="false">
      <c r="A535" s="3" t="s">
        <v>255</v>
      </c>
      <c r="B535" s="3" t="s">
        <v>219</v>
      </c>
      <c r="C535" s="3" t="s">
        <v>224</v>
      </c>
      <c r="D535" s="3" t="s">
        <v>8</v>
      </c>
      <c r="E535" s="3" t="n">
        <v>1420</v>
      </c>
      <c r="F535" s="3" t="n">
        <v>1100</v>
      </c>
      <c r="G535" s="3" t="n">
        <v>28</v>
      </c>
      <c r="H535" s="8" t="n">
        <f aca="false">(E535/1000)*(F535/1000)*(G535/1000)*7850</f>
        <v>343.3276</v>
      </c>
      <c r="I535" s="3" t="n">
        <v>1</v>
      </c>
      <c r="J535" s="9" t="n">
        <f aca="false">H535*I535</f>
        <v>343.3276</v>
      </c>
      <c r="K535" s="3"/>
    </row>
    <row r="536" customFormat="false" ht="19.5" hidden="false" customHeight="false" outlineLevel="0" collapsed="false">
      <c r="A536" s="3" t="s">
        <v>255</v>
      </c>
      <c r="B536" s="3" t="s">
        <v>219</v>
      </c>
      <c r="C536" s="3" t="s">
        <v>225</v>
      </c>
      <c r="D536" s="3" t="s">
        <v>8</v>
      </c>
      <c r="E536" s="3" t="n">
        <v>1420</v>
      </c>
      <c r="F536" s="3" t="n">
        <v>400</v>
      </c>
      <c r="G536" s="3" t="n">
        <v>28</v>
      </c>
      <c r="H536" s="8" t="n">
        <f aca="false">(E536/1000)*(F536/1000)*(G536/1000)*7850</f>
        <v>124.8464</v>
      </c>
      <c r="I536" s="3" t="n">
        <v>2</v>
      </c>
      <c r="J536" s="9" t="n">
        <f aca="false">H536*I536</f>
        <v>249.6928</v>
      </c>
      <c r="K536" s="3"/>
    </row>
    <row r="537" customFormat="false" ht="19.5" hidden="false" customHeight="false" outlineLevel="0" collapsed="false">
      <c r="A537" s="3" t="s">
        <v>255</v>
      </c>
      <c r="B537" s="3" t="s">
        <v>219</v>
      </c>
      <c r="C537" s="3" t="s">
        <v>226</v>
      </c>
      <c r="D537" s="3" t="s">
        <v>8</v>
      </c>
      <c r="E537" s="3" t="n">
        <v>920</v>
      </c>
      <c r="F537" s="3" t="n">
        <v>200</v>
      </c>
      <c r="G537" s="3" t="n">
        <v>20</v>
      </c>
      <c r="H537" s="8" t="n">
        <f aca="false">(E537/1000)*(F537/1000)*(G537/1000)*7850</f>
        <v>28.888</v>
      </c>
      <c r="I537" s="3" t="n">
        <v>10</v>
      </c>
      <c r="J537" s="9" t="n">
        <f aca="false">H537*I537</f>
        <v>288.88</v>
      </c>
      <c r="K537" s="3"/>
    </row>
    <row r="538" customFormat="false" ht="19.5" hidden="false" customHeight="false" outlineLevel="0" collapsed="false">
      <c r="A538" s="3" t="s">
        <v>255</v>
      </c>
      <c r="B538" s="3" t="s">
        <v>219</v>
      </c>
      <c r="C538" s="3" t="s">
        <v>227</v>
      </c>
      <c r="D538" s="3" t="s">
        <v>8</v>
      </c>
      <c r="E538" s="3" t="n">
        <v>1800</v>
      </c>
      <c r="F538" s="3" t="n">
        <v>500</v>
      </c>
      <c r="G538" s="3" t="n">
        <v>20</v>
      </c>
      <c r="H538" s="8" t="n">
        <f aca="false">(E538/1000)*(F538/1000)*(G538/1000)*7850</f>
        <v>141.3</v>
      </c>
      <c r="I538" s="3" t="n">
        <v>2</v>
      </c>
      <c r="J538" s="9" t="n">
        <f aca="false">H538*I538</f>
        <v>282.6</v>
      </c>
      <c r="K538" s="3"/>
    </row>
    <row r="539" customFormat="false" ht="19.5" hidden="false" customHeight="false" outlineLevel="0" collapsed="false">
      <c r="A539" s="3" t="s">
        <v>256</v>
      </c>
      <c r="B539" s="3" t="s">
        <v>203</v>
      </c>
      <c r="C539" s="3" t="s">
        <v>204</v>
      </c>
      <c r="D539" s="3" t="s">
        <v>8</v>
      </c>
      <c r="E539" s="3" t="n">
        <v>1300</v>
      </c>
      <c r="F539" s="3" t="n">
        <v>820</v>
      </c>
      <c r="G539" s="3" t="n">
        <v>20</v>
      </c>
      <c r="H539" s="8" t="n">
        <f aca="false">(E539/1000)*(F539/1000)*(G539/1000)*7850</f>
        <v>167.362</v>
      </c>
      <c r="I539" s="3" t="n">
        <v>2</v>
      </c>
      <c r="J539" s="9" t="n">
        <f aca="false">H539*I539</f>
        <v>334.724</v>
      </c>
      <c r="K539" s="3"/>
    </row>
    <row r="540" customFormat="false" ht="19.5" hidden="false" customHeight="false" outlineLevel="0" collapsed="false">
      <c r="A540" s="3" t="s">
        <v>256</v>
      </c>
      <c r="B540" s="3" t="s">
        <v>203</v>
      </c>
      <c r="C540" s="3" t="s">
        <v>205</v>
      </c>
      <c r="D540" s="3" t="s">
        <v>8</v>
      </c>
      <c r="E540" s="3" t="n">
        <v>820</v>
      </c>
      <c r="F540" s="3" t="n">
        <v>600</v>
      </c>
      <c r="G540" s="3" t="n">
        <v>20</v>
      </c>
      <c r="H540" s="8" t="n">
        <f aca="false">(E540/1000)*(F540/1000)*(G540/1000)*7850</f>
        <v>77.244</v>
      </c>
      <c r="I540" s="3" t="n">
        <v>4</v>
      </c>
      <c r="J540" s="9" t="n">
        <f aca="false">H540*I540</f>
        <v>308.976</v>
      </c>
      <c r="K540" s="3"/>
    </row>
    <row r="541" customFormat="false" ht="19.5" hidden="false" customHeight="false" outlineLevel="0" collapsed="false">
      <c r="A541" s="3" t="s">
        <v>256</v>
      </c>
      <c r="B541" s="3" t="s">
        <v>203</v>
      </c>
      <c r="C541" s="3" t="s">
        <v>206</v>
      </c>
      <c r="D541" s="3" t="s">
        <v>8</v>
      </c>
      <c r="E541" s="3" t="n">
        <v>1120</v>
      </c>
      <c r="F541" s="3" t="n">
        <v>1100</v>
      </c>
      <c r="G541" s="3" t="n">
        <v>32</v>
      </c>
      <c r="H541" s="8" t="n">
        <f aca="false">(E541/1000)*(F541/1000)*(G541/1000)*7850</f>
        <v>309.4784</v>
      </c>
      <c r="I541" s="3" t="n">
        <v>1</v>
      </c>
      <c r="J541" s="9" t="n">
        <f aca="false">H541*I541</f>
        <v>309.4784</v>
      </c>
      <c r="K541" s="3"/>
    </row>
    <row r="542" customFormat="false" ht="19.5" hidden="false" customHeight="false" outlineLevel="0" collapsed="false">
      <c r="A542" s="3" t="s">
        <v>256</v>
      </c>
      <c r="B542" s="3" t="s">
        <v>203</v>
      </c>
      <c r="C542" s="3" t="s">
        <v>207</v>
      </c>
      <c r="D542" s="3" t="s">
        <v>8</v>
      </c>
      <c r="E542" s="3" t="n">
        <v>1120</v>
      </c>
      <c r="F542" s="3" t="n">
        <v>400</v>
      </c>
      <c r="G542" s="3" t="n">
        <v>32</v>
      </c>
      <c r="H542" s="8" t="n">
        <f aca="false">(E542/1000)*(F542/1000)*(G542/1000)*7850</f>
        <v>112.5376</v>
      </c>
      <c r="I542" s="3" t="n">
        <v>2</v>
      </c>
      <c r="J542" s="9" t="n">
        <f aca="false">H542*I542</f>
        <v>225.0752</v>
      </c>
      <c r="K542" s="3"/>
    </row>
    <row r="543" customFormat="false" ht="19.5" hidden="false" customHeight="false" outlineLevel="0" collapsed="false">
      <c r="A543" s="3" t="s">
        <v>256</v>
      </c>
      <c r="B543" s="3" t="s">
        <v>203</v>
      </c>
      <c r="C543" s="3" t="s">
        <v>208</v>
      </c>
      <c r="D543" s="3" t="s">
        <v>8</v>
      </c>
      <c r="E543" s="3" t="n">
        <v>920</v>
      </c>
      <c r="F543" s="3" t="n">
        <v>200</v>
      </c>
      <c r="G543" s="3" t="n">
        <v>20</v>
      </c>
      <c r="H543" s="8" t="n">
        <f aca="false">(E543/1000)*(F543/1000)*(G543/1000)*7850</f>
        <v>28.888</v>
      </c>
      <c r="I543" s="3" t="n">
        <v>6</v>
      </c>
      <c r="J543" s="9" t="n">
        <f aca="false">H543*I543</f>
        <v>173.328</v>
      </c>
      <c r="K543" s="3"/>
    </row>
    <row r="544" customFormat="false" ht="19.5" hidden="false" customHeight="false" outlineLevel="0" collapsed="false">
      <c r="A544" s="3" t="s">
        <v>256</v>
      </c>
      <c r="B544" s="3" t="s">
        <v>203</v>
      </c>
      <c r="C544" s="3" t="s">
        <v>209</v>
      </c>
      <c r="D544" s="3" t="s">
        <v>8</v>
      </c>
      <c r="E544" s="3" t="n">
        <v>1700</v>
      </c>
      <c r="F544" s="3" t="n">
        <v>400</v>
      </c>
      <c r="G544" s="3" t="n">
        <v>16</v>
      </c>
      <c r="H544" s="8" t="n">
        <f aca="false">(E544/1000)*(F544/1000)*(G544/1000)*7850</f>
        <v>85.408</v>
      </c>
      <c r="I544" s="3" t="n">
        <v>2</v>
      </c>
      <c r="J544" s="9" t="n">
        <f aca="false">H544*I544</f>
        <v>170.816</v>
      </c>
      <c r="K544" s="3"/>
    </row>
    <row r="545" customFormat="false" ht="15" hidden="false" customHeight="false" outlineLevel="0" collapsed="false">
      <c r="A545" s="3" t="s">
        <v>256</v>
      </c>
      <c r="B545" s="3" t="s">
        <v>210</v>
      </c>
      <c r="C545" s="3" t="s">
        <v>211</v>
      </c>
      <c r="D545" s="3" t="s">
        <v>8</v>
      </c>
      <c r="E545" s="3" t="n">
        <v>1320</v>
      </c>
      <c r="F545" s="3" t="n">
        <v>900</v>
      </c>
      <c r="G545" s="3" t="n">
        <v>28</v>
      </c>
      <c r="H545" s="8" t="n">
        <f aca="false">(E545/1000)*(F545/1000)*(G545/1000)*7850</f>
        <v>261.1224</v>
      </c>
      <c r="I545" s="3" t="n">
        <v>2</v>
      </c>
      <c r="J545" s="9" t="n">
        <f aca="false">H545*I545</f>
        <v>522.2448</v>
      </c>
      <c r="K545" s="3"/>
    </row>
    <row r="546" customFormat="false" ht="15" hidden="false" customHeight="false" outlineLevel="0" collapsed="false">
      <c r="A546" s="3" t="s">
        <v>256</v>
      </c>
      <c r="B546" s="3" t="s">
        <v>210</v>
      </c>
      <c r="C546" s="3" t="s">
        <v>212</v>
      </c>
      <c r="D546" s="3" t="s">
        <v>8</v>
      </c>
      <c r="E546" s="3" t="n">
        <v>1320</v>
      </c>
      <c r="F546" s="3" t="n">
        <v>400</v>
      </c>
      <c r="G546" s="3" t="n">
        <v>28</v>
      </c>
      <c r="H546" s="8" t="n">
        <f aca="false">(E546/1000)*(F546/1000)*(G546/1000)*7850</f>
        <v>116.0544</v>
      </c>
      <c r="I546" s="3" t="n">
        <v>4</v>
      </c>
      <c r="J546" s="9" t="n">
        <f aca="false">H546*I546</f>
        <v>464.2176</v>
      </c>
      <c r="K546" s="3"/>
    </row>
    <row r="547" customFormat="false" ht="15" hidden="false" customHeight="false" outlineLevel="0" collapsed="false">
      <c r="A547" s="3" t="s">
        <v>256</v>
      </c>
      <c r="B547" s="3" t="s">
        <v>210</v>
      </c>
      <c r="C547" s="3" t="s">
        <v>213</v>
      </c>
      <c r="D547" s="3" t="s">
        <v>8</v>
      </c>
      <c r="E547" s="3" t="n">
        <v>1320</v>
      </c>
      <c r="F547" s="3" t="n">
        <v>500</v>
      </c>
      <c r="G547" s="3" t="n">
        <v>28</v>
      </c>
      <c r="H547" s="8" t="n">
        <f aca="false">(E547/1000)*(F547/1000)*(G547/1000)*7850</f>
        <v>145.068</v>
      </c>
      <c r="I547" s="3" t="n">
        <v>4</v>
      </c>
      <c r="J547" s="9" t="n">
        <f aca="false">H547*I547</f>
        <v>580.272</v>
      </c>
      <c r="K547" s="3"/>
    </row>
    <row r="548" customFormat="false" ht="15" hidden="false" customHeight="false" outlineLevel="0" collapsed="false">
      <c r="A548" s="3" t="s">
        <v>256</v>
      </c>
      <c r="B548" s="3" t="s">
        <v>210</v>
      </c>
      <c r="C548" s="3" t="s">
        <v>214</v>
      </c>
      <c r="D548" s="3" t="s">
        <v>8</v>
      </c>
      <c r="E548" s="3" t="n">
        <v>820</v>
      </c>
      <c r="F548" s="3" t="n">
        <v>200</v>
      </c>
      <c r="G548" s="3" t="n">
        <v>20</v>
      </c>
      <c r="H548" s="8" t="n">
        <f aca="false">(E548/1000)*(F548/1000)*(G548/1000)*7850</f>
        <v>25.748</v>
      </c>
      <c r="I548" s="3" t="n">
        <v>4</v>
      </c>
      <c r="J548" s="9" t="n">
        <f aca="false">H548*I548</f>
        <v>102.992</v>
      </c>
      <c r="K548" s="3"/>
    </row>
    <row r="549" customFormat="false" ht="19.5" hidden="false" customHeight="false" outlineLevel="0" collapsed="false">
      <c r="A549" s="3" t="s">
        <v>256</v>
      </c>
      <c r="B549" s="3" t="s">
        <v>219</v>
      </c>
      <c r="C549" s="3" t="s">
        <v>220</v>
      </c>
      <c r="D549" s="3" t="s">
        <v>8</v>
      </c>
      <c r="E549" s="3" t="n">
        <v>1400</v>
      </c>
      <c r="F549" s="3" t="n">
        <v>1020</v>
      </c>
      <c r="G549" s="3" t="n">
        <v>16</v>
      </c>
      <c r="H549" s="8" t="n">
        <f aca="false">(E549/1000)*(F549/1000)*(G549/1000)*7850</f>
        <v>179.3568</v>
      </c>
      <c r="I549" s="3" t="n">
        <v>2</v>
      </c>
      <c r="J549" s="9" t="n">
        <f aca="false">H549*I549</f>
        <v>358.7136</v>
      </c>
      <c r="K549" s="3"/>
    </row>
    <row r="550" customFormat="false" ht="19.5" hidden="false" customHeight="false" outlineLevel="0" collapsed="false">
      <c r="A550" s="3" t="s">
        <v>256</v>
      </c>
      <c r="B550" s="3" t="s">
        <v>219</v>
      </c>
      <c r="C550" s="3" t="s">
        <v>221</v>
      </c>
      <c r="D550" s="3" t="s">
        <v>8</v>
      </c>
      <c r="E550" s="3" t="n">
        <v>1020</v>
      </c>
      <c r="F550" s="3" t="n">
        <v>300</v>
      </c>
      <c r="G550" s="3" t="n">
        <v>16</v>
      </c>
      <c r="H550" s="8" t="n">
        <f aca="false">(E550/1000)*(F550/1000)*(G550/1000)*7850</f>
        <v>38.4336</v>
      </c>
      <c r="I550" s="3" t="n">
        <v>2</v>
      </c>
      <c r="J550" s="9" t="n">
        <f aca="false">H550*I550</f>
        <v>76.8672</v>
      </c>
      <c r="K550" s="3"/>
    </row>
    <row r="551" customFormat="false" ht="19.5" hidden="false" customHeight="false" outlineLevel="0" collapsed="false">
      <c r="A551" s="3" t="s">
        <v>256</v>
      </c>
      <c r="B551" s="3" t="s">
        <v>219</v>
      </c>
      <c r="C551" s="3" t="s">
        <v>222</v>
      </c>
      <c r="D551" s="3" t="s">
        <v>8</v>
      </c>
      <c r="E551" s="3" t="n">
        <v>1020</v>
      </c>
      <c r="F551" s="3" t="n">
        <v>500</v>
      </c>
      <c r="G551" s="3" t="n">
        <v>16</v>
      </c>
      <c r="H551" s="8" t="n">
        <f aca="false">(E551/1000)*(F551/1000)*(G551/1000)*7850</f>
        <v>64.056</v>
      </c>
      <c r="I551" s="3" t="n">
        <v>2</v>
      </c>
      <c r="J551" s="9" t="n">
        <f aca="false">H551*I551</f>
        <v>128.112</v>
      </c>
      <c r="K551" s="3"/>
    </row>
    <row r="552" customFormat="false" ht="19.5" hidden="false" customHeight="false" outlineLevel="0" collapsed="false">
      <c r="A552" s="3" t="s">
        <v>256</v>
      </c>
      <c r="B552" s="3" t="s">
        <v>219</v>
      </c>
      <c r="C552" s="3" t="s">
        <v>223</v>
      </c>
      <c r="D552" s="3" t="s">
        <v>8</v>
      </c>
      <c r="E552" s="3" t="n">
        <v>1020</v>
      </c>
      <c r="F552" s="3" t="n">
        <v>400</v>
      </c>
      <c r="G552" s="3" t="n">
        <v>16</v>
      </c>
      <c r="H552" s="8" t="n">
        <f aca="false">(E552/1000)*(F552/1000)*(G552/1000)*7850</f>
        <v>51.2448</v>
      </c>
      <c r="I552" s="3" t="n">
        <v>2</v>
      </c>
      <c r="J552" s="9" t="n">
        <f aca="false">H552*I552</f>
        <v>102.4896</v>
      </c>
      <c r="K552" s="3"/>
    </row>
    <row r="553" customFormat="false" ht="19.5" hidden="false" customHeight="false" outlineLevel="0" collapsed="false">
      <c r="A553" s="3" t="s">
        <v>256</v>
      </c>
      <c r="B553" s="3" t="s">
        <v>219</v>
      </c>
      <c r="C553" s="3" t="s">
        <v>224</v>
      </c>
      <c r="D553" s="3" t="s">
        <v>8</v>
      </c>
      <c r="E553" s="3" t="n">
        <v>1420</v>
      </c>
      <c r="F553" s="3" t="n">
        <v>1100</v>
      </c>
      <c r="G553" s="3" t="n">
        <v>28</v>
      </c>
      <c r="H553" s="8" t="n">
        <f aca="false">(E553/1000)*(F553/1000)*(G553/1000)*7850</f>
        <v>343.3276</v>
      </c>
      <c r="I553" s="3" t="n">
        <v>1</v>
      </c>
      <c r="J553" s="9" t="n">
        <f aca="false">H553*I553</f>
        <v>343.3276</v>
      </c>
      <c r="K553" s="3"/>
    </row>
    <row r="554" customFormat="false" ht="19.5" hidden="false" customHeight="false" outlineLevel="0" collapsed="false">
      <c r="A554" s="3" t="s">
        <v>256</v>
      </c>
      <c r="B554" s="3" t="s">
        <v>219</v>
      </c>
      <c r="C554" s="3" t="s">
        <v>225</v>
      </c>
      <c r="D554" s="3" t="s">
        <v>8</v>
      </c>
      <c r="E554" s="3" t="n">
        <v>1420</v>
      </c>
      <c r="F554" s="3" t="n">
        <v>400</v>
      </c>
      <c r="G554" s="3" t="n">
        <v>28</v>
      </c>
      <c r="H554" s="8" t="n">
        <f aca="false">(E554/1000)*(F554/1000)*(G554/1000)*7850</f>
        <v>124.8464</v>
      </c>
      <c r="I554" s="3" t="n">
        <v>2</v>
      </c>
      <c r="J554" s="9" t="n">
        <f aca="false">H554*I554</f>
        <v>249.6928</v>
      </c>
      <c r="K554" s="3"/>
    </row>
    <row r="555" customFormat="false" ht="19.5" hidden="false" customHeight="false" outlineLevel="0" collapsed="false">
      <c r="A555" s="3" t="s">
        <v>256</v>
      </c>
      <c r="B555" s="3" t="s">
        <v>219</v>
      </c>
      <c r="C555" s="3" t="s">
        <v>226</v>
      </c>
      <c r="D555" s="3" t="s">
        <v>8</v>
      </c>
      <c r="E555" s="3" t="n">
        <v>920</v>
      </c>
      <c r="F555" s="3" t="n">
        <v>200</v>
      </c>
      <c r="G555" s="3" t="n">
        <v>20</v>
      </c>
      <c r="H555" s="8" t="n">
        <f aca="false">(E555/1000)*(F555/1000)*(G555/1000)*7850</f>
        <v>28.888</v>
      </c>
      <c r="I555" s="3" t="n">
        <v>10</v>
      </c>
      <c r="J555" s="9" t="n">
        <f aca="false">H555*I555</f>
        <v>288.88</v>
      </c>
      <c r="K555" s="3"/>
    </row>
    <row r="556" customFormat="false" ht="19.5" hidden="false" customHeight="false" outlineLevel="0" collapsed="false">
      <c r="A556" s="3" t="s">
        <v>256</v>
      </c>
      <c r="B556" s="3" t="s">
        <v>219</v>
      </c>
      <c r="C556" s="3" t="s">
        <v>227</v>
      </c>
      <c r="D556" s="3" t="s">
        <v>8</v>
      </c>
      <c r="E556" s="3" t="n">
        <v>1800</v>
      </c>
      <c r="F556" s="3" t="n">
        <v>500</v>
      </c>
      <c r="G556" s="3" t="n">
        <v>20</v>
      </c>
      <c r="H556" s="8" t="n">
        <f aca="false">(E556/1000)*(F556/1000)*(G556/1000)*7850</f>
        <v>141.3</v>
      </c>
      <c r="I556" s="3" t="n">
        <v>2</v>
      </c>
      <c r="J556" s="9" t="n">
        <f aca="false">H556*I556</f>
        <v>282.6</v>
      </c>
      <c r="K556" s="3"/>
    </row>
    <row r="557" customFormat="false" ht="19.5" hidden="false" customHeight="false" outlineLevel="0" collapsed="false">
      <c r="A557" s="3" t="s">
        <v>257</v>
      </c>
      <c r="B557" s="3" t="s">
        <v>203</v>
      </c>
      <c r="C557" s="3" t="s">
        <v>204</v>
      </c>
      <c r="D557" s="3" t="s">
        <v>8</v>
      </c>
      <c r="E557" s="3" t="n">
        <v>1300</v>
      </c>
      <c r="F557" s="3" t="n">
        <v>820</v>
      </c>
      <c r="G557" s="3" t="n">
        <v>20</v>
      </c>
      <c r="H557" s="8" t="n">
        <f aca="false">(E557/1000)*(F557/1000)*(G557/1000)*7850</f>
        <v>167.362</v>
      </c>
      <c r="I557" s="3" t="n">
        <v>2</v>
      </c>
      <c r="J557" s="9" t="n">
        <f aca="false">H557*I557</f>
        <v>334.724</v>
      </c>
      <c r="K557" s="3"/>
    </row>
    <row r="558" customFormat="false" ht="19.5" hidden="false" customHeight="false" outlineLevel="0" collapsed="false">
      <c r="A558" s="3" t="s">
        <v>257</v>
      </c>
      <c r="B558" s="3" t="s">
        <v>203</v>
      </c>
      <c r="C558" s="3" t="s">
        <v>205</v>
      </c>
      <c r="D558" s="3" t="s">
        <v>8</v>
      </c>
      <c r="E558" s="3" t="n">
        <v>820</v>
      </c>
      <c r="F558" s="3" t="n">
        <v>600</v>
      </c>
      <c r="G558" s="3" t="n">
        <v>20</v>
      </c>
      <c r="H558" s="8" t="n">
        <f aca="false">(E558/1000)*(F558/1000)*(G558/1000)*7850</f>
        <v>77.244</v>
      </c>
      <c r="I558" s="3" t="n">
        <v>4</v>
      </c>
      <c r="J558" s="9" t="n">
        <f aca="false">H558*I558</f>
        <v>308.976</v>
      </c>
      <c r="K558" s="3"/>
    </row>
    <row r="559" customFormat="false" ht="19.5" hidden="false" customHeight="false" outlineLevel="0" collapsed="false">
      <c r="A559" s="3" t="s">
        <v>257</v>
      </c>
      <c r="B559" s="3" t="s">
        <v>203</v>
      </c>
      <c r="C559" s="3" t="s">
        <v>206</v>
      </c>
      <c r="D559" s="3" t="s">
        <v>8</v>
      </c>
      <c r="E559" s="3" t="n">
        <v>1120</v>
      </c>
      <c r="F559" s="3" t="n">
        <v>1100</v>
      </c>
      <c r="G559" s="3" t="n">
        <v>32</v>
      </c>
      <c r="H559" s="8" t="n">
        <f aca="false">(E559/1000)*(F559/1000)*(G559/1000)*7850</f>
        <v>309.4784</v>
      </c>
      <c r="I559" s="3" t="n">
        <v>1</v>
      </c>
      <c r="J559" s="9" t="n">
        <f aca="false">H559*I559</f>
        <v>309.4784</v>
      </c>
      <c r="K559" s="3"/>
    </row>
    <row r="560" customFormat="false" ht="19.5" hidden="false" customHeight="false" outlineLevel="0" collapsed="false">
      <c r="A560" s="3" t="s">
        <v>257</v>
      </c>
      <c r="B560" s="3" t="s">
        <v>203</v>
      </c>
      <c r="C560" s="3" t="s">
        <v>207</v>
      </c>
      <c r="D560" s="3" t="s">
        <v>8</v>
      </c>
      <c r="E560" s="3" t="n">
        <v>1120</v>
      </c>
      <c r="F560" s="3" t="n">
        <v>400</v>
      </c>
      <c r="G560" s="3" t="n">
        <v>32</v>
      </c>
      <c r="H560" s="8" t="n">
        <f aca="false">(E560/1000)*(F560/1000)*(G560/1000)*7850</f>
        <v>112.5376</v>
      </c>
      <c r="I560" s="3" t="n">
        <v>2</v>
      </c>
      <c r="J560" s="9" t="n">
        <f aca="false">H560*I560</f>
        <v>225.0752</v>
      </c>
      <c r="K560" s="3"/>
    </row>
    <row r="561" customFormat="false" ht="19.5" hidden="false" customHeight="false" outlineLevel="0" collapsed="false">
      <c r="A561" s="3" t="s">
        <v>257</v>
      </c>
      <c r="B561" s="3" t="s">
        <v>203</v>
      </c>
      <c r="C561" s="3" t="s">
        <v>208</v>
      </c>
      <c r="D561" s="3" t="s">
        <v>8</v>
      </c>
      <c r="E561" s="3" t="n">
        <v>920</v>
      </c>
      <c r="F561" s="3" t="n">
        <v>200</v>
      </c>
      <c r="G561" s="3" t="n">
        <v>20</v>
      </c>
      <c r="H561" s="8" t="n">
        <f aca="false">(E561/1000)*(F561/1000)*(G561/1000)*7850</f>
        <v>28.888</v>
      </c>
      <c r="I561" s="3" t="n">
        <v>6</v>
      </c>
      <c r="J561" s="9" t="n">
        <f aca="false">H561*I561</f>
        <v>173.328</v>
      </c>
      <c r="K561" s="3"/>
    </row>
    <row r="562" customFormat="false" ht="19.5" hidden="false" customHeight="false" outlineLevel="0" collapsed="false">
      <c r="A562" s="3" t="s">
        <v>257</v>
      </c>
      <c r="B562" s="3" t="s">
        <v>203</v>
      </c>
      <c r="C562" s="3" t="s">
        <v>209</v>
      </c>
      <c r="D562" s="3" t="s">
        <v>8</v>
      </c>
      <c r="E562" s="3" t="n">
        <v>1700</v>
      </c>
      <c r="F562" s="3" t="n">
        <v>400</v>
      </c>
      <c r="G562" s="3" t="n">
        <v>16</v>
      </c>
      <c r="H562" s="8" t="n">
        <f aca="false">(E562/1000)*(F562/1000)*(G562/1000)*7850</f>
        <v>85.408</v>
      </c>
      <c r="I562" s="3" t="n">
        <v>2</v>
      </c>
      <c r="J562" s="9" t="n">
        <f aca="false">H562*I562</f>
        <v>170.816</v>
      </c>
      <c r="K562" s="3"/>
    </row>
    <row r="563" customFormat="false" ht="15" hidden="false" customHeight="false" outlineLevel="0" collapsed="false">
      <c r="A563" s="3" t="s">
        <v>257</v>
      </c>
      <c r="B563" s="3" t="s">
        <v>210</v>
      </c>
      <c r="C563" s="3" t="s">
        <v>211</v>
      </c>
      <c r="D563" s="3" t="s">
        <v>8</v>
      </c>
      <c r="E563" s="3" t="n">
        <v>1320</v>
      </c>
      <c r="F563" s="3" t="n">
        <v>900</v>
      </c>
      <c r="G563" s="3" t="n">
        <v>28</v>
      </c>
      <c r="H563" s="8" t="n">
        <f aca="false">(E563/1000)*(F563/1000)*(G563/1000)*7850</f>
        <v>261.1224</v>
      </c>
      <c r="I563" s="3" t="n">
        <v>2</v>
      </c>
      <c r="J563" s="9" t="n">
        <f aca="false">H563*I563</f>
        <v>522.2448</v>
      </c>
      <c r="K563" s="3"/>
    </row>
    <row r="564" customFormat="false" ht="15" hidden="false" customHeight="false" outlineLevel="0" collapsed="false">
      <c r="A564" s="3" t="s">
        <v>257</v>
      </c>
      <c r="B564" s="3" t="s">
        <v>210</v>
      </c>
      <c r="C564" s="3" t="s">
        <v>212</v>
      </c>
      <c r="D564" s="3" t="s">
        <v>8</v>
      </c>
      <c r="E564" s="3" t="n">
        <v>1320</v>
      </c>
      <c r="F564" s="3" t="n">
        <v>400</v>
      </c>
      <c r="G564" s="3" t="n">
        <v>28</v>
      </c>
      <c r="H564" s="8" t="n">
        <f aca="false">(E564/1000)*(F564/1000)*(G564/1000)*7850</f>
        <v>116.0544</v>
      </c>
      <c r="I564" s="3" t="n">
        <v>4</v>
      </c>
      <c r="J564" s="9" t="n">
        <f aca="false">H564*I564</f>
        <v>464.2176</v>
      </c>
      <c r="K564" s="3"/>
    </row>
    <row r="565" customFormat="false" ht="15" hidden="false" customHeight="false" outlineLevel="0" collapsed="false">
      <c r="A565" s="3" t="s">
        <v>257</v>
      </c>
      <c r="B565" s="3" t="s">
        <v>210</v>
      </c>
      <c r="C565" s="3" t="s">
        <v>213</v>
      </c>
      <c r="D565" s="3" t="s">
        <v>8</v>
      </c>
      <c r="E565" s="3" t="n">
        <v>1320</v>
      </c>
      <c r="F565" s="3" t="n">
        <v>500</v>
      </c>
      <c r="G565" s="3" t="n">
        <v>28</v>
      </c>
      <c r="H565" s="8" t="n">
        <f aca="false">(E565/1000)*(F565/1000)*(G565/1000)*7850</f>
        <v>145.068</v>
      </c>
      <c r="I565" s="3" t="n">
        <v>4</v>
      </c>
      <c r="J565" s="9" t="n">
        <f aca="false">H565*I565</f>
        <v>580.272</v>
      </c>
      <c r="K565" s="3"/>
    </row>
    <row r="566" customFormat="false" ht="15" hidden="false" customHeight="false" outlineLevel="0" collapsed="false">
      <c r="A566" s="3" t="s">
        <v>257</v>
      </c>
      <c r="B566" s="3" t="s">
        <v>210</v>
      </c>
      <c r="C566" s="3" t="s">
        <v>214</v>
      </c>
      <c r="D566" s="3" t="s">
        <v>8</v>
      </c>
      <c r="E566" s="3" t="n">
        <v>820</v>
      </c>
      <c r="F566" s="3" t="n">
        <v>200</v>
      </c>
      <c r="G566" s="3" t="n">
        <v>20</v>
      </c>
      <c r="H566" s="8" t="n">
        <f aca="false">(E566/1000)*(F566/1000)*(G566/1000)*7850</f>
        <v>25.748</v>
      </c>
      <c r="I566" s="3" t="n">
        <v>4</v>
      </c>
      <c r="J566" s="9" t="n">
        <f aca="false">H566*I566</f>
        <v>102.992</v>
      </c>
      <c r="K566" s="3"/>
    </row>
    <row r="567" customFormat="false" ht="19.5" hidden="false" customHeight="false" outlineLevel="0" collapsed="false">
      <c r="A567" s="3" t="s">
        <v>257</v>
      </c>
      <c r="B567" s="3" t="s">
        <v>219</v>
      </c>
      <c r="C567" s="3" t="s">
        <v>220</v>
      </c>
      <c r="D567" s="3" t="s">
        <v>8</v>
      </c>
      <c r="E567" s="3" t="n">
        <v>1400</v>
      </c>
      <c r="F567" s="3" t="n">
        <v>1020</v>
      </c>
      <c r="G567" s="3" t="n">
        <v>16</v>
      </c>
      <c r="H567" s="8" t="n">
        <f aca="false">(E567/1000)*(F567/1000)*(G567/1000)*7850</f>
        <v>179.3568</v>
      </c>
      <c r="I567" s="3" t="n">
        <v>2</v>
      </c>
      <c r="J567" s="9" t="n">
        <f aca="false">H567*I567</f>
        <v>358.7136</v>
      </c>
      <c r="K567" s="3"/>
    </row>
    <row r="568" customFormat="false" ht="19.5" hidden="false" customHeight="false" outlineLevel="0" collapsed="false">
      <c r="A568" s="3" t="s">
        <v>257</v>
      </c>
      <c r="B568" s="3" t="s">
        <v>219</v>
      </c>
      <c r="C568" s="3" t="s">
        <v>221</v>
      </c>
      <c r="D568" s="3" t="s">
        <v>8</v>
      </c>
      <c r="E568" s="3" t="n">
        <v>1020</v>
      </c>
      <c r="F568" s="3" t="n">
        <v>300</v>
      </c>
      <c r="G568" s="3" t="n">
        <v>16</v>
      </c>
      <c r="H568" s="8" t="n">
        <f aca="false">(E568/1000)*(F568/1000)*(G568/1000)*7850</f>
        <v>38.4336</v>
      </c>
      <c r="I568" s="3" t="n">
        <v>2</v>
      </c>
      <c r="J568" s="9" t="n">
        <f aca="false">H568*I568</f>
        <v>76.8672</v>
      </c>
      <c r="K568" s="3"/>
    </row>
    <row r="569" customFormat="false" ht="19.5" hidden="false" customHeight="false" outlineLevel="0" collapsed="false">
      <c r="A569" s="3" t="s">
        <v>257</v>
      </c>
      <c r="B569" s="3" t="s">
        <v>219</v>
      </c>
      <c r="C569" s="3" t="s">
        <v>222</v>
      </c>
      <c r="D569" s="3" t="s">
        <v>8</v>
      </c>
      <c r="E569" s="3" t="n">
        <v>1020</v>
      </c>
      <c r="F569" s="3" t="n">
        <v>500</v>
      </c>
      <c r="G569" s="3" t="n">
        <v>16</v>
      </c>
      <c r="H569" s="8" t="n">
        <f aca="false">(E569/1000)*(F569/1000)*(G569/1000)*7850</f>
        <v>64.056</v>
      </c>
      <c r="I569" s="3" t="n">
        <v>2</v>
      </c>
      <c r="J569" s="9" t="n">
        <f aca="false">H569*I569</f>
        <v>128.112</v>
      </c>
      <c r="K569" s="3"/>
    </row>
    <row r="570" customFormat="false" ht="19.5" hidden="false" customHeight="false" outlineLevel="0" collapsed="false">
      <c r="A570" s="3" t="s">
        <v>257</v>
      </c>
      <c r="B570" s="3" t="s">
        <v>219</v>
      </c>
      <c r="C570" s="3" t="s">
        <v>223</v>
      </c>
      <c r="D570" s="3" t="s">
        <v>8</v>
      </c>
      <c r="E570" s="3" t="n">
        <v>1020</v>
      </c>
      <c r="F570" s="3" t="n">
        <v>400</v>
      </c>
      <c r="G570" s="3" t="n">
        <v>16</v>
      </c>
      <c r="H570" s="8" t="n">
        <f aca="false">(E570/1000)*(F570/1000)*(G570/1000)*7850</f>
        <v>51.2448</v>
      </c>
      <c r="I570" s="3" t="n">
        <v>2</v>
      </c>
      <c r="J570" s="9" t="n">
        <f aca="false">H570*I570</f>
        <v>102.4896</v>
      </c>
      <c r="K570" s="3"/>
    </row>
    <row r="571" customFormat="false" ht="19.5" hidden="false" customHeight="false" outlineLevel="0" collapsed="false">
      <c r="A571" s="3" t="s">
        <v>257</v>
      </c>
      <c r="B571" s="3" t="s">
        <v>219</v>
      </c>
      <c r="C571" s="3" t="s">
        <v>224</v>
      </c>
      <c r="D571" s="3" t="s">
        <v>8</v>
      </c>
      <c r="E571" s="3" t="n">
        <v>1420</v>
      </c>
      <c r="F571" s="3" t="n">
        <v>1100</v>
      </c>
      <c r="G571" s="3" t="n">
        <v>28</v>
      </c>
      <c r="H571" s="8" t="n">
        <f aca="false">(E571/1000)*(F571/1000)*(G571/1000)*7850</f>
        <v>343.3276</v>
      </c>
      <c r="I571" s="3" t="n">
        <v>1</v>
      </c>
      <c r="J571" s="9" t="n">
        <f aca="false">H571*I571</f>
        <v>343.3276</v>
      </c>
      <c r="K571" s="3"/>
    </row>
    <row r="572" customFormat="false" ht="19.5" hidden="false" customHeight="false" outlineLevel="0" collapsed="false">
      <c r="A572" s="3" t="s">
        <v>257</v>
      </c>
      <c r="B572" s="3" t="s">
        <v>219</v>
      </c>
      <c r="C572" s="3" t="s">
        <v>225</v>
      </c>
      <c r="D572" s="3" t="s">
        <v>8</v>
      </c>
      <c r="E572" s="3" t="n">
        <v>1420</v>
      </c>
      <c r="F572" s="3" t="n">
        <v>400</v>
      </c>
      <c r="G572" s="3" t="n">
        <v>28</v>
      </c>
      <c r="H572" s="8" t="n">
        <f aca="false">(E572/1000)*(F572/1000)*(G572/1000)*7850</f>
        <v>124.8464</v>
      </c>
      <c r="I572" s="3" t="n">
        <v>2</v>
      </c>
      <c r="J572" s="9" t="n">
        <f aca="false">H572*I572</f>
        <v>249.6928</v>
      </c>
      <c r="K572" s="3"/>
    </row>
    <row r="573" customFormat="false" ht="19.5" hidden="false" customHeight="false" outlineLevel="0" collapsed="false">
      <c r="A573" s="3" t="s">
        <v>257</v>
      </c>
      <c r="B573" s="3" t="s">
        <v>219</v>
      </c>
      <c r="C573" s="3" t="s">
        <v>226</v>
      </c>
      <c r="D573" s="3" t="s">
        <v>8</v>
      </c>
      <c r="E573" s="3" t="n">
        <v>920</v>
      </c>
      <c r="F573" s="3" t="n">
        <v>200</v>
      </c>
      <c r="G573" s="3" t="n">
        <v>20</v>
      </c>
      <c r="H573" s="8" t="n">
        <f aca="false">(E573/1000)*(F573/1000)*(G573/1000)*7850</f>
        <v>28.888</v>
      </c>
      <c r="I573" s="3" t="n">
        <v>10</v>
      </c>
      <c r="J573" s="9" t="n">
        <f aca="false">H573*I573</f>
        <v>288.88</v>
      </c>
      <c r="K573" s="3"/>
    </row>
    <row r="574" customFormat="false" ht="19.5" hidden="false" customHeight="false" outlineLevel="0" collapsed="false">
      <c r="A574" s="3" t="s">
        <v>257</v>
      </c>
      <c r="B574" s="3" t="s">
        <v>219</v>
      </c>
      <c r="C574" s="3" t="s">
        <v>227</v>
      </c>
      <c r="D574" s="3" t="s">
        <v>8</v>
      </c>
      <c r="E574" s="3" t="n">
        <v>1800</v>
      </c>
      <c r="F574" s="3" t="n">
        <v>500</v>
      </c>
      <c r="G574" s="3" t="n">
        <v>20</v>
      </c>
      <c r="H574" s="8" t="n">
        <f aca="false">(E574/1000)*(F574/1000)*(G574/1000)*7850</f>
        <v>141.3</v>
      </c>
      <c r="I574" s="3" t="n">
        <v>2</v>
      </c>
      <c r="J574" s="9" t="n">
        <f aca="false">H574*I574</f>
        <v>282.6</v>
      </c>
      <c r="K574" s="3"/>
    </row>
    <row r="576" customFormat="false" ht="15" hidden="false" customHeight="false" outlineLevel="0" collapsed="false">
      <c r="A576" s="10" t="s">
        <v>179</v>
      </c>
    </row>
    <row r="577" customFormat="false" ht="15" hidden="false" customHeight="false" outlineLevel="0" collapsed="false">
      <c r="A577" s="2" t="s">
        <v>31</v>
      </c>
      <c r="B577" s="2" t="n">
        <v>4</v>
      </c>
      <c r="C577" s="2" t="n">
        <v>6</v>
      </c>
      <c r="D577" s="2" t="n">
        <v>8</v>
      </c>
      <c r="E577" s="2" t="n">
        <v>10</v>
      </c>
      <c r="F577" s="2" t="n">
        <v>12</v>
      </c>
      <c r="G577" s="2" t="n">
        <v>14</v>
      </c>
      <c r="H577" s="2" t="n">
        <v>16</v>
      </c>
      <c r="I577" s="2" t="n">
        <v>20</v>
      </c>
      <c r="J577" s="2" t="n">
        <v>24</v>
      </c>
      <c r="K577" s="2" t="n">
        <v>28</v>
      </c>
      <c r="L577" s="2" t="n">
        <v>32</v>
      </c>
      <c r="M577" s="2" t="n">
        <v>36</v>
      </c>
      <c r="N577" s="2" t="n">
        <v>40</v>
      </c>
      <c r="O577" s="2" t="n">
        <v>44</v>
      </c>
      <c r="P577" s="2" t="n">
        <v>48</v>
      </c>
      <c r="Q577" s="2" t="n">
        <v>50</v>
      </c>
      <c r="R577" s="2" t="n">
        <v>60</v>
      </c>
      <c r="S577" s="2" t="n">
        <v>80</v>
      </c>
      <c r="T577" s="2" t="n">
        <v>100</v>
      </c>
      <c r="U577" s="2" t="s">
        <v>10</v>
      </c>
    </row>
    <row r="578" customFormat="false" ht="15" hidden="false" customHeight="false" outlineLevel="0" collapsed="false">
      <c r="A578" s="3" t="s">
        <v>180</v>
      </c>
      <c r="B578" s="9" t="n">
        <f aca="false">SUMIFS($J$4:$J$574,$D$4:$D$574,$A578,$G$4:$G$574,B$577)</f>
        <v>0</v>
      </c>
      <c r="C578" s="9" t="n">
        <f aca="false">SUMIFS($J$4:$J$574,$D$4:$D$574,$A578,$G$4:$G$574,C$577)</f>
        <v>0</v>
      </c>
      <c r="D578" s="9" t="n">
        <f aca="false">SUMIFS($J$4:$J$574,$D$4:$D$574,$A578,$G$4:$G$574,D$577)</f>
        <v>0</v>
      </c>
      <c r="E578" s="9" t="n">
        <f aca="false">SUMIFS($J$4:$J$574,$D$4:$D$574,$A578,$G$4:$G$574,E$577)</f>
        <v>0</v>
      </c>
      <c r="F578" s="9" t="n">
        <f aca="false">SUMIFS($J$4:$J$574,$D$4:$D$574,$A578,$G$4:$G$574,F$577)</f>
        <v>0</v>
      </c>
      <c r="G578" s="9" t="n">
        <f aca="false">SUMIFS($J$4:$J$574,$D$4:$D$574,$A578,$G$4:$G$574,G$577)</f>
        <v>0</v>
      </c>
      <c r="H578" s="9" t="n">
        <f aca="false">SUMIFS($J$4:$J$574,$D$4:$D$574,$A578,$G$4:$G$574,H$577)</f>
        <v>0</v>
      </c>
      <c r="I578" s="9" t="n">
        <f aca="false">SUMIFS($J$4:$J$574,$D$4:$D$574,$A578,$G$4:$G$574,I$577)</f>
        <v>0</v>
      </c>
      <c r="J578" s="9" t="n">
        <f aca="false">SUMIFS($J$4:$J$574,$D$4:$D$574,$A578,$G$4:$G$574,J$577)</f>
        <v>0</v>
      </c>
      <c r="K578" s="9" t="n">
        <f aca="false">SUMIFS($J$4:$J$574,$D$4:$D$574,$A578,$G$4:$G$574,K$577)</f>
        <v>0</v>
      </c>
      <c r="L578" s="9" t="n">
        <f aca="false">SUMIFS($J$4:$J$574,$D$4:$D$574,$A578,$G$4:$G$574,L$577)</f>
        <v>0</v>
      </c>
      <c r="M578" s="9" t="n">
        <f aca="false">SUMIFS($J$4:$J$574,$D$4:$D$574,$A578,$G$4:$G$574,M$577)</f>
        <v>0</v>
      </c>
      <c r="N578" s="9" t="n">
        <f aca="false">SUMIFS($J$4:$J$574,$D$4:$D$574,$A578,$G$4:$G$574,N$577)</f>
        <v>0</v>
      </c>
      <c r="O578" s="9" t="n">
        <f aca="false">SUMIFS($J$4:$J$574,$D$4:$D$574,$A578,$G$4:$G$574,O$577)</f>
        <v>0</v>
      </c>
      <c r="P578" s="9" t="n">
        <f aca="false">SUMIFS($J$4:$J$574,$D$4:$D$574,$A578,$G$4:$G$574,P$577)</f>
        <v>0</v>
      </c>
      <c r="Q578" s="9" t="n">
        <f aca="false">SUMIFS($J$4:$J$574,$D$4:$D$574,$A578,$G$4:$G$574,Q$577)</f>
        <v>0</v>
      </c>
      <c r="R578" s="9" t="n">
        <f aca="false">SUMIFS($J$4:$J$574,$D$4:$D$574,$A578,$G$4:$G$574,R$577)</f>
        <v>0</v>
      </c>
      <c r="S578" s="9" t="n">
        <f aca="false">SUMIFS($J$4:$J$574,$D$4:$D$574,$A578,$G$4:$G$574,S$577)</f>
        <v>0</v>
      </c>
      <c r="T578" s="9" t="n">
        <f aca="false">SUMIFS($J$4:$J$574,$D$4:$D$574,$A578,$G$4:$G$574,T$577)</f>
        <v>0</v>
      </c>
      <c r="U578" s="0" t="n">
        <f aca="false">SUM(B578:T578)</f>
        <v>0</v>
      </c>
    </row>
    <row r="579" customFormat="false" ht="15" hidden="false" customHeight="false" outlineLevel="0" collapsed="false">
      <c r="A579" s="3" t="s">
        <v>8</v>
      </c>
      <c r="B579" s="9" t="n">
        <f aca="false">SUMIFS($J$4:$J$574,$D$4:$D$574,$A579,$G$4:$G$574,B$577)</f>
        <v>395.012</v>
      </c>
      <c r="C579" s="9" t="n">
        <f aca="false">SUMIFS($J$4:$J$574,$D$4:$D$574,$A579,$G$4:$G$574,C$577)</f>
        <v>0</v>
      </c>
      <c r="D579" s="9" t="n">
        <f aca="false">SUMIFS($J$4:$J$574,$D$4:$D$574,$A579,$G$4:$G$574,D$577)</f>
        <v>1096.488</v>
      </c>
      <c r="E579" s="9" t="n">
        <f aca="false">SUMIFS($J$4:$J$574,$D$4:$D$574,$A579,$G$4:$G$574,E$577)</f>
        <v>0</v>
      </c>
      <c r="F579" s="9" t="n">
        <f aca="false">SUMIFS($J$4:$J$574,$D$4:$D$574,$A579,$G$4:$G$574,F$577)</f>
        <v>974.028</v>
      </c>
      <c r="G579" s="9" t="n">
        <f aca="false">SUMIFS($J$4:$J$574,$D$4:$D$574,$A579,$G$4:$G$574,G$577)</f>
        <v>0</v>
      </c>
      <c r="H579" s="9" t="n">
        <f aca="false">SUMIFS($J$4:$J$574,$D$4:$D$574,$A579,$G$4:$G$574,H$577)</f>
        <v>9817.1472</v>
      </c>
      <c r="I579" s="9" t="n">
        <f aca="false">SUMIFS($J$4:$J$574,$D$4:$D$574,$A579,$G$4:$G$574,I$577)</f>
        <v>21618.9</v>
      </c>
      <c r="J579" s="9" t="n">
        <f aca="false">SUMIFS($J$4:$J$574,$D$4:$D$574,$A579,$G$4:$G$574,J$577)</f>
        <v>43806.858432</v>
      </c>
      <c r="K579" s="9" t="n">
        <f aca="false">SUMIFS($J$4:$J$574,$D$4:$D$574,$A579,$G$4:$G$574,K$577)</f>
        <v>47670.224</v>
      </c>
      <c r="L579" s="9" t="n">
        <f aca="false">SUMIFS($J$4:$J$574,$D$4:$D$574,$A579,$G$4:$G$574,L$577)</f>
        <v>20314.0416</v>
      </c>
      <c r="M579" s="9" t="n">
        <f aca="false">SUMIFS($J$4:$J$574,$D$4:$D$574,$A579,$G$4:$G$574,M$577)</f>
        <v>18017.89776</v>
      </c>
      <c r="N579" s="9" t="n">
        <f aca="false">SUMIFS($J$4:$J$574,$D$4:$D$574,$A579,$G$4:$G$574,N$577)</f>
        <v>33115.696</v>
      </c>
      <c r="O579" s="9" t="n">
        <f aca="false">SUMIFS($J$4:$J$574,$D$4:$D$574,$A579,$G$4:$G$574,O$577)</f>
        <v>19283.54384</v>
      </c>
      <c r="P579" s="9" t="n">
        <f aca="false">SUMIFS($J$4:$J$574,$D$4:$D$574,$A579,$G$4:$G$574,P$577)</f>
        <v>2176.3968</v>
      </c>
      <c r="Q579" s="9" t="n">
        <f aca="false">SUMIFS($J$4:$J$574,$D$4:$D$574,$A579,$G$4:$G$574,Q$577)</f>
        <v>0</v>
      </c>
      <c r="R579" s="9" t="n">
        <f aca="false">SUMIFS($J$4:$J$574,$D$4:$D$574,$A579,$G$4:$G$574,R$577)</f>
        <v>0</v>
      </c>
      <c r="S579" s="9" t="n">
        <f aca="false">SUMIFS($J$4:$J$574,$D$4:$D$574,$A579,$G$4:$G$574,S$577)</f>
        <v>0</v>
      </c>
      <c r="T579" s="9" t="n">
        <f aca="false">SUMIFS($J$4:$J$574,$D$4:$D$574,$A579,$G$4:$G$574,T$577)</f>
        <v>0</v>
      </c>
      <c r="U579" s="0" t="n">
        <f aca="false">SUM(B579:T579)</f>
        <v>218286.233632</v>
      </c>
    </row>
    <row r="580" customFormat="false" ht="15" hidden="false" customHeight="false" outlineLevel="0" collapsed="false">
      <c r="A580" s="3" t="s">
        <v>9</v>
      </c>
      <c r="B580" s="9" t="n">
        <f aca="false">SUMIFS($J$4:$J$574,$D$4:$D$574,$A580,$G$4:$G$574,B$577)</f>
        <v>0</v>
      </c>
      <c r="C580" s="9" t="n">
        <f aca="false">SUMIFS($J$4:$J$574,$D$4:$D$574,$A580,$G$4:$G$574,C$577)</f>
        <v>0</v>
      </c>
      <c r="D580" s="9" t="n">
        <f aca="false">SUMIFS($J$4:$J$574,$D$4:$D$574,$A580,$G$4:$G$574,D$577)</f>
        <v>0</v>
      </c>
      <c r="E580" s="9" t="n">
        <f aca="false">SUMIFS($J$4:$J$574,$D$4:$D$574,$A580,$G$4:$G$574,E$577)</f>
        <v>0</v>
      </c>
      <c r="F580" s="9" t="n">
        <f aca="false">SUMIFS($J$4:$J$574,$D$4:$D$574,$A580,$G$4:$G$574,F$577)</f>
        <v>0</v>
      </c>
      <c r="G580" s="9" t="n">
        <f aca="false">SUMIFS($J$4:$J$574,$D$4:$D$574,$A580,$G$4:$G$574,G$577)</f>
        <v>0</v>
      </c>
      <c r="H580" s="9" t="n">
        <f aca="false">SUMIFS($J$4:$J$574,$D$4:$D$574,$A580,$G$4:$G$574,H$577)</f>
        <v>0</v>
      </c>
      <c r="I580" s="9" t="n">
        <f aca="false">SUMIFS($J$4:$J$574,$D$4:$D$574,$A580,$G$4:$G$574,I$577)</f>
        <v>0</v>
      </c>
      <c r="J580" s="9" t="n">
        <f aca="false">SUMIFS($J$4:$J$574,$D$4:$D$574,$A580,$G$4:$G$574,J$577)</f>
        <v>0</v>
      </c>
      <c r="K580" s="9" t="n">
        <f aca="false">SUMIFS($J$4:$J$574,$D$4:$D$574,$A580,$G$4:$G$574,K$577)</f>
        <v>0</v>
      </c>
      <c r="L580" s="9" t="n">
        <f aca="false">SUMIFS($J$4:$J$574,$D$4:$D$574,$A580,$G$4:$G$574,L$577)</f>
        <v>0</v>
      </c>
      <c r="M580" s="9" t="n">
        <f aca="false">SUMIFS($J$4:$J$574,$D$4:$D$574,$A580,$G$4:$G$574,M$577)</f>
        <v>0</v>
      </c>
      <c r="N580" s="9" t="n">
        <f aca="false">SUMIFS($J$4:$J$574,$D$4:$D$574,$A580,$G$4:$G$574,N$577)</f>
        <v>0</v>
      </c>
      <c r="O580" s="9" t="n">
        <f aca="false">SUMIFS($J$4:$J$574,$D$4:$D$574,$A580,$G$4:$G$574,O$577)</f>
        <v>0</v>
      </c>
      <c r="P580" s="9" t="n">
        <f aca="false">SUMIFS($J$4:$J$574,$D$4:$D$574,$A580,$G$4:$G$574,P$577)</f>
        <v>0</v>
      </c>
      <c r="Q580" s="9" t="n">
        <f aca="false">SUMIFS($J$4:$J$574,$D$4:$D$574,$A580,$G$4:$G$574,Q$577)</f>
        <v>0</v>
      </c>
      <c r="R580" s="9" t="n">
        <f aca="false">SUMIFS($J$4:$J$574,$D$4:$D$574,$A580,$G$4:$G$574,R$577)</f>
        <v>0</v>
      </c>
      <c r="S580" s="9" t="n">
        <f aca="false">SUMIFS($J$4:$J$574,$D$4:$D$574,$A580,$G$4:$G$574,S$577)</f>
        <v>0</v>
      </c>
      <c r="T580" s="9" t="n">
        <f aca="false">SUMIFS($J$4:$J$574,$D$4:$D$574,$A580,$G$4:$G$574,T$577)</f>
        <v>0</v>
      </c>
      <c r="U580" s="0" t="n">
        <f aca="false">SUM(B580:T580)</f>
        <v>0</v>
      </c>
    </row>
    <row r="581" customFormat="false" ht="15" hidden="false" customHeight="false" outlineLevel="0" collapsed="false">
      <c r="A581" s="2" t="s">
        <v>10</v>
      </c>
      <c r="B581" s="11" t="n">
        <f aca="false">SUM(B578:B580)</f>
        <v>395.012</v>
      </c>
      <c r="C581" s="11" t="n">
        <f aca="false">SUM(C578:C580)</f>
        <v>0</v>
      </c>
      <c r="D581" s="11" t="n">
        <f aca="false">SUM(D578:D580)</f>
        <v>1096.488</v>
      </c>
      <c r="E581" s="11" t="n">
        <f aca="false">SUM(E578:E580)</f>
        <v>0</v>
      </c>
      <c r="F581" s="11" t="n">
        <f aca="false">SUM(F578:F580)</f>
        <v>974.028</v>
      </c>
      <c r="G581" s="11" t="n">
        <f aca="false">SUM(G578:G580)</f>
        <v>0</v>
      </c>
      <c r="H581" s="11" t="n">
        <f aca="false">SUM(H578:H580)</f>
        <v>9817.1472</v>
      </c>
      <c r="I581" s="11" t="n">
        <f aca="false">SUM(I578:I580)</f>
        <v>21618.9</v>
      </c>
      <c r="J581" s="11" t="n">
        <f aca="false">SUM(J578:J580)</f>
        <v>43806.858432</v>
      </c>
      <c r="K581" s="11" t="n">
        <f aca="false">SUM(K578:K580)</f>
        <v>47670.224</v>
      </c>
      <c r="L581" s="11" t="n">
        <f aca="false">SUM(L578:L580)</f>
        <v>20314.0416</v>
      </c>
      <c r="M581" s="11" t="n">
        <f aca="false">SUM(M578:M580)</f>
        <v>18017.89776</v>
      </c>
      <c r="N581" s="11" t="n">
        <f aca="false">SUM(N578:N580)</f>
        <v>33115.696</v>
      </c>
      <c r="O581" s="11" t="n">
        <f aca="false">SUM(O578:O580)</f>
        <v>19283.54384</v>
      </c>
      <c r="P581" s="11" t="n">
        <f aca="false">SUM(P578:P580)</f>
        <v>2176.3968</v>
      </c>
      <c r="Q581" s="11" t="n">
        <f aca="false">SUM(Q578:Q580)</f>
        <v>0</v>
      </c>
      <c r="R581" s="11" t="n">
        <f aca="false">SUM(R578:R580)</f>
        <v>0</v>
      </c>
      <c r="S581" s="11" t="n">
        <f aca="false">SUM(S578:S580)</f>
        <v>0</v>
      </c>
      <c r="T581" s="11" t="n">
        <f aca="false">SUM(T578:T580)</f>
        <v>0</v>
      </c>
      <c r="U581" s="11" t="n">
        <f aca="false">SUM(U578:U580)</f>
        <v>218286.233632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0" min="2" style="0" width="8"/>
  </cols>
  <sheetData>
    <row r="1" customFormat="false" ht="15" hidden="false" customHeight="true" outlineLevel="0" collapsed="false">
      <c r="A1" s="7" t="s">
        <v>258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customFormat="false" ht="19.5" hidden="false" customHeight="false" outlineLevel="0" collapsed="false">
      <c r="A2" s="2" t="s">
        <v>1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 t="s">
        <v>37</v>
      </c>
      <c r="K2" s="2" t="s">
        <v>7</v>
      </c>
    </row>
    <row r="3" customFormat="false" ht="15" hidden="false" customHeight="false" outlineLevel="0" collapsed="false">
      <c r="A3" s="2"/>
      <c r="B3" s="2"/>
      <c r="C3" s="2"/>
      <c r="D3" s="2"/>
      <c r="E3" s="2" t="s">
        <v>38</v>
      </c>
      <c r="F3" s="2" t="s">
        <v>38</v>
      </c>
      <c r="G3" s="2" t="s">
        <v>38</v>
      </c>
      <c r="H3" s="2" t="s">
        <v>12</v>
      </c>
      <c r="I3" s="2" t="s">
        <v>39</v>
      </c>
      <c r="J3" s="2" t="s">
        <v>12</v>
      </c>
      <c r="K3" s="2"/>
    </row>
    <row r="4" customFormat="false" ht="19.5" hidden="false" customHeight="false" outlineLevel="0" collapsed="false">
      <c r="A4" s="3" t="s">
        <v>14</v>
      </c>
      <c r="B4" s="3" t="s">
        <v>259</v>
      </c>
      <c r="C4" s="3" t="s">
        <v>260</v>
      </c>
      <c r="D4" s="3" t="s">
        <v>8</v>
      </c>
      <c r="E4" s="3"/>
      <c r="F4" s="3"/>
      <c r="G4" s="3" t="n">
        <v>20</v>
      </c>
      <c r="H4" s="8" t="n">
        <v>1648.5</v>
      </c>
      <c r="I4" s="3" t="n">
        <v>228</v>
      </c>
      <c r="J4" s="9" t="n">
        <f aca="false">H4*I4</f>
        <v>375858</v>
      </c>
      <c r="K4" s="3" t="s">
        <v>261</v>
      </c>
    </row>
    <row r="5" customFormat="false" ht="19.5" hidden="false" customHeight="false" outlineLevel="0" collapsed="false">
      <c r="A5" s="3" t="s">
        <v>14</v>
      </c>
      <c r="B5" s="3" t="s">
        <v>262</v>
      </c>
      <c r="C5" s="3" t="s">
        <v>263</v>
      </c>
      <c r="D5" s="3" t="s">
        <v>8</v>
      </c>
      <c r="E5" s="3"/>
      <c r="F5" s="3"/>
      <c r="G5" s="3" t="n">
        <v>14</v>
      </c>
      <c r="H5" s="8" t="n">
        <v>3408</v>
      </c>
      <c r="I5" s="3" t="n">
        <v>228</v>
      </c>
      <c r="J5" s="9" t="n">
        <f aca="false">H5*I5</f>
        <v>777024</v>
      </c>
      <c r="K5" s="3" t="s">
        <v>264</v>
      </c>
    </row>
    <row r="6" customFormat="false" ht="19.5" hidden="false" customHeight="false" outlineLevel="0" collapsed="false">
      <c r="A6" s="3" t="s">
        <v>14</v>
      </c>
      <c r="B6" s="3" t="s">
        <v>265</v>
      </c>
      <c r="C6" s="3" t="s">
        <v>266</v>
      </c>
      <c r="D6" s="3" t="s">
        <v>8</v>
      </c>
      <c r="E6" s="3"/>
      <c r="F6" s="3"/>
      <c r="G6" s="3" t="n">
        <v>24</v>
      </c>
      <c r="H6" s="8" t="n">
        <v>2307.9</v>
      </c>
      <c r="I6" s="3" t="n">
        <v>228</v>
      </c>
      <c r="J6" s="9" t="n">
        <f aca="false">H6*I6</f>
        <v>526201.2</v>
      </c>
      <c r="K6" s="3" t="s">
        <v>267</v>
      </c>
    </row>
    <row r="7" customFormat="false" ht="19.5" hidden="false" customHeight="false" outlineLevel="0" collapsed="false">
      <c r="A7" s="3" t="s">
        <v>14</v>
      </c>
      <c r="B7" s="3" t="s">
        <v>268</v>
      </c>
      <c r="C7" s="3" t="s">
        <v>269</v>
      </c>
      <c r="D7" s="3" t="s">
        <v>8</v>
      </c>
      <c r="E7" s="3"/>
      <c r="F7" s="3"/>
      <c r="G7" s="3" t="n">
        <v>12</v>
      </c>
      <c r="H7" s="8" t="n">
        <v>19.8</v>
      </c>
      <c r="I7" s="3" t="n">
        <v>4560</v>
      </c>
      <c r="J7" s="9" t="n">
        <f aca="false">H7*I7</f>
        <v>90288</v>
      </c>
      <c r="K7" s="3" t="s">
        <v>270</v>
      </c>
    </row>
    <row r="8" customFormat="false" ht="19.5" hidden="false" customHeight="false" outlineLevel="0" collapsed="false">
      <c r="A8" s="3" t="s">
        <v>14</v>
      </c>
      <c r="B8" s="3" t="s">
        <v>268</v>
      </c>
      <c r="C8" s="3" t="s">
        <v>271</v>
      </c>
      <c r="D8" s="3" t="s">
        <v>8</v>
      </c>
      <c r="E8" s="3"/>
      <c r="F8" s="3"/>
      <c r="G8" s="3" t="n">
        <v>12</v>
      </c>
      <c r="H8" s="8" t="n">
        <v>31.1</v>
      </c>
      <c r="I8" s="3" t="n">
        <v>456</v>
      </c>
      <c r="J8" s="9" t="n">
        <f aca="false">H8*I8</f>
        <v>14181.6</v>
      </c>
      <c r="K8" s="3" t="s">
        <v>272</v>
      </c>
    </row>
    <row r="9" customFormat="false" ht="19.5" hidden="false" customHeight="false" outlineLevel="0" collapsed="false">
      <c r="A9" s="3" t="s">
        <v>14</v>
      </c>
      <c r="B9" s="3" t="s">
        <v>273</v>
      </c>
      <c r="C9" s="3" t="s">
        <v>274</v>
      </c>
      <c r="D9" s="3" t="s">
        <v>8</v>
      </c>
      <c r="E9" s="3"/>
      <c r="F9" s="3"/>
      <c r="G9" s="3" t="n">
        <v>12</v>
      </c>
      <c r="H9" s="8" t="n">
        <v>134.7</v>
      </c>
      <c r="I9" s="3" t="n">
        <v>202</v>
      </c>
      <c r="J9" s="9" t="n">
        <f aca="false">H9*I9</f>
        <v>27209.4</v>
      </c>
      <c r="K9" s="3" t="s">
        <v>275</v>
      </c>
    </row>
    <row r="10" customFormat="false" ht="19.5" hidden="false" customHeight="false" outlineLevel="0" collapsed="false">
      <c r="A10" s="3" t="s">
        <v>14</v>
      </c>
      <c r="B10" s="3" t="s">
        <v>273</v>
      </c>
      <c r="C10" s="3" t="s">
        <v>276</v>
      </c>
      <c r="D10" s="3" t="s">
        <v>8</v>
      </c>
      <c r="E10" s="3"/>
      <c r="F10" s="3"/>
      <c r="G10" s="3" t="n">
        <v>12</v>
      </c>
      <c r="H10" s="8" t="n">
        <v>123.4</v>
      </c>
      <c r="I10" s="3" t="n">
        <v>20</v>
      </c>
      <c r="J10" s="9" t="n">
        <f aca="false">H10*I10</f>
        <v>2468</v>
      </c>
      <c r="K10" s="3" t="s">
        <v>277</v>
      </c>
    </row>
    <row r="11" customFormat="false" ht="19.5" hidden="false" customHeight="false" outlineLevel="0" collapsed="false">
      <c r="A11" s="3" t="s">
        <v>14</v>
      </c>
      <c r="B11" s="3" t="s">
        <v>273</v>
      </c>
      <c r="C11" s="3" t="s">
        <v>278</v>
      </c>
      <c r="D11" s="3" t="s">
        <v>8</v>
      </c>
      <c r="E11" s="3"/>
      <c r="F11" s="3"/>
      <c r="G11" s="3" t="n">
        <v>12</v>
      </c>
      <c r="H11" s="8" t="n">
        <v>106.4</v>
      </c>
      <c r="I11" s="3" t="n">
        <v>4</v>
      </c>
      <c r="J11" s="9" t="n">
        <f aca="false">H11*I11</f>
        <v>425.6</v>
      </c>
      <c r="K11" s="3" t="s">
        <v>279</v>
      </c>
    </row>
    <row r="12" customFormat="false" ht="19.5" hidden="false" customHeight="false" outlineLevel="0" collapsed="false">
      <c r="A12" s="3" t="s">
        <v>14</v>
      </c>
      <c r="B12" s="3" t="s">
        <v>273</v>
      </c>
      <c r="C12" s="3" t="s">
        <v>280</v>
      </c>
      <c r="D12" s="3" t="s">
        <v>8</v>
      </c>
      <c r="E12" s="3"/>
      <c r="F12" s="3"/>
      <c r="G12" s="3" t="n">
        <v>12</v>
      </c>
      <c r="H12" s="8" t="n">
        <v>82.9</v>
      </c>
      <c r="I12" s="3" t="n">
        <v>4</v>
      </c>
      <c r="J12" s="9" t="n">
        <f aca="false">H12*I12</f>
        <v>331.6</v>
      </c>
      <c r="K12" s="3" t="s">
        <v>281</v>
      </c>
    </row>
    <row r="13" customFormat="false" ht="19.5" hidden="false" customHeight="false" outlineLevel="0" collapsed="false">
      <c r="A13" s="3" t="s">
        <v>14</v>
      </c>
      <c r="B13" s="3" t="s">
        <v>282</v>
      </c>
      <c r="C13" s="3" t="s">
        <v>283</v>
      </c>
      <c r="D13" s="3" t="s">
        <v>8</v>
      </c>
      <c r="E13" s="3"/>
      <c r="F13" s="3"/>
      <c r="G13" s="3" t="n">
        <v>12</v>
      </c>
      <c r="H13" s="8" t="n">
        <v>112.1</v>
      </c>
      <c r="I13" s="3" t="n">
        <v>202</v>
      </c>
      <c r="J13" s="9" t="n">
        <f aca="false">H13*I13</f>
        <v>22644.2</v>
      </c>
      <c r="K13" s="3" t="s">
        <v>284</v>
      </c>
    </row>
    <row r="14" customFormat="false" ht="19.5" hidden="false" customHeight="false" outlineLevel="0" collapsed="false">
      <c r="A14" s="3" t="s">
        <v>14</v>
      </c>
      <c r="B14" s="3" t="s">
        <v>282</v>
      </c>
      <c r="C14" s="3" t="s">
        <v>285</v>
      </c>
      <c r="D14" s="3" t="s">
        <v>8</v>
      </c>
      <c r="E14" s="3"/>
      <c r="F14" s="3"/>
      <c r="G14" s="3" t="n">
        <v>12</v>
      </c>
      <c r="H14" s="8" t="n">
        <v>102.7</v>
      </c>
      <c r="I14" s="3" t="n">
        <v>20</v>
      </c>
      <c r="J14" s="9" t="n">
        <f aca="false">H14*I14</f>
        <v>2054</v>
      </c>
      <c r="K14" s="3" t="s">
        <v>286</v>
      </c>
    </row>
    <row r="15" customFormat="false" ht="19.5" hidden="false" customHeight="false" outlineLevel="0" collapsed="false">
      <c r="A15" s="3" t="s">
        <v>14</v>
      </c>
      <c r="B15" s="3" t="s">
        <v>282</v>
      </c>
      <c r="C15" s="3" t="s">
        <v>287</v>
      </c>
      <c r="D15" s="3" t="s">
        <v>8</v>
      </c>
      <c r="E15" s="3"/>
      <c r="F15" s="3"/>
      <c r="G15" s="3" t="n">
        <v>12</v>
      </c>
      <c r="H15" s="8" t="n">
        <v>88.5</v>
      </c>
      <c r="I15" s="3" t="n">
        <v>4</v>
      </c>
      <c r="J15" s="9" t="n">
        <f aca="false">H15*I15</f>
        <v>354</v>
      </c>
      <c r="K15" s="3" t="s">
        <v>288</v>
      </c>
    </row>
    <row r="16" customFormat="false" ht="19.5" hidden="false" customHeight="false" outlineLevel="0" collapsed="false">
      <c r="A16" s="3" t="s">
        <v>14</v>
      </c>
      <c r="B16" s="3" t="s">
        <v>282</v>
      </c>
      <c r="C16" s="3" t="s">
        <v>289</v>
      </c>
      <c r="D16" s="3" t="s">
        <v>8</v>
      </c>
      <c r="E16" s="3"/>
      <c r="F16" s="3"/>
      <c r="G16" s="3" t="n">
        <v>12</v>
      </c>
      <c r="H16" s="8" t="n">
        <v>69.7</v>
      </c>
      <c r="I16" s="3" t="n">
        <v>4</v>
      </c>
      <c r="J16" s="9" t="n">
        <f aca="false">H16*I16</f>
        <v>278.8</v>
      </c>
      <c r="K16" s="3" t="s">
        <v>290</v>
      </c>
    </row>
    <row r="17" customFormat="false" ht="19.5" hidden="false" customHeight="false" outlineLevel="0" collapsed="false">
      <c r="A17" s="3" t="s">
        <v>14</v>
      </c>
      <c r="B17" s="3" t="s">
        <v>291</v>
      </c>
      <c r="C17" s="3" t="s">
        <v>292</v>
      </c>
      <c r="D17" s="3" t="s">
        <v>8</v>
      </c>
      <c r="E17" s="3"/>
      <c r="F17" s="3"/>
      <c r="G17" s="3" t="n">
        <v>12</v>
      </c>
      <c r="H17" s="8" t="n">
        <v>66.9</v>
      </c>
      <c r="I17" s="3" t="n">
        <v>202</v>
      </c>
      <c r="J17" s="9" t="n">
        <f aca="false">H17*I17</f>
        <v>13513.8</v>
      </c>
      <c r="K17" s="3" t="s">
        <v>293</v>
      </c>
    </row>
    <row r="18" customFormat="false" ht="19.5" hidden="false" customHeight="false" outlineLevel="0" collapsed="false">
      <c r="A18" s="3" t="s">
        <v>14</v>
      </c>
      <c r="B18" s="3" t="s">
        <v>291</v>
      </c>
      <c r="C18" s="3" t="s">
        <v>294</v>
      </c>
      <c r="D18" s="3" t="s">
        <v>8</v>
      </c>
      <c r="E18" s="3"/>
      <c r="F18" s="3"/>
      <c r="G18" s="3" t="n">
        <v>12</v>
      </c>
      <c r="H18" s="8" t="n">
        <v>61.2</v>
      </c>
      <c r="I18" s="3" t="n">
        <v>20</v>
      </c>
      <c r="J18" s="9" t="n">
        <f aca="false">H18*I18</f>
        <v>1224</v>
      </c>
      <c r="K18" s="3" t="s">
        <v>295</v>
      </c>
    </row>
    <row r="19" customFormat="false" ht="19.5" hidden="false" customHeight="false" outlineLevel="0" collapsed="false">
      <c r="A19" s="3" t="s">
        <v>14</v>
      </c>
      <c r="B19" s="3" t="s">
        <v>291</v>
      </c>
      <c r="C19" s="3" t="s">
        <v>296</v>
      </c>
      <c r="D19" s="3" t="s">
        <v>8</v>
      </c>
      <c r="E19" s="3"/>
      <c r="F19" s="3"/>
      <c r="G19" s="3" t="n">
        <v>12</v>
      </c>
      <c r="H19" s="8" t="n">
        <v>52.8</v>
      </c>
      <c r="I19" s="3" t="n">
        <v>4</v>
      </c>
      <c r="J19" s="9" t="n">
        <f aca="false">H19*I19</f>
        <v>211.2</v>
      </c>
      <c r="K19" s="3" t="s">
        <v>297</v>
      </c>
    </row>
    <row r="20" customFormat="false" ht="19.5" hidden="false" customHeight="false" outlineLevel="0" collapsed="false">
      <c r="A20" s="3" t="s">
        <v>14</v>
      </c>
      <c r="B20" s="3" t="s">
        <v>291</v>
      </c>
      <c r="C20" s="3" t="s">
        <v>298</v>
      </c>
      <c r="D20" s="3" t="s">
        <v>8</v>
      </c>
      <c r="E20" s="3"/>
      <c r="F20" s="3"/>
      <c r="G20" s="3" t="n">
        <v>12</v>
      </c>
      <c r="H20" s="8" t="n">
        <v>41.4</v>
      </c>
      <c r="I20" s="3" t="n">
        <v>4</v>
      </c>
      <c r="J20" s="9" t="n">
        <f aca="false">H20*I20</f>
        <v>165.6</v>
      </c>
      <c r="K20" s="3" t="s">
        <v>299</v>
      </c>
    </row>
    <row r="21" customFormat="false" ht="19.5" hidden="false" customHeight="false" outlineLevel="0" collapsed="false">
      <c r="A21" s="3" t="s">
        <v>14</v>
      </c>
      <c r="B21" s="3" t="s">
        <v>300</v>
      </c>
      <c r="C21" s="3" t="s">
        <v>301</v>
      </c>
      <c r="D21" s="3" t="s">
        <v>8</v>
      </c>
      <c r="E21" s="3"/>
      <c r="F21" s="3"/>
      <c r="G21" s="3" t="n">
        <v>20</v>
      </c>
      <c r="H21" s="8" t="n">
        <v>4149.5</v>
      </c>
      <c r="I21" s="3" t="n">
        <v>4</v>
      </c>
      <c r="J21" s="9" t="n">
        <f aca="false">H21*I21</f>
        <v>16598</v>
      </c>
      <c r="K21" s="3" t="s">
        <v>302</v>
      </c>
    </row>
    <row r="22" customFormat="false" ht="19.5" hidden="false" customHeight="false" outlineLevel="0" collapsed="false">
      <c r="A22" s="3" t="s">
        <v>14</v>
      </c>
      <c r="B22" s="3" t="s">
        <v>303</v>
      </c>
      <c r="C22" s="3" t="s">
        <v>304</v>
      </c>
      <c r="D22" s="3" t="s">
        <v>8</v>
      </c>
      <c r="E22" s="3"/>
      <c r="F22" s="3"/>
      <c r="G22" s="3" t="n">
        <v>20</v>
      </c>
      <c r="H22" s="8" t="n">
        <v>4868.6</v>
      </c>
      <c r="I22" s="3" t="n">
        <v>4</v>
      </c>
      <c r="J22" s="9" t="n">
        <f aca="false">H22*I22</f>
        <v>19474.4</v>
      </c>
      <c r="K22" s="3" t="s">
        <v>305</v>
      </c>
    </row>
    <row r="23" customFormat="false" ht="19.5" hidden="false" customHeight="false" outlineLevel="0" collapsed="false">
      <c r="A23" s="3" t="s">
        <v>14</v>
      </c>
      <c r="B23" s="3" t="s">
        <v>303</v>
      </c>
      <c r="C23" s="3" t="s">
        <v>306</v>
      </c>
      <c r="D23" s="3" t="s">
        <v>8</v>
      </c>
      <c r="E23" s="3"/>
      <c r="F23" s="3"/>
      <c r="G23" s="3" t="n">
        <v>20</v>
      </c>
      <c r="H23" s="8" t="n">
        <v>4797.9</v>
      </c>
      <c r="I23" s="3" t="n">
        <v>4</v>
      </c>
      <c r="J23" s="9" t="n">
        <f aca="false">H23*I23</f>
        <v>19191.6</v>
      </c>
      <c r="K23" s="3" t="s">
        <v>305</v>
      </c>
    </row>
    <row r="24" customFormat="false" ht="19.5" hidden="false" customHeight="false" outlineLevel="0" collapsed="false">
      <c r="A24" s="3" t="s">
        <v>14</v>
      </c>
      <c r="B24" s="3" t="s">
        <v>307</v>
      </c>
      <c r="C24" s="3" t="s">
        <v>308</v>
      </c>
      <c r="D24" s="3" t="s">
        <v>8</v>
      </c>
      <c r="E24" s="3"/>
      <c r="F24" s="3"/>
      <c r="G24" s="3" t="n">
        <v>24</v>
      </c>
      <c r="H24" s="8" t="n">
        <v>4945.5</v>
      </c>
      <c r="I24" s="3" t="n">
        <v>4</v>
      </c>
      <c r="J24" s="9" t="n">
        <f aca="false">H24*I24</f>
        <v>19782</v>
      </c>
      <c r="K24" s="3" t="s">
        <v>309</v>
      </c>
    </row>
    <row r="25" customFormat="false" ht="19.5" hidden="false" customHeight="false" outlineLevel="0" collapsed="false">
      <c r="A25" s="3" t="s">
        <v>14</v>
      </c>
      <c r="B25" s="3" t="s">
        <v>310</v>
      </c>
      <c r="C25" s="3" t="s">
        <v>311</v>
      </c>
      <c r="D25" s="3" t="s">
        <v>8</v>
      </c>
      <c r="E25" s="3"/>
      <c r="F25" s="3"/>
      <c r="G25" s="3" t="n">
        <v>16</v>
      </c>
      <c r="H25" s="8" t="n">
        <v>38.9</v>
      </c>
      <c r="I25" s="3" t="n">
        <v>48</v>
      </c>
      <c r="J25" s="9" t="n">
        <f aca="false">H25*I25</f>
        <v>1867.2</v>
      </c>
      <c r="K25" s="3" t="s">
        <v>312</v>
      </c>
    </row>
    <row r="26" customFormat="false" ht="19.5" hidden="false" customHeight="false" outlineLevel="0" collapsed="false">
      <c r="A26" s="3" t="s">
        <v>14</v>
      </c>
      <c r="B26" s="3" t="s">
        <v>313</v>
      </c>
      <c r="C26" s="3" t="s">
        <v>314</v>
      </c>
      <c r="D26" s="3" t="s">
        <v>8</v>
      </c>
      <c r="E26" s="3"/>
      <c r="F26" s="3"/>
      <c r="G26" s="3" t="n">
        <v>12</v>
      </c>
      <c r="H26" s="8" t="n">
        <v>210.1</v>
      </c>
      <c r="I26" s="3" t="n">
        <v>20</v>
      </c>
      <c r="J26" s="9" t="n">
        <f aca="false">H26*I26</f>
        <v>4202</v>
      </c>
      <c r="K26" s="3" t="s">
        <v>315</v>
      </c>
    </row>
    <row r="27" customFormat="false" ht="19.5" hidden="false" customHeight="false" outlineLevel="0" collapsed="false">
      <c r="A27" s="3" t="s">
        <v>14</v>
      </c>
      <c r="B27" s="3" t="s">
        <v>316</v>
      </c>
      <c r="C27" s="3" t="s">
        <v>317</v>
      </c>
      <c r="D27" s="3" t="s">
        <v>8</v>
      </c>
      <c r="E27" s="3"/>
      <c r="F27" s="3"/>
      <c r="G27" s="3" t="n">
        <v>12</v>
      </c>
      <c r="H27" s="8" t="n">
        <v>30.1</v>
      </c>
      <c r="I27" s="3" t="n">
        <v>20</v>
      </c>
      <c r="J27" s="9" t="n">
        <f aca="false">H27*I27</f>
        <v>602</v>
      </c>
      <c r="K27" s="3" t="s">
        <v>318</v>
      </c>
    </row>
    <row r="28" customFormat="false" ht="19.5" hidden="false" customHeight="false" outlineLevel="0" collapsed="false">
      <c r="A28" s="3" t="s">
        <v>14</v>
      </c>
      <c r="B28" s="3" t="s">
        <v>319</v>
      </c>
      <c r="C28" s="3" t="s">
        <v>320</v>
      </c>
      <c r="D28" s="3" t="s">
        <v>8</v>
      </c>
      <c r="E28" s="3"/>
      <c r="F28" s="3"/>
      <c r="G28" s="3" t="n">
        <v>12</v>
      </c>
      <c r="H28" s="8" t="n">
        <v>18.8</v>
      </c>
      <c r="I28" s="3" t="n">
        <v>4</v>
      </c>
      <c r="J28" s="9" t="n">
        <f aca="false">H28*I28</f>
        <v>75.2</v>
      </c>
      <c r="K28" s="3" t="s">
        <v>321</v>
      </c>
    </row>
    <row r="29" customFormat="false" ht="19.5" hidden="false" customHeight="false" outlineLevel="0" collapsed="false">
      <c r="A29" s="3" t="s">
        <v>14</v>
      </c>
      <c r="B29" s="3" t="s">
        <v>322</v>
      </c>
      <c r="C29" s="3" t="s">
        <v>323</v>
      </c>
      <c r="D29" s="3" t="s">
        <v>8</v>
      </c>
      <c r="E29" s="3"/>
      <c r="F29" s="3"/>
      <c r="G29" s="3" t="n">
        <v>14</v>
      </c>
      <c r="H29" s="8" t="n">
        <v>45.1</v>
      </c>
      <c r="I29" s="3" t="n">
        <v>236</v>
      </c>
      <c r="J29" s="9" t="n">
        <f aca="false">H29*I29</f>
        <v>10643.6</v>
      </c>
      <c r="K29" s="3" t="s">
        <v>324</v>
      </c>
    </row>
    <row r="30" customFormat="false" ht="19.5" hidden="false" customHeight="false" outlineLevel="0" collapsed="false">
      <c r="A30" s="3" t="s">
        <v>14</v>
      </c>
      <c r="B30" s="3" t="s">
        <v>325</v>
      </c>
      <c r="C30" s="3" t="s">
        <v>326</v>
      </c>
      <c r="D30" s="3" t="s">
        <v>8</v>
      </c>
      <c r="E30" s="3"/>
      <c r="F30" s="3"/>
      <c r="G30" s="3" t="n">
        <v>12</v>
      </c>
      <c r="H30" s="8" t="n">
        <v>12.2</v>
      </c>
      <c r="I30" s="3" t="n">
        <v>920</v>
      </c>
      <c r="J30" s="9" t="n">
        <f aca="false">H30*I30</f>
        <v>11224</v>
      </c>
      <c r="K30" s="3" t="s">
        <v>327</v>
      </c>
    </row>
    <row r="31" customFormat="false" ht="19.5" hidden="false" customHeight="false" outlineLevel="0" collapsed="false">
      <c r="A31" s="3" t="s">
        <v>14</v>
      </c>
      <c r="B31" s="3" t="s">
        <v>328</v>
      </c>
      <c r="C31" s="3" t="s">
        <v>329</v>
      </c>
      <c r="D31" s="3" t="s">
        <v>8</v>
      </c>
      <c r="E31" s="3"/>
      <c r="F31" s="3"/>
      <c r="G31" s="3" t="n">
        <v>10</v>
      </c>
      <c r="H31" s="8" t="n">
        <v>49.5</v>
      </c>
      <c r="I31" s="3" t="n">
        <v>456</v>
      </c>
      <c r="J31" s="9" t="n">
        <f aca="false">H31*I31</f>
        <v>22572</v>
      </c>
      <c r="K31" s="3" t="s">
        <v>330</v>
      </c>
    </row>
    <row r="32" customFormat="false" ht="19.5" hidden="false" customHeight="false" outlineLevel="0" collapsed="false">
      <c r="A32" s="3" t="s">
        <v>14</v>
      </c>
      <c r="B32" s="3" t="s">
        <v>328</v>
      </c>
      <c r="C32" s="3" t="s">
        <v>331</v>
      </c>
      <c r="D32" s="3" t="s">
        <v>8</v>
      </c>
      <c r="E32" s="3"/>
      <c r="F32" s="3"/>
      <c r="G32" s="3" t="n">
        <v>10</v>
      </c>
      <c r="H32" s="8" t="n">
        <v>38.5</v>
      </c>
      <c r="I32" s="3" t="n">
        <v>456</v>
      </c>
      <c r="J32" s="9" t="n">
        <f aca="false">H32*I32</f>
        <v>17556</v>
      </c>
      <c r="K32" s="3" t="s">
        <v>332</v>
      </c>
    </row>
    <row r="33" customFormat="false" ht="19.5" hidden="false" customHeight="false" outlineLevel="0" collapsed="false">
      <c r="A33" s="3" t="s">
        <v>14</v>
      </c>
      <c r="B33" s="3" t="s">
        <v>328</v>
      </c>
      <c r="C33" s="3" t="s">
        <v>333</v>
      </c>
      <c r="D33" s="3" t="s">
        <v>8</v>
      </c>
      <c r="E33" s="3"/>
      <c r="F33" s="3"/>
      <c r="G33" s="3" t="n">
        <v>14</v>
      </c>
      <c r="H33" s="8" t="n">
        <v>69.2</v>
      </c>
      <c r="I33" s="3" t="n">
        <v>16</v>
      </c>
      <c r="J33" s="9" t="n">
        <f aca="false">H33*I33</f>
        <v>1107.2</v>
      </c>
      <c r="K33" s="3" t="s">
        <v>334</v>
      </c>
    </row>
    <row r="34" customFormat="false" ht="19.5" hidden="false" customHeight="false" outlineLevel="0" collapsed="false">
      <c r="A34" s="3" t="s">
        <v>14</v>
      </c>
      <c r="B34" s="3" t="s">
        <v>328</v>
      </c>
      <c r="C34" s="3" t="s">
        <v>335</v>
      </c>
      <c r="D34" s="3" t="s">
        <v>8</v>
      </c>
      <c r="E34" s="3"/>
      <c r="F34" s="3"/>
      <c r="G34" s="3" t="n">
        <v>14</v>
      </c>
      <c r="H34" s="8" t="n">
        <v>53.9</v>
      </c>
      <c r="I34" s="3" t="n">
        <v>16</v>
      </c>
      <c r="J34" s="9" t="n">
        <f aca="false">H34*I34</f>
        <v>862.4</v>
      </c>
      <c r="K34" s="3" t="s">
        <v>336</v>
      </c>
    </row>
    <row r="35" customFormat="false" ht="19.5" hidden="false" customHeight="false" outlineLevel="0" collapsed="false">
      <c r="A35" s="3" t="s">
        <v>15</v>
      </c>
      <c r="B35" s="3" t="s">
        <v>337</v>
      </c>
      <c r="C35" s="3" t="s">
        <v>338</v>
      </c>
      <c r="D35" s="3" t="s">
        <v>8</v>
      </c>
      <c r="E35" s="3"/>
      <c r="F35" s="3"/>
      <c r="G35" s="3" t="n">
        <v>14</v>
      </c>
      <c r="H35" s="8" t="n">
        <v>660095.7</v>
      </c>
      <c r="I35" s="3" t="n">
        <v>2</v>
      </c>
      <c r="J35" s="9" t="n">
        <f aca="false">H35*I35</f>
        <v>1320191.4</v>
      </c>
      <c r="K35" s="3" t="s">
        <v>339</v>
      </c>
    </row>
    <row r="36" customFormat="false" ht="19.5" hidden="false" customHeight="false" outlineLevel="0" collapsed="false">
      <c r="A36" s="3" t="s">
        <v>15</v>
      </c>
      <c r="B36" s="3" t="s">
        <v>262</v>
      </c>
      <c r="C36" s="3" t="s">
        <v>340</v>
      </c>
      <c r="D36" s="3" t="s">
        <v>8</v>
      </c>
      <c r="E36" s="3"/>
      <c r="F36" s="3"/>
      <c r="G36" s="3" t="n">
        <v>14</v>
      </c>
      <c r="H36" s="8" t="n">
        <v>3122.3</v>
      </c>
      <c r="I36" s="3" t="n">
        <v>222</v>
      </c>
      <c r="J36" s="9" t="n">
        <f aca="false">H36*I36</f>
        <v>693150.6</v>
      </c>
      <c r="K36" s="3" t="s">
        <v>341</v>
      </c>
    </row>
    <row r="37" customFormat="false" ht="19.5" hidden="false" customHeight="false" outlineLevel="0" collapsed="false">
      <c r="A37" s="3" t="s">
        <v>15</v>
      </c>
      <c r="B37" s="3" t="s">
        <v>262</v>
      </c>
      <c r="C37" s="3" t="s">
        <v>342</v>
      </c>
      <c r="D37" s="3" t="s">
        <v>8</v>
      </c>
      <c r="E37" s="3"/>
      <c r="F37" s="3"/>
      <c r="G37" s="3" t="n">
        <v>20</v>
      </c>
      <c r="H37" s="8" t="n">
        <v>3444.6</v>
      </c>
      <c r="I37" s="3" t="n">
        <v>12</v>
      </c>
      <c r="J37" s="9" t="n">
        <f aca="false">H37*I37</f>
        <v>41335.2</v>
      </c>
      <c r="K37" s="3" t="s">
        <v>343</v>
      </c>
    </row>
    <row r="38" customFormat="false" ht="19.5" hidden="false" customHeight="false" outlineLevel="0" collapsed="false">
      <c r="A38" s="3" t="s">
        <v>15</v>
      </c>
      <c r="B38" s="3" t="s">
        <v>262</v>
      </c>
      <c r="C38" s="3" t="s">
        <v>344</v>
      </c>
      <c r="D38" s="3" t="s">
        <v>8</v>
      </c>
      <c r="E38" s="3"/>
      <c r="F38" s="3"/>
      <c r="G38" s="3" t="n">
        <v>20</v>
      </c>
      <c r="H38" s="8" t="n">
        <v>3516.8</v>
      </c>
      <c r="I38" s="3" t="n">
        <v>8</v>
      </c>
      <c r="J38" s="9" t="n">
        <f aca="false">H38*I38</f>
        <v>28134.4</v>
      </c>
      <c r="K38" s="3" t="s">
        <v>343</v>
      </c>
    </row>
    <row r="39" customFormat="false" ht="19.5" hidden="false" customHeight="false" outlineLevel="0" collapsed="false">
      <c r="A39" s="3" t="s">
        <v>15</v>
      </c>
      <c r="B39" s="3" t="s">
        <v>262</v>
      </c>
      <c r="C39" s="3" t="s">
        <v>345</v>
      </c>
      <c r="D39" s="3" t="s">
        <v>8</v>
      </c>
      <c r="E39" s="3"/>
      <c r="F39" s="3"/>
      <c r="G39" s="3" t="n">
        <v>28</v>
      </c>
      <c r="H39" s="8" t="n">
        <v>562.7</v>
      </c>
      <c r="I39" s="3" t="n">
        <v>8</v>
      </c>
      <c r="J39" s="9" t="n">
        <f aca="false">H39*I39</f>
        <v>4501.6</v>
      </c>
      <c r="K39" s="3" t="s">
        <v>346</v>
      </c>
    </row>
    <row r="40" customFormat="false" ht="19.5" hidden="false" customHeight="false" outlineLevel="0" collapsed="false">
      <c r="A40" s="3" t="s">
        <v>15</v>
      </c>
      <c r="B40" s="3" t="s">
        <v>262</v>
      </c>
      <c r="C40" s="3" t="s">
        <v>347</v>
      </c>
      <c r="D40" s="3" t="s">
        <v>8</v>
      </c>
      <c r="E40" s="3"/>
      <c r="F40" s="3"/>
      <c r="G40" s="3" t="n">
        <v>28</v>
      </c>
      <c r="H40" s="8" t="n">
        <v>760.5</v>
      </c>
      <c r="I40" s="3" t="n">
        <v>8</v>
      </c>
      <c r="J40" s="9" t="n">
        <f aca="false">H40*I40</f>
        <v>6084</v>
      </c>
      <c r="K40" s="3" t="s">
        <v>348</v>
      </c>
    </row>
    <row r="41" customFormat="false" ht="19.5" hidden="false" customHeight="false" outlineLevel="0" collapsed="false">
      <c r="A41" s="3" t="s">
        <v>15</v>
      </c>
      <c r="B41" s="3" t="s">
        <v>262</v>
      </c>
      <c r="C41" s="3" t="s">
        <v>349</v>
      </c>
      <c r="D41" s="3" t="s">
        <v>8</v>
      </c>
      <c r="E41" s="3"/>
      <c r="F41" s="3"/>
      <c r="G41" s="3" t="n">
        <v>60</v>
      </c>
      <c r="H41" s="8" t="n">
        <v>1205.8</v>
      </c>
      <c r="I41" s="3" t="n">
        <v>8</v>
      </c>
      <c r="J41" s="9" t="n">
        <f aca="false">H41*I41</f>
        <v>9646.4</v>
      </c>
      <c r="K41" s="3" t="s">
        <v>350</v>
      </c>
    </row>
    <row r="42" customFormat="false" ht="19.5" hidden="false" customHeight="false" outlineLevel="0" collapsed="false">
      <c r="A42" s="3" t="s">
        <v>15</v>
      </c>
      <c r="B42" s="3" t="s">
        <v>262</v>
      </c>
      <c r="C42" s="3" t="s">
        <v>351</v>
      </c>
      <c r="D42" s="3" t="s">
        <v>8</v>
      </c>
      <c r="E42" s="3"/>
      <c r="F42" s="3"/>
      <c r="G42" s="3" t="n">
        <v>44</v>
      </c>
      <c r="H42" s="8" t="n">
        <v>1195.1</v>
      </c>
      <c r="I42" s="3" t="n">
        <v>8</v>
      </c>
      <c r="J42" s="9" t="n">
        <f aca="false">H42*I42</f>
        <v>9560.8</v>
      </c>
      <c r="K42" s="3" t="s">
        <v>352</v>
      </c>
    </row>
    <row r="43" customFormat="false" ht="19.5" hidden="false" customHeight="false" outlineLevel="0" collapsed="false">
      <c r="A43" s="3" t="s">
        <v>15</v>
      </c>
      <c r="B43" s="3" t="s">
        <v>265</v>
      </c>
      <c r="C43" s="3" t="s">
        <v>353</v>
      </c>
      <c r="D43" s="3" t="s">
        <v>8</v>
      </c>
      <c r="E43" s="3"/>
      <c r="F43" s="3"/>
      <c r="G43" s="3" t="n">
        <v>24</v>
      </c>
      <c r="H43" s="8" t="n">
        <v>1978.2</v>
      </c>
      <c r="I43" s="3" t="n">
        <v>222</v>
      </c>
      <c r="J43" s="9" t="n">
        <f aca="false">H43*I43</f>
        <v>439160.4</v>
      </c>
      <c r="K43" s="3" t="s">
        <v>354</v>
      </c>
    </row>
    <row r="44" customFormat="false" ht="19.5" hidden="false" customHeight="false" outlineLevel="0" collapsed="false">
      <c r="A44" s="3" t="s">
        <v>15</v>
      </c>
      <c r="B44" s="3" t="s">
        <v>265</v>
      </c>
      <c r="C44" s="3" t="s">
        <v>355</v>
      </c>
      <c r="D44" s="3" t="s">
        <v>8</v>
      </c>
      <c r="E44" s="3"/>
      <c r="F44" s="3"/>
      <c r="G44" s="3" t="n">
        <v>24</v>
      </c>
      <c r="H44" s="8" t="n">
        <v>7121.5</v>
      </c>
      <c r="I44" s="3" t="n">
        <v>4</v>
      </c>
      <c r="J44" s="9" t="n">
        <f aca="false">H44*I44</f>
        <v>28486</v>
      </c>
      <c r="K44" s="3" t="s">
        <v>356</v>
      </c>
    </row>
    <row r="45" customFormat="false" ht="19.5" hidden="false" customHeight="false" outlineLevel="0" collapsed="false">
      <c r="A45" s="3" t="s">
        <v>15</v>
      </c>
      <c r="B45" s="3" t="s">
        <v>265</v>
      </c>
      <c r="C45" s="3" t="s">
        <v>357</v>
      </c>
      <c r="D45" s="3" t="s">
        <v>8</v>
      </c>
      <c r="E45" s="3"/>
      <c r="F45" s="3"/>
      <c r="G45" s="3" t="n">
        <v>24</v>
      </c>
      <c r="H45" s="8" t="n">
        <v>7061.2</v>
      </c>
      <c r="I45" s="3" t="n">
        <v>4</v>
      </c>
      <c r="J45" s="9" t="n">
        <f aca="false">H45*I45</f>
        <v>28244.8</v>
      </c>
      <c r="K45" s="3" t="s">
        <v>358</v>
      </c>
    </row>
    <row r="46" customFormat="false" ht="19.5" hidden="false" customHeight="false" outlineLevel="0" collapsed="false">
      <c r="A46" s="3" t="s">
        <v>15</v>
      </c>
      <c r="B46" s="3" t="s">
        <v>359</v>
      </c>
      <c r="C46" s="3" t="s">
        <v>360</v>
      </c>
      <c r="D46" s="3" t="s">
        <v>8</v>
      </c>
      <c r="E46" s="3"/>
      <c r="F46" s="3"/>
      <c r="G46" s="3" t="n">
        <v>12</v>
      </c>
      <c r="H46" s="8" t="n">
        <v>17.9</v>
      </c>
      <c r="I46" s="3" t="n">
        <v>4440</v>
      </c>
      <c r="J46" s="9" t="n">
        <f aca="false">H46*I46</f>
        <v>79476</v>
      </c>
      <c r="K46" s="3" t="s">
        <v>361</v>
      </c>
    </row>
    <row r="47" customFormat="false" ht="19.5" hidden="false" customHeight="false" outlineLevel="0" collapsed="false">
      <c r="A47" s="3" t="s">
        <v>15</v>
      </c>
      <c r="B47" s="3" t="s">
        <v>359</v>
      </c>
      <c r="C47" s="3" t="s">
        <v>362</v>
      </c>
      <c r="D47" s="3" t="s">
        <v>8</v>
      </c>
      <c r="E47" s="3"/>
      <c r="F47" s="3"/>
      <c r="G47" s="3" t="n">
        <v>12</v>
      </c>
      <c r="H47" s="8" t="n">
        <v>250.6</v>
      </c>
      <c r="I47" s="3" t="n">
        <v>40</v>
      </c>
      <c r="J47" s="9" t="n">
        <f aca="false">H47*I47</f>
        <v>10024</v>
      </c>
      <c r="K47" s="3" t="s">
        <v>363</v>
      </c>
    </row>
    <row r="48" customFormat="false" ht="19.5" hidden="false" customHeight="false" outlineLevel="0" collapsed="false">
      <c r="A48" s="3" t="s">
        <v>15</v>
      </c>
      <c r="B48" s="3" t="s">
        <v>359</v>
      </c>
      <c r="C48" s="3" t="s">
        <v>364</v>
      </c>
      <c r="D48" s="3" t="s">
        <v>8</v>
      </c>
      <c r="E48" s="3"/>
      <c r="F48" s="3"/>
      <c r="G48" s="3" t="n">
        <v>12</v>
      </c>
      <c r="H48" s="8" t="n">
        <v>111.2</v>
      </c>
      <c r="I48" s="3" t="n">
        <v>80</v>
      </c>
      <c r="J48" s="9" t="n">
        <f aca="false">H48*I48</f>
        <v>8896</v>
      </c>
      <c r="K48" s="3" t="s">
        <v>365</v>
      </c>
    </row>
    <row r="49" customFormat="false" ht="19.5" hidden="false" customHeight="false" outlineLevel="0" collapsed="false">
      <c r="A49" s="3" t="s">
        <v>15</v>
      </c>
      <c r="B49" s="3" t="s">
        <v>366</v>
      </c>
      <c r="C49" s="3" t="s">
        <v>367</v>
      </c>
      <c r="D49" s="3" t="s">
        <v>8</v>
      </c>
      <c r="E49" s="3"/>
      <c r="F49" s="3"/>
      <c r="G49" s="3" t="n">
        <v>4</v>
      </c>
      <c r="H49" s="8" t="n">
        <v>1.9</v>
      </c>
      <c r="I49" s="3" t="n">
        <v>2052</v>
      </c>
      <c r="J49" s="9" t="n">
        <f aca="false">H49*I49</f>
        <v>3898.8</v>
      </c>
      <c r="K49" s="3" t="s">
        <v>368</v>
      </c>
    </row>
    <row r="50" customFormat="false" ht="19.5" hidden="false" customHeight="false" outlineLevel="0" collapsed="false">
      <c r="A50" s="3" t="s">
        <v>15</v>
      </c>
      <c r="B50" s="3" t="s">
        <v>369</v>
      </c>
      <c r="C50" s="3" t="s">
        <v>370</v>
      </c>
      <c r="D50" s="3" t="s">
        <v>8</v>
      </c>
      <c r="E50" s="3"/>
      <c r="F50" s="3"/>
      <c r="G50" s="3" t="n">
        <v>14</v>
      </c>
      <c r="H50" s="8" t="n">
        <v>6390.7</v>
      </c>
      <c r="I50" s="3" t="n">
        <v>6</v>
      </c>
      <c r="J50" s="9" t="n">
        <f aca="false">H50*I50</f>
        <v>38344.2</v>
      </c>
      <c r="K50" s="3" t="s">
        <v>371</v>
      </c>
    </row>
    <row r="51" customFormat="false" ht="19.5" hidden="false" customHeight="false" outlineLevel="0" collapsed="false">
      <c r="A51" s="3" t="s">
        <v>15</v>
      </c>
      <c r="B51" s="3" t="s">
        <v>372</v>
      </c>
      <c r="C51" s="3" t="s">
        <v>373</v>
      </c>
      <c r="D51" s="3" t="s">
        <v>8</v>
      </c>
      <c r="E51" s="3"/>
      <c r="F51" s="3"/>
      <c r="G51" s="3" t="n">
        <v>8</v>
      </c>
      <c r="H51" s="8" t="n">
        <v>15251</v>
      </c>
      <c r="I51" s="3" t="n">
        <v>54</v>
      </c>
      <c r="J51" s="9" t="n">
        <f aca="false">H51*I51</f>
        <v>823554</v>
      </c>
      <c r="K51" s="3" t="s">
        <v>374</v>
      </c>
    </row>
    <row r="52" customFormat="false" ht="19.5" hidden="false" customHeight="false" outlineLevel="0" collapsed="false">
      <c r="A52" s="3" t="s">
        <v>15</v>
      </c>
      <c r="B52" s="3" t="s">
        <v>375</v>
      </c>
      <c r="C52" s="3" t="s">
        <v>376</v>
      </c>
      <c r="D52" s="3" t="s">
        <v>8</v>
      </c>
      <c r="E52" s="3"/>
      <c r="F52" s="3"/>
      <c r="G52" s="3" t="n">
        <v>16</v>
      </c>
      <c r="H52" s="8" t="n">
        <v>406.9</v>
      </c>
      <c r="I52" s="3" t="n">
        <v>8</v>
      </c>
      <c r="J52" s="9" t="n">
        <f aca="false">H52*I52</f>
        <v>3255.2</v>
      </c>
      <c r="K52" s="3" t="s">
        <v>377</v>
      </c>
    </row>
    <row r="53" customFormat="false" ht="19.5" hidden="false" customHeight="false" outlineLevel="0" collapsed="false">
      <c r="A53" s="3" t="s">
        <v>15</v>
      </c>
      <c r="B53" s="3" t="s">
        <v>375</v>
      </c>
      <c r="C53" s="3" t="s">
        <v>378</v>
      </c>
      <c r="D53" s="3" t="s">
        <v>8</v>
      </c>
      <c r="E53" s="3"/>
      <c r="F53" s="3"/>
      <c r="G53" s="3" t="n">
        <v>16</v>
      </c>
      <c r="H53" s="8" t="n">
        <v>439.6</v>
      </c>
      <c r="I53" s="3" t="n">
        <v>4</v>
      </c>
      <c r="J53" s="9" t="n">
        <f aca="false">H53*I53</f>
        <v>1758.4</v>
      </c>
      <c r="K53" s="3" t="s">
        <v>379</v>
      </c>
    </row>
    <row r="54" customFormat="false" ht="19.5" hidden="false" customHeight="false" outlineLevel="0" collapsed="false">
      <c r="A54" s="3" t="s">
        <v>15</v>
      </c>
      <c r="B54" s="3" t="s">
        <v>380</v>
      </c>
      <c r="C54" s="3" t="s">
        <v>381</v>
      </c>
      <c r="D54" s="3" t="s">
        <v>8</v>
      </c>
      <c r="E54" s="3"/>
      <c r="F54" s="3"/>
      <c r="G54" s="3" t="n">
        <v>12</v>
      </c>
      <c r="H54" s="8" t="n">
        <v>30.1</v>
      </c>
      <c r="I54" s="3" t="n">
        <v>120</v>
      </c>
      <c r="J54" s="9" t="n">
        <f aca="false">H54*I54</f>
        <v>3612</v>
      </c>
      <c r="K54" s="3" t="s">
        <v>318</v>
      </c>
    </row>
    <row r="55" customFormat="false" ht="19.5" hidden="false" customHeight="false" outlineLevel="0" collapsed="false">
      <c r="A55" s="3" t="s">
        <v>15</v>
      </c>
      <c r="B55" s="3" t="s">
        <v>382</v>
      </c>
      <c r="C55" s="3" t="s">
        <v>383</v>
      </c>
      <c r="D55" s="3" t="s">
        <v>8</v>
      </c>
      <c r="E55" s="3"/>
      <c r="F55" s="3"/>
      <c r="G55" s="3" t="n">
        <v>14</v>
      </c>
      <c r="H55" s="8" t="n">
        <v>9.9</v>
      </c>
      <c r="I55" s="3" t="n">
        <v>72</v>
      </c>
      <c r="J55" s="9" t="n">
        <f aca="false">H55*I55</f>
        <v>712.8</v>
      </c>
      <c r="K55" s="3" t="s">
        <v>384</v>
      </c>
    </row>
    <row r="56" customFormat="false" ht="19.5" hidden="false" customHeight="false" outlineLevel="0" collapsed="false">
      <c r="A56" s="3" t="s">
        <v>15</v>
      </c>
      <c r="B56" s="3" t="s">
        <v>385</v>
      </c>
      <c r="C56" s="3" t="s">
        <v>386</v>
      </c>
      <c r="D56" s="3" t="s">
        <v>8</v>
      </c>
      <c r="E56" s="3"/>
      <c r="F56" s="3"/>
      <c r="G56" s="3" t="n">
        <v>28</v>
      </c>
      <c r="H56" s="8" t="n">
        <v>26.4</v>
      </c>
      <c r="I56" s="3" t="n">
        <v>64</v>
      </c>
      <c r="J56" s="9" t="n">
        <f aca="false">H56*I56</f>
        <v>1689.6</v>
      </c>
      <c r="K56" s="3" t="s">
        <v>387</v>
      </c>
    </row>
    <row r="57" customFormat="false" ht="19.5" hidden="false" customHeight="false" outlineLevel="0" collapsed="false">
      <c r="A57" s="3" t="s">
        <v>15</v>
      </c>
      <c r="B57" s="3" t="s">
        <v>385</v>
      </c>
      <c r="C57" s="3" t="s">
        <v>388</v>
      </c>
      <c r="D57" s="3" t="s">
        <v>8</v>
      </c>
      <c r="E57" s="3"/>
      <c r="F57" s="3"/>
      <c r="G57" s="3" t="n">
        <v>28</v>
      </c>
      <c r="H57" s="8" t="n">
        <v>26.4</v>
      </c>
      <c r="I57" s="3" t="n">
        <v>72</v>
      </c>
      <c r="J57" s="9" t="n">
        <f aca="false">H57*I57</f>
        <v>1900.8</v>
      </c>
      <c r="K57" s="3" t="s">
        <v>389</v>
      </c>
    </row>
    <row r="58" customFormat="false" ht="19.5" hidden="false" customHeight="false" outlineLevel="0" collapsed="false">
      <c r="A58" s="3" t="s">
        <v>15</v>
      </c>
      <c r="B58" s="3" t="s">
        <v>385</v>
      </c>
      <c r="C58" s="3" t="s">
        <v>390</v>
      </c>
      <c r="D58" s="3" t="s">
        <v>8</v>
      </c>
      <c r="E58" s="3"/>
      <c r="F58" s="3"/>
      <c r="G58" s="3" t="n">
        <v>28</v>
      </c>
      <c r="H58" s="8" t="n">
        <v>26.4</v>
      </c>
      <c r="I58" s="3" t="n">
        <v>72</v>
      </c>
      <c r="J58" s="9" t="n">
        <f aca="false">H58*I58</f>
        <v>1900.8</v>
      </c>
      <c r="K58" s="3" t="s">
        <v>391</v>
      </c>
    </row>
    <row r="59" customFormat="false" ht="19.5" hidden="false" customHeight="false" outlineLevel="0" collapsed="false">
      <c r="A59" s="3" t="s">
        <v>15</v>
      </c>
      <c r="B59" s="3" t="s">
        <v>392</v>
      </c>
      <c r="C59" s="3" t="s">
        <v>393</v>
      </c>
      <c r="D59" s="3" t="s">
        <v>8</v>
      </c>
      <c r="E59" s="3"/>
      <c r="F59" s="3"/>
      <c r="G59" s="3" t="n">
        <v>50</v>
      </c>
      <c r="H59" s="8" t="n">
        <v>86.4</v>
      </c>
      <c r="I59" s="3" t="n">
        <v>16</v>
      </c>
      <c r="J59" s="9" t="n">
        <f aca="false">H59*I59</f>
        <v>1382.4</v>
      </c>
      <c r="K59" s="3" t="s">
        <v>394</v>
      </c>
    </row>
    <row r="60" customFormat="false" ht="19.5" hidden="false" customHeight="false" outlineLevel="0" collapsed="false">
      <c r="A60" s="3" t="s">
        <v>15</v>
      </c>
      <c r="B60" s="3" t="s">
        <v>392</v>
      </c>
      <c r="C60" s="3" t="s">
        <v>395</v>
      </c>
      <c r="D60" s="3" t="s">
        <v>8</v>
      </c>
      <c r="E60" s="3"/>
      <c r="F60" s="3"/>
      <c r="G60" s="3" t="n">
        <v>50</v>
      </c>
      <c r="H60" s="8" t="n">
        <v>125.6</v>
      </c>
      <c r="I60" s="3" t="n">
        <v>24</v>
      </c>
      <c r="J60" s="9" t="n">
        <f aca="false">H60*I60</f>
        <v>3014.4</v>
      </c>
      <c r="K60" s="3" t="s">
        <v>396</v>
      </c>
    </row>
    <row r="61" customFormat="false" ht="19.5" hidden="false" customHeight="false" outlineLevel="0" collapsed="false">
      <c r="A61" s="3" t="s">
        <v>15</v>
      </c>
      <c r="B61" s="3" t="s">
        <v>328</v>
      </c>
      <c r="C61" s="3" t="s">
        <v>397</v>
      </c>
      <c r="D61" s="3" t="s">
        <v>8</v>
      </c>
      <c r="E61" s="3"/>
      <c r="F61" s="3"/>
      <c r="G61" s="3" t="n">
        <v>10</v>
      </c>
      <c r="H61" s="8" t="n">
        <v>44.7</v>
      </c>
      <c r="I61" s="3" t="n">
        <v>444</v>
      </c>
      <c r="J61" s="9" t="n">
        <f aca="false">H61*I61</f>
        <v>19846.8</v>
      </c>
      <c r="K61" s="3" t="s">
        <v>398</v>
      </c>
    </row>
    <row r="62" customFormat="false" ht="19.5" hidden="false" customHeight="false" outlineLevel="0" collapsed="false">
      <c r="A62" s="3" t="s">
        <v>15</v>
      </c>
      <c r="B62" s="3" t="s">
        <v>328</v>
      </c>
      <c r="C62" s="3" t="s">
        <v>399</v>
      </c>
      <c r="D62" s="3" t="s">
        <v>8</v>
      </c>
      <c r="E62" s="3"/>
      <c r="F62" s="3"/>
      <c r="G62" s="3" t="n">
        <v>10</v>
      </c>
      <c r="H62" s="8" t="n">
        <v>34.5</v>
      </c>
      <c r="I62" s="3" t="n">
        <v>444</v>
      </c>
      <c r="J62" s="9" t="n">
        <f aca="false">H62*I62</f>
        <v>15318</v>
      </c>
      <c r="K62" s="3" t="s">
        <v>400</v>
      </c>
    </row>
    <row r="63" customFormat="false" ht="19.5" hidden="false" customHeight="false" outlineLevel="0" collapsed="false">
      <c r="A63" s="3" t="s">
        <v>15</v>
      </c>
      <c r="B63" s="3" t="s">
        <v>401</v>
      </c>
      <c r="C63" s="3" t="s">
        <v>402</v>
      </c>
      <c r="D63" s="3" t="s">
        <v>8</v>
      </c>
      <c r="E63" s="3"/>
      <c r="F63" s="3"/>
      <c r="G63" s="3" t="n">
        <v>6</v>
      </c>
      <c r="H63" s="8" t="n">
        <v>1.9</v>
      </c>
      <c r="I63" s="3" t="n">
        <v>2052</v>
      </c>
      <c r="J63" s="9" t="n">
        <f aca="false">H63*I63</f>
        <v>3898.8</v>
      </c>
      <c r="K63" s="3" t="s">
        <v>403</v>
      </c>
    </row>
    <row r="65" customFormat="false" ht="15" hidden="false" customHeight="false" outlineLevel="0" collapsed="false">
      <c r="A65" s="10" t="s">
        <v>179</v>
      </c>
    </row>
    <row r="66" customFormat="false" ht="15" hidden="false" customHeight="false" outlineLevel="0" collapsed="false">
      <c r="A66" s="2" t="s">
        <v>31</v>
      </c>
      <c r="B66" s="2" t="n">
        <v>4</v>
      </c>
      <c r="C66" s="2" t="n">
        <v>6</v>
      </c>
      <c r="D66" s="2" t="n">
        <v>8</v>
      </c>
      <c r="E66" s="2" t="n">
        <v>10</v>
      </c>
      <c r="F66" s="2" t="n">
        <v>12</v>
      </c>
      <c r="G66" s="2" t="n">
        <v>14</v>
      </c>
      <c r="H66" s="2" t="n">
        <v>16</v>
      </c>
      <c r="I66" s="2" t="n">
        <v>20</v>
      </c>
      <c r="J66" s="2" t="n">
        <v>24</v>
      </c>
      <c r="K66" s="2" t="n">
        <v>28</v>
      </c>
      <c r="L66" s="2" t="n">
        <v>32</v>
      </c>
      <c r="M66" s="2" t="n">
        <v>36</v>
      </c>
      <c r="N66" s="2" t="n">
        <v>40</v>
      </c>
      <c r="O66" s="2" t="n">
        <v>44</v>
      </c>
      <c r="P66" s="2" t="n">
        <v>48</v>
      </c>
      <c r="Q66" s="2" t="n">
        <v>50</v>
      </c>
      <c r="R66" s="2" t="n">
        <v>60</v>
      </c>
      <c r="S66" s="2" t="n">
        <v>80</v>
      </c>
      <c r="T66" s="2" t="n">
        <v>100</v>
      </c>
      <c r="U66" s="2" t="s">
        <v>10</v>
      </c>
    </row>
    <row r="67" customFormat="false" ht="15" hidden="false" customHeight="false" outlineLevel="0" collapsed="false">
      <c r="A67" s="3" t="s">
        <v>180</v>
      </c>
      <c r="B67" s="9" t="n">
        <f aca="false">SUMIFS($J$4:$J$63,$D$4:$D$63,$A67,$G$4:$G$63,B$66)</f>
        <v>0</v>
      </c>
      <c r="C67" s="9" t="n">
        <f aca="false">SUMIFS($J$4:$J$63,$D$4:$D$63,$A67,$G$4:$G$63,C$66)</f>
        <v>0</v>
      </c>
      <c r="D67" s="9" t="n">
        <f aca="false">SUMIFS($J$4:$J$63,$D$4:$D$63,$A67,$G$4:$G$63,D$66)</f>
        <v>0</v>
      </c>
      <c r="E67" s="9" t="n">
        <f aca="false">SUMIFS($J$4:$J$63,$D$4:$D$63,$A67,$G$4:$G$63,E$66)</f>
        <v>0</v>
      </c>
      <c r="F67" s="9" t="n">
        <f aca="false">SUMIFS($J$4:$J$63,$D$4:$D$63,$A67,$G$4:$G$63,F$66)</f>
        <v>0</v>
      </c>
      <c r="G67" s="9" t="n">
        <f aca="false">SUMIFS($J$4:$J$63,$D$4:$D$63,$A67,$G$4:$G$63,G$66)</f>
        <v>0</v>
      </c>
      <c r="H67" s="9" t="n">
        <f aca="false">SUMIFS($J$4:$J$63,$D$4:$D$63,$A67,$G$4:$G$63,H$66)</f>
        <v>0</v>
      </c>
      <c r="I67" s="9" t="n">
        <f aca="false">SUMIFS($J$4:$J$63,$D$4:$D$63,$A67,$G$4:$G$63,I$66)</f>
        <v>0</v>
      </c>
      <c r="J67" s="9" t="n">
        <f aca="false">SUMIFS($J$4:$J$63,$D$4:$D$63,$A67,$G$4:$G$63,J$66)</f>
        <v>0</v>
      </c>
      <c r="K67" s="9" t="n">
        <f aca="false">SUMIFS($J$4:$J$63,$D$4:$D$63,$A67,$G$4:$G$63,K$66)</f>
        <v>0</v>
      </c>
      <c r="L67" s="9" t="n">
        <f aca="false">SUMIFS($J$4:$J$63,$D$4:$D$63,$A67,$G$4:$G$63,L$66)</f>
        <v>0</v>
      </c>
      <c r="M67" s="9" t="n">
        <f aca="false">SUMIFS($J$4:$J$63,$D$4:$D$63,$A67,$G$4:$G$63,M$66)</f>
        <v>0</v>
      </c>
      <c r="N67" s="9" t="n">
        <f aca="false">SUMIFS($J$4:$J$63,$D$4:$D$63,$A67,$G$4:$G$63,N$66)</f>
        <v>0</v>
      </c>
      <c r="O67" s="9" t="n">
        <f aca="false">SUMIFS($J$4:$J$63,$D$4:$D$63,$A67,$G$4:$G$63,O$66)</f>
        <v>0</v>
      </c>
      <c r="P67" s="9" t="n">
        <f aca="false">SUMIFS($J$4:$J$63,$D$4:$D$63,$A67,$G$4:$G$63,P$66)</f>
        <v>0</v>
      </c>
      <c r="Q67" s="9" t="n">
        <f aca="false">SUMIFS($J$4:$J$63,$D$4:$D$63,$A67,$G$4:$G$63,Q$66)</f>
        <v>0</v>
      </c>
      <c r="R67" s="9" t="n">
        <f aca="false">SUMIFS($J$4:$J$63,$D$4:$D$63,$A67,$G$4:$G$63,R$66)</f>
        <v>0</v>
      </c>
      <c r="S67" s="9" t="n">
        <f aca="false">SUMIFS($J$4:$J$63,$D$4:$D$63,$A67,$G$4:$G$63,S$66)</f>
        <v>0</v>
      </c>
      <c r="T67" s="9" t="n">
        <f aca="false">SUMIFS($J$4:$J$63,$D$4:$D$63,$A67,$G$4:$G$63,T$66)</f>
        <v>0</v>
      </c>
      <c r="U67" s="0" t="n">
        <f aca="false">SUM(B67:T67)</f>
        <v>0</v>
      </c>
    </row>
    <row r="68" customFormat="false" ht="15" hidden="false" customHeight="false" outlineLevel="0" collapsed="false">
      <c r="A68" s="3" t="s">
        <v>8</v>
      </c>
      <c r="B68" s="9" t="n">
        <f aca="false">SUMIFS($J$4:$J$63,$D$4:$D$63,$A68,$G$4:$G$63,B$66)</f>
        <v>3898.8</v>
      </c>
      <c r="C68" s="9" t="n">
        <f aca="false">SUMIFS($J$4:$J$63,$D$4:$D$63,$A68,$G$4:$G$63,C$66)</f>
        <v>3898.8</v>
      </c>
      <c r="D68" s="9" t="n">
        <f aca="false">SUMIFS($J$4:$J$63,$D$4:$D$63,$A68,$G$4:$G$63,D$66)</f>
        <v>823554</v>
      </c>
      <c r="E68" s="9" t="n">
        <f aca="false">SUMIFS($J$4:$J$63,$D$4:$D$63,$A68,$G$4:$G$63,E$66)</f>
        <v>75292.8</v>
      </c>
      <c r="F68" s="9" t="n">
        <f aca="false">SUMIFS($J$4:$J$63,$D$4:$D$63,$A68,$G$4:$G$63,F$66)</f>
        <v>293461</v>
      </c>
      <c r="G68" s="9" t="n">
        <f aca="false">SUMIFS($J$4:$J$63,$D$4:$D$63,$A68,$G$4:$G$63,G$66)</f>
        <v>2842036.2</v>
      </c>
      <c r="H68" s="9" t="n">
        <f aca="false">SUMIFS($J$4:$J$63,$D$4:$D$63,$A68,$G$4:$G$63,H$66)</f>
        <v>6880.8</v>
      </c>
      <c r="I68" s="9" t="n">
        <f aca="false">SUMIFS($J$4:$J$63,$D$4:$D$63,$A68,$G$4:$G$63,I$66)</f>
        <v>500591.6</v>
      </c>
      <c r="J68" s="9" t="n">
        <f aca="false">SUMIFS($J$4:$J$63,$D$4:$D$63,$A68,$G$4:$G$63,J$66)</f>
        <v>1041874.4</v>
      </c>
      <c r="K68" s="9" t="n">
        <f aca="false">SUMIFS($J$4:$J$63,$D$4:$D$63,$A68,$G$4:$G$63,K$66)</f>
        <v>16076.8</v>
      </c>
      <c r="L68" s="9" t="n">
        <f aca="false">SUMIFS($J$4:$J$63,$D$4:$D$63,$A68,$G$4:$G$63,L$66)</f>
        <v>0</v>
      </c>
      <c r="M68" s="9" t="n">
        <f aca="false">SUMIFS($J$4:$J$63,$D$4:$D$63,$A68,$G$4:$G$63,M$66)</f>
        <v>0</v>
      </c>
      <c r="N68" s="9" t="n">
        <f aca="false">SUMIFS($J$4:$J$63,$D$4:$D$63,$A68,$G$4:$G$63,N$66)</f>
        <v>0</v>
      </c>
      <c r="O68" s="9" t="n">
        <f aca="false">SUMIFS($J$4:$J$63,$D$4:$D$63,$A68,$G$4:$G$63,O$66)</f>
        <v>9560.8</v>
      </c>
      <c r="P68" s="9" t="n">
        <f aca="false">SUMIFS($J$4:$J$63,$D$4:$D$63,$A68,$G$4:$G$63,P$66)</f>
        <v>0</v>
      </c>
      <c r="Q68" s="9" t="n">
        <f aca="false">SUMIFS($J$4:$J$63,$D$4:$D$63,$A68,$G$4:$G$63,Q$66)</f>
        <v>4396.8</v>
      </c>
      <c r="R68" s="9" t="n">
        <f aca="false">SUMIFS($J$4:$J$63,$D$4:$D$63,$A68,$G$4:$G$63,R$66)</f>
        <v>9646.4</v>
      </c>
      <c r="S68" s="9" t="n">
        <f aca="false">SUMIFS($J$4:$J$63,$D$4:$D$63,$A68,$G$4:$G$63,S$66)</f>
        <v>0</v>
      </c>
      <c r="T68" s="9" t="n">
        <f aca="false">SUMIFS($J$4:$J$63,$D$4:$D$63,$A68,$G$4:$G$63,T$66)</f>
        <v>0</v>
      </c>
      <c r="U68" s="0" t="n">
        <f aca="false">SUM(B68:T68)</f>
        <v>5631169.2</v>
      </c>
    </row>
    <row r="69" customFormat="false" ht="15" hidden="false" customHeight="false" outlineLevel="0" collapsed="false">
      <c r="A69" s="3" t="s">
        <v>9</v>
      </c>
      <c r="B69" s="9" t="n">
        <f aca="false">SUMIFS($J$4:$J$63,$D$4:$D$63,$A69,$G$4:$G$63,B$66)</f>
        <v>0</v>
      </c>
      <c r="C69" s="9" t="n">
        <f aca="false">SUMIFS($J$4:$J$63,$D$4:$D$63,$A69,$G$4:$G$63,C$66)</f>
        <v>0</v>
      </c>
      <c r="D69" s="9" t="n">
        <f aca="false">SUMIFS($J$4:$J$63,$D$4:$D$63,$A69,$G$4:$G$63,D$66)</f>
        <v>0</v>
      </c>
      <c r="E69" s="9" t="n">
        <f aca="false">SUMIFS($J$4:$J$63,$D$4:$D$63,$A69,$G$4:$G$63,E$66)</f>
        <v>0</v>
      </c>
      <c r="F69" s="9" t="n">
        <f aca="false">SUMIFS($J$4:$J$63,$D$4:$D$63,$A69,$G$4:$G$63,F$66)</f>
        <v>0</v>
      </c>
      <c r="G69" s="9" t="n">
        <f aca="false">SUMIFS($J$4:$J$63,$D$4:$D$63,$A69,$G$4:$G$63,G$66)</f>
        <v>0</v>
      </c>
      <c r="H69" s="9" t="n">
        <f aca="false">SUMIFS($J$4:$J$63,$D$4:$D$63,$A69,$G$4:$G$63,H$66)</f>
        <v>0</v>
      </c>
      <c r="I69" s="9" t="n">
        <f aca="false">SUMIFS($J$4:$J$63,$D$4:$D$63,$A69,$G$4:$G$63,I$66)</f>
        <v>0</v>
      </c>
      <c r="J69" s="9" t="n">
        <f aca="false">SUMIFS($J$4:$J$63,$D$4:$D$63,$A69,$G$4:$G$63,J$66)</f>
        <v>0</v>
      </c>
      <c r="K69" s="9" t="n">
        <f aca="false">SUMIFS($J$4:$J$63,$D$4:$D$63,$A69,$G$4:$G$63,K$66)</f>
        <v>0</v>
      </c>
      <c r="L69" s="9" t="n">
        <f aca="false">SUMIFS($J$4:$J$63,$D$4:$D$63,$A69,$G$4:$G$63,L$66)</f>
        <v>0</v>
      </c>
      <c r="M69" s="9" t="n">
        <f aca="false">SUMIFS($J$4:$J$63,$D$4:$D$63,$A69,$G$4:$G$63,M$66)</f>
        <v>0</v>
      </c>
      <c r="N69" s="9" t="n">
        <f aca="false">SUMIFS($J$4:$J$63,$D$4:$D$63,$A69,$G$4:$G$63,N$66)</f>
        <v>0</v>
      </c>
      <c r="O69" s="9" t="n">
        <f aca="false">SUMIFS($J$4:$J$63,$D$4:$D$63,$A69,$G$4:$G$63,O$66)</f>
        <v>0</v>
      </c>
      <c r="P69" s="9" t="n">
        <f aca="false">SUMIFS($J$4:$J$63,$D$4:$D$63,$A69,$G$4:$G$63,P$66)</f>
        <v>0</v>
      </c>
      <c r="Q69" s="9" t="n">
        <f aca="false">SUMIFS($J$4:$J$63,$D$4:$D$63,$A69,$G$4:$G$63,Q$66)</f>
        <v>0</v>
      </c>
      <c r="R69" s="9" t="n">
        <f aca="false">SUMIFS($J$4:$J$63,$D$4:$D$63,$A69,$G$4:$G$63,R$66)</f>
        <v>0</v>
      </c>
      <c r="S69" s="9" t="n">
        <f aca="false">SUMIFS($J$4:$J$63,$D$4:$D$63,$A69,$G$4:$G$63,S$66)</f>
        <v>0</v>
      </c>
      <c r="T69" s="9" t="n">
        <f aca="false">SUMIFS($J$4:$J$63,$D$4:$D$63,$A69,$G$4:$G$63,T$66)</f>
        <v>0</v>
      </c>
      <c r="U69" s="0" t="n">
        <f aca="false">SUM(B69:T69)</f>
        <v>0</v>
      </c>
    </row>
    <row r="70" customFormat="false" ht="15" hidden="false" customHeight="false" outlineLevel="0" collapsed="false">
      <c r="A70" s="2" t="s">
        <v>10</v>
      </c>
      <c r="B70" s="11" t="n">
        <f aca="false">SUM(B67:B69)</f>
        <v>3898.8</v>
      </c>
      <c r="C70" s="11" t="n">
        <f aca="false">SUM(C67:C69)</f>
        <v>3898.8</v>
      </c>
      <c r="D70" s="11" t="n">
        <f aca="false">SUM(D67:D69)</f>
        <v>823554</v>
      </c>
      <c r="E70" s="11" t="n">
        <f aca="false">SUM(E67:E69)</f>
        <v>75292.8</v>
      </c>
      <c r="F70" s="11" t="n">
        <f aca="false">SUM(F67:F69)</f>
        <v>293461</v>
      </c>
      <c r="G70" s="11" t="n">
        <f aca="false">SUM(G67:G69)</f>
        <v>2842036.2</v>
      </c>
      <c r="H70" s="11" t="n">
        <f aca="false">SUM(H67:H69)</f>
        <v>6880.8</v>
      </c>
      <c r="I70" s="11" t="n">
        <f aca="false">SUM(I67:I69)</f>
        <v>500591.6</v>
      </c>
      <c r="J70" s="11" t="n">
        <f aca="false">SUM(J67:J69)</f>
        <v>1041874.4</v>
      </c>
      <c r="K70" s="11" t="n">
        <f aca="false">SUM(K67:K69)</f>
        <v>16076.8</v>
      </c>
      <c r="L70" s="11" t="n">
        <f aca="false">SUM(L67:L69)</f>
        <v>0</v>
      </c>
      <c r="M70" s="11" t="n">
        <f aca="false">SUM(M67:M69)</f>
        <v>0</v>
      </c>
      <c r="N70" s="11" t="n">
        <f aca="false">SUM(N67:N69)</f>
        <v>0</v>
      </c>
      <c r="O70" s="11" t="n">
        <f aca="false">SUM(O67:O69)</f>
        <v>9560.8</v>
      </c>
      <c r="P70" s="11" t="n">
        <f aca="false">SUM(P67:P69)</f>
        <v>0</v>
      </c>
      <c r="Q70" s="11" t="n">
        <f aca="false">SUM(Q67:Q69)</f>
        <v>4396.8</v>
      </c>
      <c r="R70" s="11" t="n">
        <f aca="false">SUM(R67:R69)</f>
        <v>9646.4</v>
      </c>
      <c r="S70" s="11" t="n">
        <f aca="false">SUM(S67:S69)</f>
        <v>0</v>
      </c>
      <c r="T70" s="11" t="n">
        <f aca="false">SUM(T67:T69)</f>
        <v>0</v>
      </c>
      <c r="U70" s="11" t="n">
        <f aca="false">SUM(U67:U69)</f>
        <v>5631169.2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6" min="5" style="0" width="9"/>
    <col collapsed="false" customWidth="true" hidden="false" outlineLevel="0" max="8" min="7" style="0" width="8"/>
    <col collapsed="false" customWidth="true" hidden="false" outlineLevel="0" max="9" min="9" style="0" width="11"/>
    <col collapsed="false" customWidth="true" hidden="false" outlineLevel="0" max="10" min="10" style="0" width="9"/>
    <col collapsed="false" customWidth="true" hidden="false" outlineLevel="0" max="11" min="11" style="0" width="12"/>
  </cols>
  <sheetData>
    <row r="1" customFormat="false" ht="15" hidden="false" customHeight="true" outlineLevel="0" collapsed="false">
      <c r="A1" s="7" t="s">
        <v>404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customFormat="false" ht="15" hidden="false" customHeight="false" outlineLevel="0" collapsed="false">
      <c r="A2" s="2" t="s">
        <v>405</v>
      </c>
      <c r="B2" s="2" t="s">
        <v>29</v>
      </c>
      <c r="C2" s="2" t="s">
        <v>406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36</v>
      </c>
      <c r="I2" s="2" t="s">
        <v>35</v>
      </c>
      <c r="J2" s="2" t="s">
        <v>407</v>
      </c>
      <c r="K2" s="2" t="s">
        <v>37</v>
      </c>
    </row>
    <row r="3" customFormat="false" ht="15" hidden="false" customHeight="true" outlineLevel="0" collapsed="false">
      <c r="A3" s="12" t="s">
        <v>408</v>
      </c>
      <c r="B3" s="12"/>
      <c r="C3" s="12"/>
      <c r="D3" s="12"/>
      <c r="E3" s="12"/>
      <c r="F3" s="12"/>
      <c r="G3" s="12"/>
      <c r="H3" s="12"/>
      <c r="I3" s="12"/>
      <c r="J3" s="12"/>
      <c r="K3" s="12"/>
    </row>
  </sheetData>
  <mergeCells count="2">
    <mergeCell ref="A1:K1"/>
    <mergeCell ref="A3:K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6" min="4" style="0" width="9"/>
    <col collapsed="false" customWidth="true" hidden="false" outlineLevel="0" max="8" min="7" style="0" width="8"/>
    <col collapsed="false" customWidth="true" hidden="false" outlineLevel="0" max="9" min="9" style="0" width="12"/>
    <col collapsed="false" customWidth="true" hidden="false" outlineLevel="0" max="10" min="10" style="0" width="9"/>
    <col collapsed="false" customWidth="true" hidden="false" outlineLevel="0" max="11" min="11" style="0" width="12"/>
  </cols>
  <sheetData>
    <row r="1" customFormat="false" ht="15" hidden="false" customHeight="true" outlineLevel="0" collapsed="false">
      <c r="A1" s="7" t="s">
        <v>409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customFormat="false" ht="15" hidden="false" customHeight="false" outlineLevel="0" collapsed="false">
      <c r="A2" s="2" t="s">
        <v>405</v>
      </c>
      <c r="B2" s="2" t="s">
        <v>29</v>
      </c>
      <c r="C2" s="2" t="s">
        <v>406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36</v>
      </c>
      <c r="I2" s="2" t="s">
        <v>35</v>
      </c>
      <c r="J2" s="2" t="s">
        <v>407</v>
      </c>
      <c r="K2" s="2" t="s">
        <v>37</v>
      </c>
    </row>
    <row r="3" customFormat="false" ht="15" hidden="false" customHeight="false" outlineLevel="0" collapsed="false">
      <c r="A3" s="3" t="s">
        <v>410</v>
      </c>
      <c r="B3" s="3" t="s">
        <v>411</v>
      </c>
      <c r="C3" s="3" t="s">
        <v>15</v>
      </c>
      <c r="D3" s="3" t="s">
        <v>412</v>
      </c>
      <c r="E3" s="3"/>
      <c r="F3" s="3"/>
      <c r="G3" s="3"/>
      <c r="H3" s="3" t="n">
        <v>1</v>
      </c>
      <c r="I3" s="9" t="n">
        <v>780.6</v>
      </c>
      <c r="J3" s="3" t="n">
        <v>1</v>
      </c>
      <c r="K3" s="9" t="n">
        <f aca="false">I3*J3</f>
        <v>780.6</v>
      </c>
    </row>
    <row r="4" customFormat="false" ht="15" hidden="false" customHeight="false" outlineLevel="0" collapsed="false">
      <c r="A4" s="3" t="s">
        <v>413</v>
      </c>
      <c r="B4" s="3" t="s">
        <v>414</v>
      </c>
      <c r="C4" s="3" t="s">
        <v>14</v>
      </c>
      <c r="D4" s="3" t="s">
        <v>412</v>
      </c>
      <c r="E4" s="3"/>
      <c r="F4" s="3"/>
      <c r="G4" s="3"/>
      <c r="H4" s="3" t="n">
        <v>1</v>
      </c>
      <c r="I4" s="9" t="n">
        <v>632</v>
      </c>
      <c r="J4" s="3" t="n">
        <v>1</v>
      </c>
      <c r="K4" s="9" t="n">
        <f aca="false">I4*J4</f>
        <v>632</v>
      </c>
    </row>
    <row r="5" customFormat="false" ht="15" hidden="false" customHeight="false" outlineLevel="0" collapsed="false">
      <c r="A5" s="3" t="s">
        <v>413</v>
      </c>
      <c r="B5" s="3" t="s">
        <v>415</v>
      </c>
      <c r="C5" s="3" t="s">
        <v>14</v>
      </c>
      <c r="D5" s="3" t="s">
        <v>412</v>
      </c>
      <c r="E5" s="3"/>
      <c r="F5" s="3"/>
      <c r="G5" s="3"/>
      <c r="H5" s="3" t="n">
        <v>1</v>
      </c>
      <c r="I5" s="9" t="n">
        <v>782.3</v>
      </c>
      <c r="J5" s="3" t="n">
        <v>1</v>
      </c>
      <c r="K5" s="9" t="n">
        <f aca="false">I5*J5</f>
        <v>782.3</v>
      </c>
    </row>
    <row r="6" customFormat="false" ht="15" hidden="false" customHeight="false" outlineLevel="0" collapsed="false">
      <c r="A6" s="3" t="s">
        <v>413</v>
      </c>
      <c r="B6" s="3" t="s">
        <v>416</v>
      </c>
      <c r="C6" s="3" t="s">
        <v>14</v>
      </c>
      <c r="D6" s="3" t="s">
        <v>412</v>
      </c>
      <c r="E6" s="3"/>
      <c r="F6" s="3"/>
      <c r="G6" s="3"/>
      <c r="H6" s="3" t="n">
        <v>1</v>
      </c>
      <c r="I6" s="9" t="n">
        <v>607.9</v>
      </c>
      <c r="J6" s="3" t="n">
        <v>1</v>
      </c>
      <c r="K6" s="9" t="n">
        <f aca="false">I6*J6</f>
        <v>607.9</v>
      </c>
    </row>
    <row r="7" customFormat="false" ht="15" hidden="false" customHeight="false" outlineLevel="0" collapsed="false">
      <c r="A7" s="3" t="s">
        <v>417</v>
      </c>
      <c r="B7" s="3" t="s">
        <v>418</v>
      </c>
      <c r="C7" s="3" t="s">
        <v>419</v>
      </c>
      <c r="D7" s="3" t="s">
        <v>180</v>
      </c>
      <c r="E7" s="3"/>
      <c r="F7" s="3"/>
      <c r="G7" s="3"/>
      <c r="H7" s="3" t="n">
        <v>1</v>
      </c>
      <c r="I7" s="9" t="n">
        <v>65513.5</v>
      </c>
      <c r="J7" s="3" t="n">
        <v>1</v>
      </c>
      <c r="K7" s="9" t="n">
        <f aca="false">I7*J7</f>
        <v>65513.5</v>
      </c>
    </row>
    <row r="8" customFormat="false" ht="15" hidden="false" customHeight="false" outlineLevel="0" collapsed="false">
      <c r="A8" s="3" t="s">
        <v>420</v>
      </c>
      <c r="B8" s="3" t="s">
        <v>421</v>
      </c>
      <c r="C8" s="3" t="s">
        <v>422</v>
      </c>
      <c r="D8" s="3" t="s">
        <v>423</v>
      </c>
      <c r="E8" s="3"/>
      <c r="F8" s="3"/>
      <c r="G8" s="3"/>
      <c r="H8" s="3" t="n">
        <v>1</v>
      </c>
      <c r="I8" s="9" t="n">
        <v>95.1</v>
      </c>
      <c r="J8" s="3" t="n">
        <v>1</v>
      </c>
      <c r="K8" s="9" t="n">
        <f aca="false">I8*J8</f>
        <v>95.1</v>
      </c>
    </row>
    <row r="9" customFormat="false" ht="15" hidden="false" customHeight="true" outlineLevel="0" collapsed="false">
      <c r="A9" s="2" t="s">
        <v>10</v>
      </c>
      <c r="B9" s="2"/>
      <c r="C9" s="2"/>
      <c r="D9" s="2"/>
      <c r="E9" s="2"/>
      <c r="F9" s="2"/>
      <c r="G9" s="2"/>
      <c r="H9" s="2"/>
      <c r="I9" s="2"/>
      <c r="J9" s="2"/>
      <c r="K9" s="11" t="n">
        <f aca="false">SUM(K3:K8)</f>
        <v>68411.4</v>
      </c>
    </row>
    <row r="11" customFormat="false" ht="15" hidden="false" customHeight="false" outlineLevel="0" collapsed="false">
      <c r="A11" s="13" t="s">
        <v>424</v>
      </c>
    </row>
  </sheetData>
  <mergeCells count="2">
    <mergeCell ref="A1:K1"/>
    <mergeCell ref="A9:J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2026-10-19T07:40:02Z</dcterms:created>
  <dc:creator>openpyxl</dc:creator>
  <dc:description/>
  <dc:language>en-US</dc:language>
  <cp:lastModifiedBy/>
  <dcterms:modified xsi:type="dcterms:W3CDTF">2026-10-19T07:40:03Z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