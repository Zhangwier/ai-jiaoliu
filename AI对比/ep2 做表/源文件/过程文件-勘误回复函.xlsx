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MG\program\AI对比\ep1 识图\任务3源文件\"/>
    </mc:Choice>
  </mc:AlternateContent>
  <bookViews>
    <workbookView windowWidth="21600" windowHeight="10267"/>
  </bookViews>
  <sheets>
    <sheet name="TJ4标联系函勘误后" sheetId="13" r:id="rId1"/>
    <sheet name="WpsReserved_CellImgList" sheetId="11" state="hidden" r:id="rId2"/>
  </sheets>
  <externalReferences>
    <externalReference r:id="rId5"/>
    <externalReference r:id="rId6"/>
    <externalReference r:id="rId7"/>
    <externalReference r:id="rId8"/>
    <externalReference r:id="rId9"/>
    <externalReference r:id="rId10"/>
    <externalReference r:id="rId11"/>
  </externalReferences>
  <definedNames>
    <definedName name="___________PK1">#REF!</definedName>
    <definedName name="___________PH1">#REF!</definedName>
    <definedName name="___________PE8">#REF!</definedName>
    <definedName name="___________PE7">#REF!</definedName>
    <definedName name="__________PE6">#REF!</definedName>
    <definedName name="___________PE12">#REF!</definedName>
    <definedName name="___________PA8">#REF!</definedName>
    <definedName name="__________PK1">#REF!</definedName>
    <definedName name="__________PH1">#REF!</definedName>
    <definedName name="__________PE7">#REF!</definedName>
    <definedName name="__________PE13">#REF!</definedName>
    <definedName name="__________PE12">#REF!</definedName>
    <definedName name="__________PA8">#REF!</definedName>
    <definedName name="__________PA7">#REF!</definedName>
    <definedName name="_________PK3">#REF!</definedName>
    <definedName name="_________PK1">#REF!</definedName>
    <definedName name="_________PH1">#REF!</definedName>
    <definedName name="_________PE12">#REF!</definedName>
    <definedName name="________PK3">#REF!</definedName>
    <definedName name="________PH1">#REF!</definedName>
    <definedName name="________PE9">#REF!</definedName>
    <definedName name="_________PA8">#REF!</definedName>
    <definedName name="________PE8">#REF!</definedName>
    <definedName name="___________PA7">#REF!</definedName>
    <definedName name="________PE7">#REF!</definedName>
    <definedName name="_________PA7">#REF!</definedName>
    <definedName name="________PE13">#REF!</definedName>
    <definedName name="________PE12">#REF!</definedName>
    <definedName name="_________PD1">#REF!</definedName>
    <definedName name="________PD1">#REF!</definedName>
    <definedName name="________PA7">#REF!</definedName>
    <definedName name="_______PK1">#REF!</definedName>
    <definedName name="_______PH1">#REF!</definedName>
    <definedName name="_______PE9">#REF!</definedName>
    <definedName name="__________PD1">#REF!</definedName>
    <definedName name="_______PE7">#REF!</definedName>
    <definedName name="_______PE12">#REF!</definedName>
    <definedName name="__________PI1">#REF!</definedName>
    <definedName name="______PE7">#REF!</definedName>
    <definedName name="_____PE6">#REF!</definedName>
    <definedName name="______PE13">#REF!</definedName>
    <definedName name="______PD1">#REF!</definedName>
    <definedName name="_____PK1">#REF!</definedName>
    <definedName name="_____PI1">#REF!</definedName>
    <definedName name="_____PH1">#REF!</definedName>
    <definedName name="_____PE9">#REF!</definedName>
    <definedName name="___________PK3">#REF!</definedName>
    <definedName name="_______PE13">#REF!</definedName>
    <definedName name="_____PE8">#REF!</definedName>
    <definedName name="____PE6">#REF!</definedName>
    <definedName name="s_c_list">[5]Toolbox!$A$7:$H$969</definedName>
    <definedName name="_______PA7">#REF!</definedName>
    <definedName name="toolbox">[7]Toolbox!$C$5:$T$1578</definedName>
    <definedName name="____PK1">#REF!</definedName>
    <definedName name="_________PE6">#REF!</definedName>
    <definedName name="subsfee">'[2]Financ. Overview'!$H$14</definedName>
    <definedName name="概预对比分析">概预对比分析</definedName>
    <definedName name="概算拆分表">概算拆分表</definedName>
    <definedName name="solar_ratio">'[6]POWER ASSUMPTIONS'!$H$7</definedName>
    <definedName name="HWSheet">1</definedName>
    <definedName name="ss7fee">'[2]Financ. Overview'!$H$18</definedName>
    <definedName name="sdlfee">'[2]Financ. Overview'!$H$13</definedName>
    <definedName name="__PE13">#REF!</definedName>
    <definedName name="__PI1">#REF!</definedName>
    <definedName name="Prix_SMC">Prix_SMC</definedName>
    <definedName name="_______PA8">#REF!</definedName>
    <definedName name="______PE9">#REF!</definedName>
    <definedName name="OS">[4]Open!#REF!</definedName>
    <definedName name="______PA7">#REF!</definedName>
    <definedName name="_PH1">#REF!</definedName>
    <definedName name="______PH1">#REF!</definedName>
    <definedName name="____PI1">#REF!</definedName>
    <definedName name="___PD1">#REF!</definedName>
    <definedName name="_PE6">#REF!</definedName>
    <definedName name="___PH1">#REF!</definedName>
    <definedName name="______PE8">#REF!</definedName>
    <definedName name="_PE7">#REF!</definedName>
    <definedName name="V5.1Fee">'[2]Financ. Overview'!$H$15</definedName>
    <definedName name="hvac">#REF!</definedName>
    <definedName name="hostfee">'[2]Financ. Overview'!$H$12</definedName>
    <definedName name="____PK3">#REF!</definedName>
    <definedName name="SCG">#REF!</definedName>
    <definedName name="__________PK3">#REF!</definedName>
    <definedName name="_________PE7">#REF!</definedName>
    <definedName name="________PK1">#REF!</definedName>
    <definedName name="_______PE8">#REF!</definedName>
    <definedName name="_____PK3">#REF!</definedName>
    <definedName name="_PI1">#REF!</definedName>
    <definedName name="__________PE8">#REF!</definedName>
    <definedName name="______PI1">#REF!</definedName>
    <definedName name="_PE8">#REF!</definedName>
    <definedName name="Z32_Cost_red">#REF!</definedName>
    <definedName name="_Fill" hidden="1">[1]eqpmad2!#REF!</definedName>
    <definedName name="_______PE6">#REF!</definedName>
    <definedName name="__PA7">#REF!</definedName>
    <definedName name="___________PI1">#REF!</definedName>
    <definedName name="_________PE9">#REF!</definedName>
    <definedName name="hraiu_bottom">#REF!</definedName>
    <definedName name="___________PE13">#REF!</definedName>
    <definedName name="____PA7">#REF!</definedName>
    <definedName name="______PE12">#REF!</definedName>
    <definedName name="FRC">[3]Main!$C$9</definedName>
    <definedName name="____PE12">#REF!</definedName>
    <definedName name="_PE13">#REF!</definedName>
    <definedName name="_PE12">#REF!</definedName>
    <definedName name="pr_toolbox">[2]Toolbox!$A$3:$I$80</definedName>
    <definedName name="_PK3">#REF!</definedName>
    <definedName name="________PI1">#REF!</definedName>
    <definedName name="_____PE13">#REF!</definedName>
    <definedName name="__PE9">#REF!</definedName>
    <definedName name="aiu_bottom">#REF!</definedName>
    <definedName name="_________PI1">#REF!</definedName>
    <definedName name="_______PD1">#REF!</definedName>
    <definedName name="___PE8">#REF!</definedName>
    <definedName name="___________PD1">#REF!</definedName>
    <definedName name="______PE6">#REF!</definedName>
    <definedName name="__PE8">#REF!</definedName>
    <definedName name="__________PE9">#REF!</definedName>
    <definedName name="____PH1">#REF!</definedName>
    <definedName name="_PD1">#REF!</definedName>
    <definedName name="________________PE6">#REF!</definedName>
    <definedName name="_______PI1">#REF!</definedName>
    <definedName name="____PD1">#REF!</definedName>
    <definedName name="_PK1">#REF!</definedName>
    <definedName name="___PI1">#REF!</definedName>
    <definedName name="____PE13">#REF!</definedName>
    <definedName name="___PE7">#REF!</definedName>
    <definedName name="______PA8">#REF!</definedName>
    <definedName name="____PE7">#REF!</definedName>
    <definedName name="____PA8">#REF!</definedName>
    <definedName name="____PE8">#REF!</definedName>
    <definedName name="___________PE9">#REF!</definedName>
    <definedName name="____PE9">#REF!</definedName>
    <definedName name="_______PK3">#REF!</definedName>
    <definedName name="___PA8">#REF!</definedName>
    <definedName name="___PE13">#REF!</definedName>
    <definedName name="________PE6">#REF!</definedName>
    <definedName name="___PA7">#REF!</definedName>
    <definedName name="___PE12">#REF!</definedName>
    <definedName name="______PK1">#REF!</definedName>
    <definedName name="_PA7">#REF!</definedName>
    <definedName name="___PE6">#REF!</definedName>
    <definedName name="___PK1">#REF!</definedName>
    <definedName name="_____PE7">#REF!</definedName>
    <definedName name="Module.Prix_SMC">Module.Prix_SMC</definedName>
    <definedName name="___PK3">#REF!</definedName>
    <definedName name="__PA8">#REF!</definedName>
    <definedName name="_PE9">#REF!</definedName>
    <definedName name="__PD1">#REF!</definedName>
    <definedName name="______PK3">#REF!</definedName>
    <definedName name="__PE12">#REF!</definedName>
    <definedName name="________PA8">#REF!</definedName>
    <definedName name="___PE9">#REF!</definedName>
    <definedName name="__PE6">#REF!</definedName>
    <definedName name="__PE7">#REF!</definedName>
    <definedName name="__PH1">#REF!</definedName>
    <definedName name="__PK1">#REF!</definedName>
    <definedName name="__PK3">#REF!</definedName>
    <definedName name="_PA8">#REF!</definedName>
    <definedName name="_____PA7">#REF!</definedName>
    <definedName name="_________PE13">#REF!</definedName>
    <definedName name="_____PA8">#REF!</definedName>
    <definedName name="_________PE8">#REF!</definedName>
    <definedName name="_____PD1">#REF!</definedName>
    <definedName name="_____PE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<sst xmlns="http://schemas.openxmlformats.org/spreadsheetml/2006/main" count="1058" uniqueCount="491">
  <si>
    <t>梅州平远至福建武平高速公路项目联系函TJ4标</t>
  </si>
  <si>
    <t>序号</t>
  </si>
  <si>
    <t>项目名称</t>
  </si>
  <si>
    <t>路基、桥梁名称</t>
  </si>
  <si>
    <t>图号</t>
  </si>
  <si>
    <t>页码</t>
  </si>
  <si>
    <t>问题说明</t>
  </si>
  <si>
    <t>咨询需求</t>
  </si>
  <si>
    <t>审核人员</t>
  </si>
  <si>
    <t>备注</t>
  </si>
  <si>
    <t>设计回复时间</t>
  </si>
  <si>
    <t>设计回复确认</t>
  </si>
  <si>
    <t>40m连续梁T梁预应力钢束定位钢筋构造</t>
  </si>
  <si>
    <t>桥梁通用图</t>
  </si>
  <si>
    <t>GW-STYT-2-06</t>
  </si>
  <si>
    <t>13*400=5200≠7200</t>
  </si>
  <si>
    <t>请设计核查长度及间距个数</t>
  </si>
  <si>
    <t>应为18*400=7200</t>
  </si>
  <si>
    <t>22、23</t>
  </si>
  <si>
    <t>中跨没有加密区，边跨和中跨的网片数量相同是否有问题</t>
  </si>
  <si>
    <t>请设计核查中跨网片数量</t>
  </si>
  <si>
    <t>经核查，边跨网片数为：3、10、15、30；中跨网片数：3、8、14、24</t>
  </si>
  <si>
    <t>40m连续梁T梁墩顶现浇段负弯矩齿板普通钢筋构造</t>
  </si>
  <si>
    <t>GW-STYT-2-04、08</t>
  </si>
  <si>
    <t>19、25~27</t>
  </si>
  <si>
    <t>负弯矩处的齿板混凝土是否已计入预制T梁部分</t>
  </si>
  <si>
    <t>请核查负弯矩处的齿板混凝土是否已计入预制T梁部分</t>
  </si>
  <si>
    <t>经核查，已计入齿板混凝土已计入预制T梁中</t>
  </si>
  <si>
    <t>40m连续梁T梁翼板普通钢筋构造</t>
  </si>
  <si>
    <t>GW-STYT-2-10、18</t>
  </si>
  <si>
    <t>32、48</t>
  </si>
  <si>
    <t>翼板普通构造钢筋：现浇1’号钢筋布置在现浇连续断的顶部，是否与墩顶现浇连续断的4号钢筋重复</t>
  </si>
  <si>
    <t>请核查是否冲突，都是布置在现浇段顶端，横向通长，数量一致</t>
  </si>
  <si>
    <t>不重复，分别为不同的钢筋</t>
  </si>
  <si>
    <t>GW-STYT-2-10</t>
  </si>
  <si>
    <t>现浇部分的定位钢筋6号未明确横向间距</t>
  </si>
  <si>
    <t>请设计核查补充</t>
  </si>
  <si>
    <t>N6现浇位置布置4根，修改图面补充</t>
  </si>
  <si>
    <t>T梁翼板，截面Ⅰ-Ⅰ的湿接缝标注长度有误</t>
  </si>
  <si>
    <t>请设计核查修改</t>
  </si>
  <si>
    <t>笔误，以Ⅱ-Ⅱ断面中的6*108为准</t>
  </si>
  <si>
    <t>40m连续梁T梁边跨梁端封锚钢筋构造</t>
  </si>
  <si>
    <t>GW-STYT-2-12</t>
  </si>
  <si>
    <t>锚钢筋1号，依据图纸，数量应该为（8+1）*2=18根，数量表为20根</t>
  </si>
  <si>
    <t>请设计核查是否有误</t>
  </si>
  <si>
    <t>复核正确，应为18根</t>
  </si>
  <si>
    <t>40m连续梁T梁伸缩缝端梁端锚下钢筋构造</t>
  </si>
  <si>
    <t>GW-STYT-2-13</t>
  </si>
  <si>
    <t>T梁锚下加强筋（80型伸缩缝端），2号钢筋依据图示根数应该为2*4=8根，图纸为6根</t>
  </si>
  <si>
    <t>请设计核查图纸2号钢筋示意是否有误</t>
  </si>
  <si>
    <t>前面的是N5,6根无误</t>
  </si>
  <si>
    <t>40m连续梁T梁端横隔梁钢筋构造</t>
  </si>
  <si>
    <t>GW-STYT-2-15</t>
  </si>
  <si>
    <t>T梁端横隔梁（80型伸缩缝端），预制部分5号、现浇部分4、5号钢筋，依据图纸计算根数分别为7*(6*3+3*2)=168、4*6=24、3*7*4=84，而数量表为224、36、140</t>
  </si>
  <si>
    <t>请设计核查钢筋间距示意是否有误,比如图纸标注写着8*95，而图纸示意那里只画了5格</t>
  </si>
  <si>
    <t>现浇位置不是据实绘图，应按标注示意看图，理解图纸。预制部分N5根数：7*2*3*4=168；现浇部分N4根数为：4*9=36；N5根数为：7*5*4=140。</t>
  </si>
  <si>
    <t>T梁端横隔梁（连续端），预制部分3、3b、5、7号、现浇部分4、5号钢筋，依据图纸计算根数分别为11*2*2=44、（11*2+5*2）*3=96、8*(6*3+3*2)=192、11*2+22*3=88、4*6=24、3*7*4=84，而数量表为40、90、224、80、36、140</t>
  </si>
  <si>
    <t>预制部分复核正确，现浇部分N4根数为：4*9=36；N5根数为：8*5*4=160。</t>
  </si>
  <si>
    <t>40m连续梁T梁中横隔梁钢筋构造</t>
  </si>
  <si>
    <t>GW-STYT-2-16</t>
  </si>
  <si>
    <t>T梁中横隔梁，预制部分1、2、3号钢筋，依据图纸计算长度分别为1.499+0.34=1.839、2.599、1.499+0.05=1.549，而数量表为1.854、2.594、1.514</t>
  </si>
  <si>
    <t>请设计核查标注长度是否有误</t>
  </si>
  <si>
    <t>经复核原设计无误，例：N1=1699+340+150=2039</t>
  </si>
  <si>
    <t>T梁中横隔梁，预制部分5号、现浇部分4、5号钢筋，依据图纸计算根数分别为7*(6*3+3*2)=168、4*6=24、3*7*4=84，而数量表为224、36、140</t>
  </si>
  <si>
    <t>预制部分N5为168根，现浇部分N4根数为：4*9=36；N5根数为：7*5*4=140。</t>
  </si>
  <si>
    <t>40m连续梁T梁墩顶现浇连续段钢筋构造</t>
  </si>
  <si>
    <t>GW-STYT-2-18</t>
  </si>
  <si>
    <t>T梁墩顶现浇连续断，图纸中1、1’、3号钢筋图示长度与数量表长度不一致</t>
  </si>
  <si>
    <t>图示长度有误，数量表长度正确</t>
  </si>
  <si>
    <t>T梁墩顶现浇连续断（结构连续），图纸中2号钢筋图示间距存在矛盾</t>
  </si>
  <si>
    <t>请设计明确以哪个为准</t>
  </si>
  <si>
    <t>现浇位置不是据实绘图，应按标注示意看图，理解图纸。</t>
  </si>
  <si>
    <t>图纸中2’号钢筋依据图纸根数应该为4*2+5*3=23根，数量表为25根</t>
  </si>
  <si>
    <t>请设计核查</t>
  </si>
  <si>
    <t>图示有误，按每片梁5根设计，25根无误</t>
  </si>
  <si>
    <t>40m连续梁T梁调平层钢筋构造</t>
  </si>
  <si>
    <t>GW-STYT-2-19</t>
  </si>
  <si>
    <t>T梁调平层，护栏通用图中调平层未伸入护栏，而调平层通用图中伸入护栏，两者矛盾</t>
  </si>
  <si>
    <t>请设计核查，若调平层示意有误，需修改调平层通用图的1号钢筋长度及2、3号钢筋根数</t>
  </si>
  <si>
    <t>按调平层钢筋图为准，护栏如果画出来所有的调平层钢筋会很乱，不是矛盾；按调平层钢筋无误，钢筋数量无误</t>
  </si>
  <si>
    <t>40m连续梁T梁现浇横隔梁、翼板</t>
  </si>
  <si>
    <t>GW-STYT-2-04、10、11、15、16</t>
  </si>
  <si>
    <t>19、32~36、41~45</t>
  </si>
  <si>
    <t>1、依据图纸GW-STYT-2-04中工程量计算一跨（边跨D80）现浇横隔梁、翼板工程量
=3.77*2+7.54*3=30.16
2、依据图纸GW-STYT-2-10、11、15、16计算一跨（边跨D80）现浇横隔梁、翼板工程量
①计算一跨湿接缝=0.2*（40-0.64*2-0.04）*0.848*4=26.67
②计算一跨端横隔梁（2道）=0.2*2.15*0.848*4+0.2*2.15*0.848*4=2.92
③计算一跨中横隔梁（3道）=0.2*2.17*0.848*4*3=4.42
合计=26.67+2.92+4.42=34.01≠30.16</t>
  </si>
  <si>
    <t>请设计核查GW-STYT-2-04中一孔现浇横隔梁、翼板混凝土工程量是否有误</t>
  </si>
  <si>
    <t>复核计算过程有误，现浇部分计算梁长为39.52，然后还要加上墩顶现浇连续段混凝土；例边梁-边跨：0.2*0.8475/2*39.52(湿接缝）+0.432(端隔板）=3.77</t>
  </si>
  <si>
    <t>墩顶现浇混凝土（结构连续、连续钢构）这个两处混凝土工程量不一致，一处为31.9、一处为33.1，但依据两处图纸，混凝土工程量应该一致，都为33.1。差异只是连续钢构段需和盖梁固结</t>
  </si>
  <si>
    <t>请设计解疑一下结构连续处少了哪一部分混凝土</t>
  </si>
  <si>
    <t>连续刚构多7cm厚的混凝土，详见调平块钢筋构造图可见。</t>
  </si>
  <si>
    <t>12.75m，50m简支钢混组合梁桥面板一般构造及钢筋布置图</t>
  </si>
  <si>
    <t>GW-STYT-2-40</t>
  </si>
  <si>
    <t>大样图未注明4#钢筋弯曲半径及弯钩长度</t>
  </si>
  <si>
    <t>请设计补充</t>
  </si>
  <si>
    <t>按意见修改</t>
  </si>
  <si>
    <t>1#钢筋数量应为3+8+1+19+1+19+1=52，3#钢筋数量应为ROUNDUP(29/3,0)*2=20</t>
  </si>
  <si>
    <t>请设计核实</t>
  </si>
  <si>
    <t>12.75m，50m简支钢混组合梁桥面板纵向湿接缝构造及钢筋布置</t>
  </si>
  <si>
    <t>GW-STYT-2-42</t>
  </si>
  <si>
    <t>纵向湿接缝C55砼数量有误，应为(48.5-13*0.5)*0.5*0.25=5.25</t>
  </si>
  <si>
    <t>12.75m，50m简支钢混组合梁伸缩缝端现浇段构造及钢筋布置图</t>
  </si>
  <si>
    <t>GW-STYT-2-43</t>
  </si>
  <si>
    <t>伸缩缝段现浇段C55砼数量有误，应为(12.75)*0.69*0.27=2.38</t>
  </si>
  <si>
    <t>T梁圆柱墩系梁钢筋构造图</t>
  </si>
  <si>
    <t>GW-STYT-2-47</t>
  </si>
  <si>
    <t>通用图仅仅示例A、B型，缺少C型</t>
  </si>
  <si>
    <t>C型为D1和D2的平均数</t>
  </si>
  <si>
    <t>12.75m桥宽斜度0。T梁 桥墩盖梁钢筋构造图</t>
  </si>
  <si>
    <t>GW-STYT-2-52</t>
  </si>
  <si>
    <t>依据图纸所示，4a、8、9号钢筋长度分别为=(0.26+1.322+1+1+2.183+2.363/2)*2=13.893、2.623、4.99，与数量细表长度不一致</t>
  </si>
  <si>
    <t>请设计核实以哪个为准</t>
  </si>
  <si>
    <t>N4a原设计无误，复核漏计40mm的弯钩；N6~N12钢筋长度以钢筋大样为准，修改数量表</t>
  </si>
  <si>
    <t>12.75m桥宽斜度0。T梁耳背墙钢筋构造图</t>
  </si>
  <si>
    <t>GW-STYT-2-56</t>
  </si>
  <si>
    <t>耳背墙立面图与截面Ⅰ-Ⅰ相矛盾</t>
  </si>
  <si>
    <t>立面有误</t>
  </si>
  <si>
    <t>耳背墙3a号钢筋细表与图示相矛盾</t>
  </si>
  <si>
    <t>N3a钢筋大样有误</t>
  </si>
  <si>
    <t>T梁桥台防撞挡块钢筋构造图</t>
  </si>
  <si>
    <t>GW-STYT-2-55</t>
  </si>
  <si>
    <t>挡土墙4号钢筋依据图纸应该为（8+1）*2=18根，细量表为16根</t>
  </si>
  <si>
    <t>D8O型伸缩缝构造图</t>
  </si>
  <si>
    <t>GW-STYT-3-8</t>
  </si>
  <si>
    <t>3号钢筋细量表与图示长度不对应，560已经含了150</t>
  </si>
  <si>
    <t>复核正确，应为736mm</t>
  </si>
  <si>
    <t>通用图中写的都是适用小箱梁，但桥梁（T梁）索引表也是引用该通用图</t>
  </si>
  <si>
    <t>请设计核实补充</t>
  </si>
  <si>
    <t>也适用于T梁，补充表头描述</t>
  </si>
  <si>
    <t>桥台搭板钢筋构造图</t>
  </si>
  <si>
    <t>GW-STYT-3-30</t>
  </si>
  <si>
    <t>111~124</t>
  </si>
  <si>
    <t>30cm的C20垫层和15cm的碎石垫层，按理应该比厚度35cm的搭板工程量少</t>
  </si>
  <si>
    <t>修改</t>
  </si>
  <si>
    <t>桥宽12.75，30m、20m简支组合梁湿接缝钢筋构造图</t>
  </si>
  <si>
    <t>GW-STYT-1-50</t>
  </si>
  <si>
    <t>N2钢筋475是搭接长度，实际长度应该是（610+176）*2+475=2047，通用图中都错误的计算为（475+176）*2+610=1912，20m梁湿接缝也存在错误</t>
  </si>
  <si>
    <t>475是直线段长度，原设计无误</t>
  </si>
  <si>
    <t>40m连续梁T梁中跨翼板普通钢筋构造</t>
  </si>
  <si>
    <t>1、3号钢筋的根数和15号钢筋的根数应为不一致；图纸未见15'钢筋长度和数量，请设计复核</t>
  </si>
  <si>
    <t>请设计核实修改</t>
  </si>
  <si>
    <t>LZL</t>
  </si>
  <si>
    <t>2026.7.7</t>
  </si>
  <si>
    <t>示意有误，N1、3、15根数一致为776无误；数量表N15'就是N15在现浇段的布置</t>
  </si>
  <si>
    <t>40m连续T梁连续端梁端锚下钢筋构造</t>
  </si>
  <si>
    <t>GW-STYT-2-14</t>
  </si>
  <si>
    <t>图纸未见5、5'钢筋布置范围，请设计复核</t>
  </si>
  <si>
    <t>D-D断面有示意</t>
  </si>
  <si>
    <t>40m连续T梁伸缩缝端梁锚下钢筋构造</t>
  </si>
  <si>
    <t>1'钢筋布置范围与图纸不一致、8号钢筋未明确布置范围，请设计复核</t>
  </si>
  <si>
    <t>2026.7.9</t>
  </si>
  <si>
    <t>1'以梁端构造处为准，B-B断面示意有误；N8在C-C断面有示意</t>
  </si>
  <si>
    <t>方柱墩墩身钢筋构造图</t>
  </si>
  <si>
    <t>乳子石大桥</t>
  </si>
  <si>
    <t>S4-4(5)-14</t>
  </si>
  <si>
    <t>76、80</t>
  </si>
  <si>
    <t>左幅6-1墩柱高度，依据大样图示例，H=L1+L3+L2+L4+L1=8.5+10.5+7.5135+7.5135+8.5=42.527不等于34.027。同样问题存在左幅6-2、9-1、9-2；右幅7-1、7-2、10-1、10-2</t>
  </si>
  <si>
    <t>大样图应该有误，多计一次L1,请设计核实</t>
  </si>
  <si>
    <t>程卫鑫</t>
  </si>
  <si>
    <t>图纸有误，修改图纸</t>
  </si>
  <si>
    <t>左幅6-1墩柱3号钢筋根数，依据大样图示例，根数应该为2号钢筋的12倍=393*12=4716不等于4176。同样问题存在左幅5-2，右幅5-1、5-2</t>
  </si>
  <si>
    <t>应该是大样图有误，导致2、3号钢筋根数有误，请设计核查</t>
  </si>
  <si>
    <t>79、81</t>
  </si>
  <si>
    <t>左幅11，右幅12#-2墩柱的参数b缺少</t>
  </si>
  <si>
    <t>左幅11，右幅12#-2墩柱的细表2、3、4号钢筋长度与大样图不一致</t>
  </si>
  <si>
    <t>空心薄壁墩墩身钢筋构造图</t>
  </si>
  <si>
    <t>S4-4(5)-15</t>
  </si>
  <si>
    <t>82、83、84</t>
  </si>
  <si>
    <t>左幅7号墩的8b号钢筋，按图纸计算根数应该为4*2*8=64而不是48，同样问题存在左幅8号墩，右幅8、9号墩</t>
  </si>
  <si>
    <t>薄壁墩体积未扣除倒角，以左幅7号墩为例，扣除倒角后体积应该为451.71，而不是455.2，同样问题存在左幅8号墩，右幅8、9号墩</t>
  </si>
  <si>
    <t>预应力盖梁钢束构造图</t>
  </si>
  <si>
    <t>S4-4(5)-17</t>
  </si>
  <si>
    <t>依据图纸所示，定位钢筋1号根数应该为6的倍数，而数量表中的数量为248</t>
  </si>
  <si>
    <t>请设计核实1号钢筋的根数，并明确横向间距</t>
  </si>
  <si>
    <t>数字标识与钢筋布置不一致</t>
  </si>
  <si>
    <t>请设计核查钢筋示意和数字标识，以哪个为准</t>
  </si>
  <si>
    <t>锚下钢筋，图纸中说明每端布置5层,依图纸所示，3号钢筋根数为36*5*2=360，而细量表为470</t>
  </si>
  <si>
    <t>请设计核查3号钢筋根数是否有误</t>
  </si>
  <si>
    <t>11#盖梁钢筋1、2、2a钢筋根数依据图纸为28+1=29，而细表30根,若按B截面计算则为30根，C、D界面与B截面矛盾</t>
  </si>
  <si>
    <t>依据图纸所示，5号和6号钢筋数量应该一致，为216根，而细表6号钢筋截面按3根计算，数量为324</t>
  </si>
  <si>
    <t>依据图纸所示，5a号和6a号钢筋数量应该一致，为224根，而细表6号钢筋截面按3根计算，数量为336</t>
  </si>
  <si>
    <t>桥墩盖梁钢筋构造图</t>
  </si>
  <si>
    <t>S4-4(5)-18</t>
  </si>
  <si>
    <t>4号钢筋细量长度为12567，依大样图计算长度为（300+1459+8800/2）*2=12318，两者不一致</t>
  </si>
  <si>
    <t>同个盖梁，截面宽度不一致</t>
  </si>
  <si>
    <t>调平块钢筋构造图</t>
  </si>
  <si>
    <t>S4-4(5)-2、21</t>
  </si>
  <si>
    <t>17、101</t>
  </si>
  <si>
    <t>汇总表的支座类型与细表不一致及数量也不一致</t>
  </si>
  <si>
    <t>正化1号大桥</t>
  </si>
  <si>
    <t>S4-4(2)-14</t>
  </si>
  <si>
    <t>68、70</t>
  </si>
  <si>
    <t>左幅5-1墩柱高度，依据大样图示例，H=L1+L3+L2+L4+L1=8.5+10.5+6.604+6.604+8.5=40.708不等于32.208。同样问题存在左幅5-2，右幅5-1、5-2</t>
  </si>
  <si>
    <t>左幅5-1墩柱1号钢筋，依据大样图示例，长度应该为=32.208+4.74=36.948≠36.308。同样问题存在左幅5-2，右幅5-1、5-2</t>
  </si>
  <si>
    <t>请设计核查1号钢筋计算公式</t>
  </si>
  <si>
    <t>左幅5-1墩柱3号钢筋根数，依据大样图示例，根数应该为2号钢筋的12倍=393*12=4716不等于4176。同样问题存在左幅5-2，右幅5-1、5-2</t>
  </si>
  <si>
    <t>应为12倍，修改数量表</t>
  </si>
  <si>
    <t>大样图注释中有5号钢筋，细量表没有</t>
  </si>
  <si>
    <t>请设计核查注释是否有误</t>
  </si>
  <si>
    <t>笔误，无N5</t>
  </si>
  <si>
    <t>S4-4(2)-14、2</t>
  </si>
  <si>
    <t>16、70</t>
  </si>
  <si>
    <t>方柱墩混凝土，细表中的混凝土为C35,数量总表的混凝土为C40</t>
  </si>
  <si>
    <t>C35，修改数量总表</t>
  </si>
  <si>
    <t>S4-4(2)-15</t>
  </si>
  <si>
    <t>7倍，原设计无误</t>
  </si>
  <si>
    <t>以标注为准</t>
  </si>
  <si>
    <t>锚下钢筋，图纸中未说明每端布置几层</t>
  </si>
  <si>
    <t>请设计核查补充及核查3、4号钢筋根数是否有误</t>
  </si>
  <si>
    <t>每端5层</t>
  </si>
  <si>
    <t>桥面泄水管钢筋构造图</t>
  </si>
  <si>
    <t>S4-4(2)-21</t>
  </si>
  <si>
    <t>泄水管细量表中梁长与实际不符</t>
  </si>
  <si>
    <t>修改泄水管数量</t>
  </si>
  <si>
    <t>大桥主要工程数量总表</t>
  </si>
  <si>
    <t>S4-4(2)-2</t>
  </si>
  <si>
    <t>负弯矩处的钢绞线应该没有40-60米的，40-60米的是否是工作长度重量</t>
  </si>
  <si>
    <t>2180kg是工作长度重量</t>
  </si>
  <si>
    <t>桥墩防撞挡块钢筋构造图</t>
  </si>
  <si>
    <t>坡子岭1号大桥</t>
  </si>
  <si>
    <t>S4-4(3)-15</t>
  </si>
  <si>
    <t>细表2#钢筋长度与大样图不符</t>
  </si>
  <si>
    <t>张伟</t>
  </si>
  <si>
    <t>修改图纸和数量</t>
  </si>
  <si>
    <t>非标预制组合箱梁普通钢筋构造图</t>
  </si>
  <si>
    <t>S4-4(3)-19</t>
  </si>
  <si>
    <t>11#、12#、13#、15#、16#、11a#、12a#、13a#钢筋弯钩长度反算为103mm，核算是否有误</t>
  </si>
  <si>
    <t>弯钩长度103m无误</t>
  </si>
  <si>
    <t>复核12#、12a#、13#、13a#、15#、16#、17#、18#、21#钢筋数量</t>
  </si>
  <si>
    <t>复核无误</t>
  </si>
  <si>
    <t>非标预制组合箱梁端横梁钢筋构造图</t>
  </si>
  <si>
    <t>S4-4(3)-21</t>
  </si>
  <si>
    <t>10#、11#、12#钢筋弯钩反算如图所属，请核算是否有误</t>
  </si>
  <si>
    <t>复核原设计无误</t>
  </si>
  <si>
    <t>非标预制T梁工程材料数量表</t>
  </si>
  <si>
    <t>S4-4(3)-23</t>
  </si>
  <si>
    <t>T梁现浇钢筋数量汇总有误，仅翼板现浇钢筋就有9537.47，请复核</t>
  </si>
  <si>
    <t>非标预制T梁钢束构造</t>
  </si>
  <si>
    <t>S4-4(3)-26</t>
  </si>
  <si>
    <t>预制T梁钢束构造数量合计表与明细表不符，请核算是否有误</t>
  </si>
  <si>
    <t>非标预制T梁梁肋普通钢筋构造</t>
  </si>
  <si>
    <t>S4-4(3)-28</t>
  </si>
  <si>
    <t>φ16钢筋合计数量有误</t>
  </si>
  <si>
    <t>修改数量</t>
  </si>
  <si>
    <t>非标预制T梁跨梁端封锚钢筋构造</t>
  </si>
  <si>
    <t>S4-4(3)-30</t>
  </si>
  <si>
    <t>封锚钢筋汇总数量有误</t>
  </si>
  <si>
    <t>非标预制T梁中横隔梁钢筋构造</t>
  </si>
  <si>
    <t>S4-4(3)-33</t>
  </si>
  <si>
    <t>中横隔梁钢筋汇总数量有误</t>
  </si>
  <si>
    <t>S4-4(3)-36</t>
  </si>
  <si>
    <t>1a#、2a#钢筋大样图长度与表格不符，且b#钢筋汇总长度有误，同时复核左幅10#小桩号侧钢筋数量</t>
  </si>
  <si>
    <t>路基工程</t>
  </si>
  <si>
    <t>路基设计说明</t>
  </si>
  <si>
    <t>S4-3(1)-1</t>
  </si>
  <si>
    <t>施工图设计实施细则及通用图评审意见执行情况中横向填挖交界渗沟间距由每 4m 填高设置调整为每 8m 填高设置，图纸S4-3(1)-29为每 4m 填高设置，请设计复核。</t>
  </si>
  <si>
    <t>应为8m</t>
  </si>
  <si>
    <t>清表及填前压实工程数量表</t>
  </si>
  <si>
    <t>S4-3(1)-5</t>
  </si>
  <si>
    <t>清表土与涵洞基坑开挖重叠，应扣除重叠数量</t>
  </si>
  <si>
    <t>按意见核减</t>
  </si>
  <si>
    <t>主线高填斜陡路基处理工程数量表</t>
  </si>
  <si>
    <t>S4-3(1)-7</t>
  </si>
  <si>
    <t>根据图纸说明及A大样图，在路床底设2层土工格栅，则土工格栅据路基顶面的距离分别应为0.3+0.89、0.5+0.89，请设计复核。</t>
  </si>
  <si>
    <t>路面厚度应为0.86，按意见修改</t>
  </si>
  <si>
    <t>改S4-3(1)-7</t>
  </si>
  <si>
    <t>根据环向渗沟大样图，每道100x100环向渗沟透水管数量为1根，计算取2根。请提供修改后的计算公式以便复核</t>
  </si>
  <si>
    <t>0号变更已修改</t>
  </si>
  <si>
    <t>S4-3(1)-7、S4-3(1)-22</t>
  </si>
  <si>
    <t>根据环向渗沟与急流槽衔接大样图，干砌碎石高度应按d×tan（夹角）计算，表格按d计算；且对于高填斜陡路基环向渗沟仅填方侧有出口，请设计复核。</t>
  </si>
  <si>
    <t>出口详见工点平面图</t>
  </si>
  <si>
    <t>根据渗沟大样图（四），宽1.5m沟心渗沟与环向渗沟宜采用PVC三通连接</t>
  </si>
  <si>
    <t>系厅路基标准化图纸</t>
  </si>
  <si>
    <t>S4-3(1)-8</t>
  </si>
  <si>
    <t>该边坡有衡重式挡土墙，应有3m透水管，请核实。</t>
  </si>
  <si>
    <t>路床处理工程数量表（低填浅挖路基）</t>
  </si>
  <si>
    <t>改S4-3(1)-24</t>
  </si>
  <si>
    <t>回填未筛分碎石及回填开山石渣数量计算有误，根据图3上底固定、腰角度相同的等腰梯形面积关系，调整后的回填开山石渣数量如图3，同时应相应调整回填未筛分碎石数量=1.2m范围内挖基-回填开山石渣数量，建议提供修改后的公式以便复核</t>
  </si>
  <si>
    <t>路床处理工程数量表</t>
  </si>
  <si>
    <t>S4-3(1)-26</t>
  </si>
  <si>
    <t>路床处理工程数量表（一般挖方路基）中，序号2起讫桩号K33+242.50 ～K33+374.50与序号3 K33+694.50 ～K34+159.20重叠</t>
  </si>
  <si>
    <t>未重叠</t>
  </si>
  <si>
    <t>纵横向填挖交界与一般陡坡路基处理工程数量表</t>
  </si>
  <si>
    <t>S4-3(1)-28</t>
  </si>
  <si>
    <t>纵向填挖交界中心桩号K33+234、K34+172、K34+314、K36+229、K36+906、K37+669、K38+477、横向填挖交界K32+330-K32+343与桥梁桩号重叠。</t>
  </si>
  <si>
    <t>表中台阶宽高比超图纸说明要求范围，请设计复核。</t>
  </si>
  <si>
    <t>系平均开挖台阶高宽，建议维持原设计，用于计量，实际地形变化较大，无法明确</t>
  </si>
  <si>
    <t>纵向填挖交界碎石渗沟图纸说明为每8m设一道，表格为每4m设一道，且公式应为INT((h-0.5-0.89)/间隔)+1，请设计复核。</t>
  </si>
  <si>
    <t>纵向填挖中心桩号K33+234、K33+914、K37+669挖方区为碎块状硬质岩石，填方侧过渡区应采用石渣、碎石等填筑，且根据图纸应无土工格栅、截水沟及补强压实数量；横向填挖桩号K33+990~K34+050、K37+720~K37+730为碎块状硬质岩路堤，开挖台阶宽不宜小于2m（图纸按土质、软质岩及全风化硬质岩路段不小于2.5m处理），土工格栅平均单层长应为13m，请设计复核。</t>
  </si>
  <si>
    <t>K33+234主要为泥质岩，K33+914、K37+669分布有强风化凝灰质砂岩、其产状并非碎块状，且泥岩强度偏软，通常按全风化硬质岩设计</t>
  </si>
  <si>
    <t>横向全填K32+295～K32+310地面倾角仅为11.64～15.1，请复核是否需要设置土工格栅。</t>
  </si>
  <si>
    <t>高填方路床设置土工格栅对工程有利，且代价不高，建议维持原方案</t>
  </si>
  <si>
    <t>桥梁台背处理工程数量表</t>
  </si>
  <si>
    <t>S4-3(1)-32</t>
  </si>
  <si>
    <t>桥梁台背后处理挖方路段桩号与路床处理工程数量表（一般挖方路基）中重复，路面结构层下回填厚度范围内的挖土方重复计算，应在路基每公里土石方数量表中核减。</t>
  </si>
  <si>
    <t>按意见修改，扣除路床处理重复部分，路基土石方数量中已核减</t>
  </si>
  <si>
    <t>涵洞台背处理工程数量表</t>
  </si>
  <si>
    <t>S4-3(1)-34</t>
  </si>
  <si>
    <t>根据S4-4(5)-32钢筋砼盖板涵布置图，K33+050.7处涵洞仅有一处八字翼墙，请复核。</t>
  </si>
  <si>
    <t>软基处理平面设计图</t>
  </si>
  <si>
    <t>S4-3(1)-40</t>
  </si>
  <si>
    <t>软基处理与涵洞基坑开挖重叠，应扣除重叠数量</t>
  </si>
  <si>
    <t>路基每公里土石方数量表</t>
  </si>
  <si>
    <t>S4-3(1)-1、S4-3(1)-31、S4-3(1)-43</t>
  </si>
  <si>
    <t>11、166、197</t>
  </si>
  <si>
    <t>桩号K35+000~K37+666.5范围内存在高液限土，根据施工图评审意见TJ4标采用挖弃处治，但该路段在土石方数量表中弃方为0，请设计复核是否有误。</t>
  </si>
  <si>
    <t>S4-3(1)-43</t>
  </si>
  <si>
    <t>图1 路基土石方数量计算表中填方量应扣减填挖交界处、涵洞台背处理排水碎石渗沟碎石方量；图2图3 部分涵洞位于软土路基处理中换填石渣区域，涵洞体积应按照石方扣减，图纸全部按照土方扣减</t>
  </si>
  <si>
    <t>路基土石方数量计算表</t>
  </si>
  <si>
    <t>S4-3(1)-44</t>
  </si>
  <si>
    <t>填方总数量与填土方+填石方不一致，且数据与路基每公里土石方数量表不一致</t>
  </si>
  <si>
    <t>径核查无误</t>
  </si>
  <si>
    <t>路基防护工程数量表</t>
  </si>
  <si>
    <t>S4-3(1)-46</t>
  </si>
  <si>
    <t>检查踏步B总长计算有误，如K32+253.66~K32+324.50的总长应为=SQRT((I11-Z11)^2/4+J11^2*(1+BW11^2))*X11-IF(BW11=1.5,T11*1.803*X11,0)；防护面积计算有误，2、3级沿坡面长度应扣除平台镶边长度而非路面厚度放坡长度</t>
  </si>
  <si>
    <t>主线挡土墙工程数量表</t>
  </si>
  <si>
    <t>改S4-3(2)-7</t>
  </si>
  <si>
    <t>修改后的回填土方计算公式有误，乘了两遍挡土墙长度，应以修改前公式为准</t>
  </si>
  <si>
    <t>路基支挡工程设计图</t>
  </si>
  <si>
    <t>S4-3(1)-1、S4-3(2)-8</t>
  </si>
  <si>
    <t>图1图2：设计说明4.3.1节图4-2、图4-3中垫层襟边为0.2m，与路基支挡工程设计图不一致；图3图4：根据计算表格公式，反推碎石垫层边坡坡率为1：1、扩散角为45°，请设计复核是否有误。</t>
  </si>
  <si>
    <t>经核查系设计说明有误，扩散角为45</t>
  </si>
  <si>
    <t>S4-3(2)-8</t>
  </si>
  <si>
    <t>方桩2#、3#钢筋数量有误，2#、3#钢筋数量和应为（19+n+7），请设计复核</t>
  </si>
  <si>
    <t>经核查无误，钢筋数向上取整+1，最上1m范围间距为5cm</t>
  </si>
  <si>
    <t>路肩墙护栏基础钢筋构造数量表中钢筋数量非整数，请复核。</t>
  </si>
  <si>
    <t>对计量无影响，建议维持原设计</t>
  </si>
  <si>
    <t>路基排水工程数量表</t>
  </si>
  <si>
    <t>S4-3(2)-19</t>
  </si>
  <si>
    <t>槽身挖方及现浇砼数量有误，计算公式中的1.803应与槽身坡度关联</t>
  </si>
  <si>
    <t>路基路面排水设计图</t>
  </si>
  <si>
    <t>S4-3(2)-20</t>
  </si>
  <si>
    <t>复核N2钢筋长度标注是否有误（L=990cm）</t>
  </si>
  <si>
    <t>标注有误，单位有误</t>
  </si>
  <si>
    <t>以LD-A型排水沟为例，按设计坡率1:0.5反算，内顶宽=80+ 2×80×0.5=160cm，与大样图所标注140cm不一致，四种排水沟内顶宽应分别为160cm、200cm、180cm、180cm。</t>
  </si>
  <si>
    <t>JLC-B每道出水部分C25现浇混凝土方量为0.375L+0.023 m3，表格中计算为0.315L+0.023</t>
  </si>
  <si>
    <t>79.5+4.5+6不等于88，出水井高度图纸为H+88，计算为H+90，请复核</t>
  </si>
  <si>
    <t>系标注有误，应为H+90</t>
  </si>
  <si>
    <t>油水分离池设计图</t>
  </si>
  <si>
    <t>S4-3(2)-23</t>
  </si>
  <si>
    <t>油水分离池高度标注有误，应为1500mm；工程数量表中缺少回填土数量；挖基数量应为(2.9+0.25*2)*(9.1+0.25*2)*（1.8+0.15）=63.65 m3</t>
  </si>
  <si>
    <t>主线路基边坡防护设计工程数量表</t>
  </si>
  <si>
    <t>S4-3(3)-3</t>
  </si>
  <si>
    <t>图1示K32+920～K32+945左幅、K34+060～K34+175右幅等段落设计加固防护类型为喷播植草，实际数量为三维网植草;图2：植草面积应扣除急流槽及踏步面积，同理核查人字形骨架、锚杆格梁等面积是否已扣除</t>
  </si>
  <si>
    <t>2026.8.3</t>
  </si>
  <si>
    <t>经复核，该处防护类型三维网植草。采用三维网植草或喷播植草，边坡高度均小于4m，未设急流槽和踏步，因此数量值不会变化。人字形骨架、锚杆格梁等面积是已扣除急流槽和踏步。</t>
  </si>
  <si>
    <t>挂网客土喷播</t>
  </si>
  <si>
    <t>S4-3(4)-5</t>
  </si>
  <si>
    <t>连接钢筋数量应为10/2*10*0.617=19.74kg，请复核是否有误</t>
  </si>
  <si>
    <t>经复核，φ8mm连接钢筋数量为10/2*10*0.39488=19.74kg</t>
  </si>
  <si>
    <t>人字形骨架（路堑）</t>
  </si>
  <si>
    <t>S4-3(4)-6</t>
  </si>
  <si>
    <t>人字形骨架边坡防护正视图中路堑镶边沿坡面长度与S4-3(4)-2 路堑边坡镶边、护脚和平台防护图长度不一致</t>
  </si>
  <si>
    <t>经复核，该问题几乎不影响工程数量的变化。</t>
  </si>
  <si>
    <t>S4-3(3)-3、改1 S4-3(4)-12</t>
  </si>
  <si>
    <t>主线路基边坡防护设计工程数量表中，踏步扶手计算参数与S4-3(4)-12路堑检修踏步扶手数量不一致</t>
  </si>
  <si>
    <t>复核后更新。</t>
  </si>
  <si>
    <t>桥头段及桥跨中边坡处理示意图</t>
  </si>
  <si>
    <t>S4-3(4)-13</t>
  </si>
  <si>
    <t>C25砼、砂砾层、挖基数量计算差距过大，请复核是否有误；PVC管长度小于泄水孔长度，请复核是否有误</t>
  </si>
  <si>
    <t>经复核，PVC管长度有误，复核后更新，其他项无误。</t>
  </si>
  <si>
    <t>喷锚支护大样图</t>
  </si>
  <si>
    <t>S4-3(4)-20</t>
  </si>
  <si>
    <t>d20钢筋数量有误，数量应为100*10*2.47=2470kg</t>
  </si>
  <si>
    <t>经复核，原设计d20钢筋数量无误。以10m*10m=100㎡为计算例子，间距2m，数量为(10/2*10+10/2*10)*2.47=247kg</t>
  </si>
  <si>
    <t>方墩墩身钢筋构造图</t>
  </si>
  <si>
    <t>正化2号大桥</t>
  </si>
  <si>
    <t>S4-4(2)-33</t>
  </si>
  <si>
    <t>137、138</t>
  </si>
  <si>
    <t>方墩钢筋明细表N1钢筋长度错误，未加两头弯钩长度</t>
  </si>
  <si>
    <t>复核正确，修改图纸</t>
  </si>
  <si>
    <t>S4-4(2)-39</t>
  </si>
  <si>
    <t>154页</t>
  </si>
  <si>
    <t>桥面泄水管设置表Z1、Z6、Y1跨径错误，导致后续管道长度、格栅盖、钢筋等材料数量计算错误</t>
  </si>
  <si>
    <t>主要工程数量表</t>
  </si>
  <si>
    <t>S4-4(2)-23</t>
  </si>
  <si>
    <t>护栏预埋钢筋的量实际是预埋和非预埋的量总和</t>
  </si>
  <si>
    <t>是的，表头笔误，应删除"非预埋"</t>
  </si>
  <si>
    <t>桥面连续钢筋数量有误</t>
  </si>
  <si>
    <t>见截图</t>
  </si>
  <si>
    <t>涵洞工程</t>
  </si>
  <si>
    <t>K32+288.000盖板涵</t>
  </si>
  <si>
    <t>S4-4(5)-26</t>
  </si>
  <si>
    <t>1、八字墙基础、墙身混凝土通用图相加与工程数量表数量不同  2、急流槽构造图设计说明为C25混凝土，工程数量表为C30</t>
  </si>
  <si>
    <t>K33+933.000盖板涵</t>
  </si>
  <si>
    <t>S4-4(5)-29</t>
  </si>
  <si>
    <t>1、八字墙基础、墙身混凝土通用图相加与工程数量表数量不同 2、洞口两侧设计一览表说明是八字墙，但工程数量表有急流槽工程量，纵断面和平面图一个表现为八字墙，一个为急流槽加八字墙，但是又没有急流槽细部图</t>
  </si>
  <si>
    <t>以布置图为准，根据意见修改表格</t>
  </si>
  <si>
    <t>K34+656.000盖板涵</t>
  </si>
  <si>
    <t>GW-STYT-4-10</t>
  </si>
  <si>
    <t>1、N2、N3、N7钢筋长度通用图计算错误。2、涵洞基础混凝土以及盖板钢筋修编量与工程数量表差异过大，请复核。</t>
  </si>
  <si>
    <t>根据意见核实修改</t>
  </si>
  <si>
    <t>K35+050.700盖板涵</t>
  </si>
  <si>
    <t>1、涵洞一侧为挡土墙，一侧为八字墙，隔水墙工程数量表的量是两侧的。 2、涵洞基础钢筋以及盖板钢筋修编量与工程数量表差异过大，请复核。</t>
  </si>
  <si>
    <t>K35+428.000盖板涵</t>
  </si>
  <si>
    <t>1、通用图中八字墙基础混凝土为（6.92+5.41）*2=24.66，工程数量表中为29</t>
  </si>
  <si>
    <t>K35+308.000通道涵</t>
  </si>
  <si>
    <t>涵洞基础钢筋修编量与工程数量表差异过大，请复核。</t>
  </si>
  <si>
    <t>K35+945.000通道涵</t>
  </si>
  <si>
    <t>1、八字墙基础混凝土通用图为（9.78+7.67）*23=34.9，工程数量表为45.4。   2、涵洞基础钢筋修编量与工程数量表差异过大，请复核。</t>
  </si>
  <si>
    <t>阳济大桥</t>
  </si>
  <si>
    <t>1.6m桩基hrb400钢筋，图纸量和修编量相差16，和合同清单量相差184，请设计复核</t>
  </si>
  <si>
    <t>2026.7.24</t>
  </si>
  <si>
    <t>经复核，原设计无误。</t>
  </si>
  <si>
    <t>系梁索引图并没有索引方柱墩，请设计复核左右幅14#、23#方柱墩是否用了圆柱墩的系梁</t>
  </si>
  <si>
    <t>2026.7.22</t>
  </si>
  <si>
    <t>通用图索引补充方柱墩承台与系梁。</t>
  </si>
  <si>
    <t>12.75m桥宽，简支组合箱梁桥台台帽钢筋构造图</t>
  </si>
  <si>
    <t>GW-STYT-1-94</t>
  </si>
  <si>
    <t>请设计复核桥台台帽φ28的钢筋是否摘量有误</t>
  </si>
  <si>
    <t>φ28的钢筋减少240kg</t>
  </si>
  <si>
    <t>桥台挡块、挡土板钢筋数量+搭板钢筋数量+拉杆钢筋数量=1614.5+15132.1+346.5=17093.1≠17439，请设计重新复核是否链接有误，审核量与图纸量对得上</t>
  </si>
  <si>
    <t>2026.7.23</t>
  </si>
  <si>
    <t>经复核，图纸数量无误。</t>
  </si>
  <si>
    <t>预埋钢筋的量*全桥伸缩缝长度=31.9*218.7=6976.8≠合同清单预埋钢筋量，请设计复核</t>
  </si>
  <si>
    <t>经复核，造价清单与图纸数量一致无误。</t>
  </si>
  <si>
    <t>复核预制吊装钢筋小箱梁的量</t>
  </si>
  <si>
    <t>58*30792+6*21618.1=1915644.6，与数量表几乎一致。</t>
  </si>
  <si>
    <t>复核搭板c20混凝土的量</t>
  </si>
  <si>
    <t>2026.7.27</t>
  </si>
  <si>
    <t>复核小箱梁预制部分吊装普通混凝土的量</t>
  </si>
  <si>
    <t>155.2*58+107.6*6=9647.2，与数量表完全一致。</t>
  </si>
  <si>
    <t>坡子岭2号大桥</t>
  </si>
  <si>
    <t>105、106</t>
  </si>
  <si>
    <t>z11#-1墩柱，1号钢筋计算长度有误，z11#-2墩、Y11#-1、Y11#-2、Z12#-1、Z12#-2、Y12#-1、Y12#-2、Z13#-1、Z13#-2、Y13#-1、Y13#-2、Z14#-1、Z14#-2、Y14#-1、Y14#-2、Z15#-1、Z15#-2、Y15#-1、Y15#-2、Z16#-1、Z16#-2、Y16#-1、Y16#-2墩柱存在同样问题</t>
  </si>
  <si>
    <t>2026.6.29</t>
  </si>
  <si>
    <t>修编计算中3号钢筋根数应该为2号钢筋*12，请设计复核，z11#-2墩、Y11#-1、Y11#-2、Z12#-1、Z12#-2、Y12#-1、Y12#-2、Z13#-1、Z13#-2、Y13#-1、Y13#-2、Z14#-1、Z14#-2、Y14#-1、Y14#-2、Z15#-1、Z15#-2、Y15#-1、Y15#-2、Z16#-1、Z16#-2、Y16#-1、Y16#-2墩柱存在同样问题</t>
  </si>
  <si>
    <t>109、110</t>
  </si>
  <si>
    <t>柱间系梁和桩柱系梁混凝土设计量与修编量对的上，复核汇总量</t>
  </si>
  <si>
    <t>系梁数量有误，修改数量总表</t>
  </si>
  <si>
    <t>预应力盖梁钢筋构造图</t>
  </si>
  <si>
    <t>S4-4(2)-16</t>
  </si>
  <si>
    <t>左右幅17#盖梁12号钢筋计算长度有误，0.15*2+2.948=3.248，细表汇总量有误</t>
  </si>
  <si>
    <t>2026.6.30</t>
  </si>
  <si>
    <t>T梁桥墩盖梁钢筋构造图</t>
  </si>
  <si>
    <t>6、9、10、11、12号钢筋长度与细表汇总量对不上，复核细表汇总量</t>
  </si>
  <si>
    <t>N6~N12钢筋大样钢筋长度正确，修改数量表</t>
  </si>
  <si>
    <t>定位1号钢筋的根数应该是6的倍数，请设计复核</t>
  </si>
  <si>
    <t>锚下及封锚的3号钢筋应该为36*5*2=360，而细表量是470，请设计复核</t>
  </si>
  <si>
    <t>复核正确，应为360</t>
  </si>
  <si>
    <t>预应力槽口封锚钢筋6号钢筋为12*10，图纸示意为14*10；5号钢筋为22*10，图纸示意为29*10，数字标识和钢筋布置不一样，请设计复核</t>
  </si>
  <si>
    <t>T梁桥台台帽钢筋构造图</t>
  </si>
  <si>
    <t>GW-STYT-2-54</t>
  </si>
  <si>
    <t>3a钢筋计算长度有误，=(0.014+0.157+1.99*2+1+1+2.836/2)*2=15.138，细表量为15.394</t>
  </si>
  <si>
    <t>原设计无误，弯起的端部是143mm</t>
  </si>
  <si>
    <t>12.75m桥宽斜度0，简支组合箱梁桥台耳背墙钢筋图</t>
  </si>
  <si>
    <t>GW-STYT-1-95</t>
  </si>
  <si>
    <t>12号钢筋为2*8=16根，细表量为18根；10号钢筋数量为8*2+7+6+5+4+3+2+1=44根，细表量为52根，请设计复核</t>
  </si>
  <si>
    <t>2026.7.1</t>
  </si>
  <si>
    <t>参数化图纸不可直接数图纸，例：m3=8，N12:(m3+1)*2=18，原设计无误</t>
  </si>
  <si>
    <t>12.75m桥宽斜度0，T梁耳背墙钢筋构造图</t>
  </si>
  <si>
    <t>135、136</t>
  </si>
  <si>
    <t>3a号钢筋计算长度与细表量不一致，请设计复核</t>
  </si>
  <si>
    <t>钢筋大样笔误，细表无误</t>
  </si>
  <si>
    <t>桥墩盖梁加高块钢筋构造图</t>
  </si>
  <si>
    <t>S4-4(2)-17</t>
  </si>
  <si>
    <t>115、116</t>
  </si>
  <si>
    <t>第一段和第三段3号钢筋数量与第二段数量是否弄反，第一段和第三段为15根，第二根为50根；1、1a、3号钢筋计算长度有误，请设计复核</t>
  </si>
  <si>
    <t>左右幅11#盖梁加高块混凝土=（L1+L2+L3）*（50+h1）=(2.25+7.45+2.25)*1.05*1.4=17.57，细表量为11.3，请设计复核</t>
  </si>
  <si>
    <t>2026.7.2</t>
  </si>
  <si>
    <t>（L1+L2+L3-2cm）*h1*b1,原设计无误</t>
  </si>
  <si>
    <t>挡土板4号钢筋根数为（8+1）*2=18，细表量为16，请设计复核</t>
  </si>
  <si>
    <t>应为18根</t>
  </si>
  <si>
    <t>30cm C20混凝土垫层=（L-0.3-0.6）*（b1+b2）/2*0.3=17.98，细表量为27.2；15cm未筛分碎石=（b1+b2）/2*L*0.15=10.58，细表量为26.2，请设计复核</t>
  </si>
  <si>
    <t>垫石钢筋构造图</t>
  </si>
  <si>
    <t>S4-4(2)-19</t>
  </si>
  <si>
    <t>左右幅0#-左右幅10#、左右幅11#小桩号侧垫石数量=2*4*10*2+8=168块；左右幅11#大桩号侧、左右幅14#、左右幅17#、左右幅20#垫石数量=4*2+10*2+20+5*2=58，请设计复核</t>
  </si>
  <si>
    <t>小箱梁垫石：11*2*8=176；40T伸缩缝墩处垫石：3*2*10=60；原设计无误</t>
  </si>
  <si>
    <t>SS级墙式护栏钢筋构造图</t>
  </si>
  <si>
    <t>GW-STYT-3-5</t>
  </si>
  <si>
    <t>1号钢筋数量为21根，细表量为22根，请设计复核</t>
  </si>
  <si>
    <t>2026.7.3</t>
  </si>
  <si>
    <t>滴水缘那还有一根，原设计无误</t>
  </si>
  <si>
    <t>S4-4(2)-22</t>
  </si>
  <si>
    <t>右幅8、右幅9，DN200的长度有误，应为30-1.5=28.5，请设计复核</t>
  </si>
  <si>
    <t>无误，两侧设置以后，横向还有个过渡，不然就计少了</t>
  </si>
  <si>
    <t>S4-4(2)-20</t>
  </si>
  <si>
    <t>左幅1#、2#、7#；右幅1#、6#、7#属于小箱梁上面的支座，但图纸标注为40mT梁构造，看调平块参数表临时支座为左右幅18#、19#、细表数量不一致，请设计复核</t>
  </si>
  <si>
    <t>2026.7.10</t>
  </si>
  <si>
    <t>应为左右幅18#~19#墩</t>
  </si>
  <si>
    <t>梁肋混凝土有误，请设计复核</t>
  </si>
  <si>
    <t>2026.7.14</t>
  </si>
  <si>
    <t>混凝土：242.9*12+247.1*6=4397.6，无误</t>
  </si>
  <si>
    <t>单幅桥宽12.75m，斜度0,40m连续T梁调平层钢筋构造图</t>
  </si>
  <si>
    <t>T梁预制钢筋差异较大，请设计复核；T梁整体化层差异在1号钢筋图纸标注长度与细表不一致</t>
  </si>
  <si>
    <t>钢筋大样有误，数量表无误</t>
  </si>
  <si>
    <t>T梁桥墩盖梁，11-16#墩用间距2600的通用图，18-19#墩用2250的通用图，总表全用了2250规格的通用图</t>
  </si>
  <si>
    <t>请设计复核桥面连续是否扣减两侧护栏=12.75-0.5*2=11.75；桥台编号2、3号钢筋标注长度与细表不一致</t>
  </si>
  <si>
    <t>图纸数量有误，修改图纸</t>
  </si>
  <si>
    <t>桥台处伸缩缝3、4号钢筋长度与图纸标注对不上引起的误差</t>
  </si>
  <si>
    <r>
      <rPr>
        <sz val="12"/>
        <color indexed="8"/>
        <rFont val="宋体"/>
        <charset val="134"/>
      </rPr>
      <t>修改通用图N</t>
    </r>
    <r>
      <rPr>
        <sz val="12"/>
        <color indexed="8"/>
        <rFont val="宋体"/>
        <charset val="134"/>
      </rPr>
      <t>3</t>
    </r>
  </si>
  <si>
    <t>方柱墩左右幅11#-16#，3号钢筋应该为2号钢筋的12倍，左右幅17#，3号钢筋应该为2号钢筋的5倍，请设计复核。详见编号134问题联系函</t>
  </si>
  <si>
    <t>修改图纸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</si>
</sst>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indexed="8"/>
      <name val="宋体"/>
      <charset val="134"/>
    </font>
    <font>
      <b/>
      <sz val="18"/>
      <color rgb="FF000000"/>
      <name val="宋体"/>
      <charset val="134"/>
    </font>
    <font>
      <sz val="9"/>
      <color rgb="FF000000"/>
      <name val="宋体"/>
      <charset val="134"/>
    </font>
    <font>
      <sz val="9"/>
      <color indexed="8"/>
      <name val="宋体"/>
      <charset val="134"/>
    </font>
    <font>
      <sz val="9"/>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宋体"/>
      <charset val="134"/>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5" borderId="10" applyNumberFormat="0" applyAlignment="0" applyProtection="0">
      <alignment vertical="center"/>
    </xf>
    <xf numFmtId="0" fontId="15" fillId="6" borderId="11" applyNumberFormat="0" applyAlignment="0" applyProtection="0">
      <alignment vertical="center"/>
    </xf>
    <xf numFmtId="0" fontId="16" fillId="6" borderId="10" applyNumberFormat="0" applyAlignment="0" applyProtection="0">
      <alignment vertical="center"/>
    </xf>
    <xf numFmtId="0" fontId="17" fillId="7"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9" fontId="25" fillId="0" borderId="0" applyFont="0" applyFill="0" applyBorder="0" applyAlignment="0" applyProtection="0">
      <alignment vertical="center"/>
    </xf>
    <xf numFmtId="0" fontId="26" fillId="0" borderId="0">
      <alignment vertical="center"/>
    </xf>
    <xf numFmtId="0" fontId="26" fillId="0" borderId="0">
      <alignment vertical="center"/>
    </xf>
    <xf numFmtId="0" fontId="25" fillId="0" borderId="0">
      <alignment vertical="center"/>
    </xf>
    <xf numFmtId="0" fontId="26" fillId="0" borderId="0">
      <alignment vertical="center"/>
    </xf>
    <xf numFmtId="0" fontId="25" fillId="0" borderId="0" applyFont="0"/>
    <xf numFmtId="0" fontId="25" fillId="0" borderId="0">
      <alignment vertical="center"/>
    </xf>
    <xf numFmtId="0" fontId="25" fillId="0" borderId="0"/>
    <xf numFmtId="0" fontId="25" fillId="0" borderId="0">
      <alignment vertical="center"/>
    </xf>
    <xf numFmtId="0" fontId="25" fillId="0" borderId="0">
      <alignment vertical="center"/>
    </xf>
    <xf numFmtId="0" fontId="25" fillId="0" borderId="0">
      <alignment vertical="center"/>
    </xf>
  </cellStyleXfs>
  <cellXfs count="26">
    <xf numFmtId="0" fontId="0" fillId="0" borderId="0" xfId="0">
      <alignment vertical="center"/>
    </xf>
    <xf numFmtId="0" fontId="1" fillId="0" borderId="0" xfId="0" applyNumberFormat="1" applyFont="1" applyFill="1" applyAlignment="1">
      <alignment horizontal="center" vertical="center" wrapText="1"/>
    </xf>
    <xf numFmtId="0" fontId="2"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left" vertical="center" wrapText="1"/>
    </xf>
    <xf numFmtId="0" fontId="4" fillId="0" borderId="5" xfId="0" applyFont="1" applyFill="1" applyBorder="1" applyAlignment="1">
      <alignment horizontal="center" vertical="center" wrapText="1"/>
    </xf>
    <xf numFmtId="0" fontId="4" fillId="0" borderId="5" xfId="0" applyFont="1" applyBorder="1" applyAlignment="1">
      <alignmen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2" xfId="0" applyNumberFormat="1" applyFont="1" applyFill="1" applyBorder="1" applyAlignment="1">
      <alignment horizontal="center" vertical="center" wrapText="1"/>
    </xf>
    <xf numFmtId="0" fontId="3" fillId="0" borderId="2" xfId="0" applyFont="1" applyBorder="1" applyAlignment="1">
      <alignment horizontal="left" vertical="center" wrapText="1"/>
    </xf>
    <xf numFmtId="0" fontId="0" fillId="0" borderId="5" xfId="0"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0" fillId="0" borderId="5" xfId="0" applyFont="1" applyBorder="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3" xfId="49"/>
    <cellStyle name="常规_附录B：招标清单预算编审对比文件" xfId="50"/>
    <cellStyle name="常规_附录A 招标清单预算文件（公路工程）" xfId="51"/>
    <cellStyle name="常规_潮惠概算拆分情况表（参考）" xfId="52"/>
    <cellStyle name="常规_新台批复概算拆分2 2" xfId="53"/>
    <cellStyle name="常规 8" xfId="54"/>
    <cellStyle name="常规 2 2" xfId="55"/>
    <cellStyle name="常规 2" xfId="56"/>
    <cellStyle name="常规_潮惠(T1～T4 T6标)清单预算审查情况表（1204） 2" xfId="57"/>
    <cellStyle name="常规_潮惠(T1～T4 T6标)清单预算审查情况表（1204）" xfId="58"/>
    <cellStyle name="常规_高速公路审查情况统计表(20110113)" xfId="5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5" Type="http://schemas.openxmlformats.org/officeDocument/2006/relationships/styles" Target="styles.xml"/><Relationship Id="rId14" Type="http://www.wps.cn/officeDocument/2020/cellImage" Target="cellimag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7.xml"/><Relationship Id="rId10" Type="http://schemas.openxmlformats.org/officeDocument/2006/relationships/externalLink" Target="externalLinks/externalLink6.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19050</xdr:colOff>
      <xdr:row>111</xdr:row>
      <xdr:rowOff>200025</xdr:rowOff>
    </xdr:from>
    <xdr:to>
      <xdr:col>12</xdr:col>
      <xdr:colOff>368935</xdr:colOff>
      <xdr:row>112</xdr:row>
      <xdr:rowOff>314325</xdr:rowOff>
    </xdr:to>
    <xdr:pic>
      <xdr:nvPicPr>
        <xdr:cNvPr id="2" name="图片 1"/>
        <xdr:cNvPicPr>
          <a:picLocks noChangeAspect="1"/>
        </xdr:cNvPicPr>
      </xdr:nvPicPr>
      <xdr:blipFill>
        <a:blip r:embed="rId1"/>
        <a:stretch>
          <a:fillRect/>
        </a:stretch>
      </xdr:blipFill>
      <xdr:spPr>
        <a:xfrm>
          <a:off x="8274050" y="143141700"/>
          <a:ext cx="1716405" cy="400050"/>
        </a:xfrm>
        <a:prstGeom prst="rect">
          <a:avLst/>
        </a:prstGeom>
      </xdr:spPr>
    </xdr:pic>
    <xdr:clientData/>
  </xdr:twoCellAnchor>
  <xdr:twoCellAnchor editAs="oneCell">
    <xdr:from>
      <xdr:col>10</xdr:col>
      <xdr:colOff>152401</xdr:colOff>
      <xdr:row>148</xdr:row>
      <xdr:rowOff>66675</xdr:rowOff>
    </xdr:from>
    <xdr:to>
      <xdr:col>11</xdr:col>
      <xdr:colOff>666116</xdr:colOff>
      <xdr:row>148</xdr:row>
      <xdr:rowOff>504190</xdr:rowOff>
    </xdr:to>
    <xdr:pic>
      <xdr:nvPicPr>
        <xdr:cNvPr id="3" name="图片 2"/>
        <xdr:cNvPicPr>
          <a:picLocks noChangeAspect="1"/>
        </xdr:cNvPicPr>
      </xdr:nvPicPr>
      <xdr:blipFill>
        <a:blip r:embed="rId2"/>
        <a:stretch>
          <a:fillRect/>
        </a:stretch>
      </xdr:blipFill>
      <xdr:spPr>
        <a:xfrm>
          <a:off x="8407400" y="194871975"/>
          <a:ext cx="1196975" cy="43751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01\jhc\unzipped\Eastern%20Airline%20FE\Spares\FILES\SMCTS2\SMCTSSP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01\jhc\unzipped\Eastern%20Airline%20FE\GP\tamer\WINDOWS\GP_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TS01\jhc\CHR\ARBEJDE\Q4D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TS01\jhc\unzipped\Eastern%20Airline%20FE\Backup%20of%20Backup%20of%20LINDA%20LISTONE.xlk"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TEMP\GOLDPYR4\ARENTO\TOOLBO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Administrator\Desktop\&#36741;&#21161;&#34920;&#26684;\&#26045;&#24037;&#22270;&#39044;&#31639;&#38656;&#22635;&#20889;&#30340;&#25968;&#25454;\&#27010;&#31639;\&#27010;&#31639;&#25286;&#20998;&#21450;&#36335;&#38754;&#32479;&#35745;\POWER%20ASSUMPTION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S01\jhc\unzipped\Eastern%20Airline%20FE\GP\tamer\DOS\TEMP\GPTLBX9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qpmad2"/>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inanc. Overview"/>
      <sheetName val="Toolbox"/>
    </sheetNames>
    <sheetDataSet>
      <sheetData sheetId="0" refreshError="1"/>
      <sheetData sheetId="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pen"/>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oolbox"/>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OWER ASSUMPTIONS"/>
    </sheetNames>
    <sheetDataSet>
      <sheetData sheetId="0"/>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Toolbox"/>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2"/>
  <sheetViews>
    <sheetView tabSelected="1" workbookViewId="0">
      <selection activeCell="F6" sqref="F6"/>
    </sheetView>
  </sheetViews>
  <sheetFormatPr defaultColWidth="8.96666666666667" defaultRowHeight="15.75"/>
  <cols>
    <col min="6" max="6" width="27.6333333333333" customWidth="1"/>
  </cols>
  <sheetData>
    <row r="1" ht="23.25" spans="1:17">
      <c r="A1" s="1" t="s">
        <v>0</v>
      </c>
      <c r="B1" s="1"/>
      <c r="C1" s="1"/>
      <c r="D1" s="1"/>
      <c r="E1" s="1"/>
      <c r="F1" s="1"/>
      <c r="G1" s="1"/>
      <c r="H1" s="1"/>
      <c r="I1" s="1"/>
      <c r="J1" s="1"/>
      <c r="K1" s="1"/>
      <c r="L1" s="1"/>
      <c r="M1" s="1"/>
      <c r="N1" s="1"/>
      <c r="O1" s="1"/>
      <c r="P1" s="1"/>
      <c r="Q1" s="1"/>
    </row>
    <row r="2" ht="22.5" spans="1:17">
      <c r="A2" s="2" t="s">
        <v>1</v>
      </c>
      <c r="B2" s="2" t="s">
        <v>2</v>
      </c>
      <c r="C2" s="2" t="s">
        <v>3</v>
      </c>
      <c r="D2" s="2" t="s">
        <v>4</v>
      </c>
      <c r="E2" s="2" t="s">
        <v>5</v>
      </c>
      <c r="F2" s="2" t="s">
        <v>6</v>
      </c>
      <c r="G2" s="2" t="s">
        <v>7</v>
      </c>
      <c r="H2" s="2" t="s">
        <v>8</v>
      </c>
      <c r="I2" s="2" t="s">
        <v>9</v>
      </c>
      <c r="J2" s="2" t="s">
        <v>10</v>
      </c>
      <c r="K2" s="2" t="s">
        <v>11</v>
      </c>
    </row>
    <row r="3" ht="45" spans="1:17">
      <c r="A3" s="3">
        <f t="shared" ref="A3:A66" si="0">ROW()-2</f>
        <v>1</v>
      </c>
      <c r="B3" s="3" t="s">
        <v>12</v>
      </c>
      <c r="C3" s="3" t="s">
        <v>13</v>
      </c>
      <c r="D3" s="3" t="s">
        <v>14</v>
      </c>
      <c r="E3" s="3">
        <v>22</v>
      </c>
      <c r="F3" s="3" t="s">
        <v>15</v>
      </c>
      <c r="G3" s="3" t="s">
        <v>16</v>
      </c>
      <c r="H3" s="4"/>
      <c r="I3" s="4"/>
      <c r="J3" s="4"/>
      <c r="K3" s="5" t="s">
        <v>17</v>
      </c>
    </row>
    <row r="4" ht="67.5" spans="1:17">
      <c r="A4" s="3">
        <f t="shared" si="0"/>
        <v>2</v>
      </c>
      <c r="B4" s="3" t="s">
        <v>12</v>
      </c>
      <c r="C4" s="3" t="s">
        <v>13</v>
      </c>
      <c r="D4" s="3" t="s">
        <v>14</v>
      </c>
      <c r="E4" s="3" t="s">
        <v>18</v>
      </c>
      <c r="F4" s="3" t="s">
        <v>19</v>
      </c>
      <c r="G4" s="3" t="s">
        <v>20</v>
      </c>
      <c r="H4" s="3"/>
      <c r="I4" s="4"/>
      <c r="J4" s="4"/>
      <c r="K4" s="6" t="s">
        <v>21</v>
      </c>
    </row>
    <row r="5" ht="56.25" spans="1:17">
      <c r="A5" s="3">
        <f t="shared" si="0"/>
        <v>3</v>
      </c>
      <c r="B5" s="3" t="s">
        <v>22</v>
      </c>
      <c r="C5" s="3" t="s">
        <v>13</v>
      </c>
      <c r="D5" s="3" t="s">
        <v>23</v>
      </c>
      <c r="E5" s="3" t="s">
        <v>24</v>
      </c>
      <c r="F5" s="3" t="s">
        <v>25</v>
      </c>
      <c r="G5" s="3" t="s">
        <v>26</v>
      </c>
      <c r="H5" s="3"/>
      <c r="I5" s="4"/>
      <c r="J5" s="4"/>
      <c r="K5" s="7" t="s">
        <v>27</v>
      </c>
    </row>
    <row r="6" ht="101.25" spans="1:17">
      <c r="A6" s="3">
        <f t="shared" si="0"/>
        <v>4</v>
      </c>
      <c r="B6" s="3" t="s">
        <v>28</v>
      </c>
      <c r="C6" s="3" t="s">
        <v>13</v>
      </c>
      <c r="D6" s="3" t="s">
        <v>29</v>
      </c>
      <c r="E6" s="3" t="s">
        <v>30</v>
      </c>
      <c r="F6" s="3" t="s">
        <v>31</v>
      </c>
      <c r="G6" s="3" t="s">
        <v>32</v>
      </c>
      <c r="H6" s="3"/>
      <c r="I6" s="4"/>
      <c r="J6" s="4"/>
      <c r="K6" s="7" t="s">
        <v>33</v>
      </c>
    </row>
    <row r="7" ht="45" spans="1:17">
      <c r="A7" s="3">
        <f t="shared" si="0"/>
        <v>5</v>
      </c>
      <c r="B7" s="3" t="s">
        <v>28</v>
      </c>
      <c r="C7" s="3" t="s">
        <v>13</v>
      </c>
      <c r="D7" s="3" t="s">
        <v>34</v>
      </c>
      <c r="E7" s="3">
        <v>32</v>
      </c>
      <c r="F7" s="3" t="s">
        <v>35</v>
      </c>
      <c r="G7" s="4" t="s">
        <v>36</v>
      </c>
      <c r="H7" s="3"/>
      <c r="I7" s="4"/>
      <c r="J7" s="4"/>
      <c r="K7" s="7" t="s">
        <v>37</v>
      </c>
    </row>
    <row r="8" ht="45" spans="1:17">
      <c r="A8" s="3">
        <f t="shared" si="0"/>
        <v>6</v>
      </c>
      <c r="B8" s="3" t="s">
        <v>28</v>
      </c>
      <c r="C8" s="3" t="s">
        <v>13</v>
      </c>
      <c r="D8" s="3" t="s">
        <v>34</v>
      </c>
      <c r="E8" s="3">
        <v>32</v>
      </c>
      <c r="F8" s="3" t="s">
        <v>38</v>
      </c>
      <c r="G8" s="3" t="s">
        <v>39</v>
      </c>
      <c r="H8" s="3"/>
      <c r="I8" s="4"/>
      <c r="J8" s="4"/>
      <c r="K8" s="7" t="s">
        <v>40</v>
      </c>
    </row>
    <row r="9" ht="67.5" spans="1:17">
      <c r="A9" s="3">
        <f t="shared" si="0"/>
        <v>7</v>
      </c>
      <c r="B9" s="3" t="s">
        <v>41</v>
      </c>
      <c r="C9" s="3" t="s">
        <v>13</v>
      </c>
      <c r="D9" s="3" t="s">
        <v>42</v>
      </c>
      <c r="E9" s="3">
        <v>37</v>
      </c>
      <c r="F9" s="3" t="s">
        <v>43</v>
      </c>
      <c r="G9" s="3" t="s">
        <v>44</v>
      </c>
      <c r="H9" s="3"/>
      <c r="I9" s="4"/>
      <c r="J9" s="4"/>
      <c r="K9" s="7" t="s">
        <v>45</v>
      </c>
    </row>
    <row r="10" ht="90" spans="1:17">
      <c r="A10" s="3">
        <f t="shared" si="0"/>
        <v>8</v>
      </c>
      <c r="B10" s="3" t="s">
        <v>46</v>
      </c>
      <c r="C10" s="3" t="s">
        <v>13</v>
      </c>
      <c r="D10" s="3" t="s">
        <v>47</v>
      </c>
      <c r="E10" s="3">
        <v>38</v>
      </c>
      <c r="F10" s="3" t="s">
        <v>48</v>
      </c>
      <c r="G10" s="3" t="s">
        <v>49</v>
      </c>
      <c r="H10" s="3"/>
      <c r="I10" s="4"/>
      <c r="J10" s="4"/>
      <c r="K10" s="7" t="s">
        <v>50</v>
      </c>
    </row>
    <row r="11" ht="168.75" spans="1:17">
      <c r="A11" s="3">
        <f t="shared" si="0"/>
        <v>9</v>
      </c>
      <c r="B11" s="3" t="s">
        <v>51</v>
      </c>
      <c r="C11" s="3" t="s">
        <v>13</v>
      </c>
      <c r="D11" s="3" t="s">
        <v>52</v>
      </c>
      <c r="E11" s="3">
        <v>41</v>
      </c>
      <c r="F11" s="3" t="s">
        <v>53</v>
      </c>
      <c r="G11" s="3" t="s">
        <v>54</v>
      </c>
      <c r="H11" s="3"/>
      <c r="I11" s="4"/>
      <c r="J11" s="4"/>
      <c r="K11" s="7" t="s">
        <v>55</v>
      </c>
    </row>
    <row r="12" ht="236.25" spans="1:17">
      <c r="A12" s="3">
        <f t="shared" si="0"/>
        <v>10</v>
      </c>
      <c r="B12" s="3" t="s">
        <v>51</v>
      </c>
      <c r="C12" s="3" t="s">
        <v>13</v>
      </c>
      <c r="D12" s="3" t="s">
        <v>52</v>
      </c>
      <c r="E12" s="4">
        <v>43</v>
      </c>
      <c r="F12" s="4" t="s">
        <v>56</v>
      </c>
      <c r="G12" s="3" t="s">
        <v>54</v>
      </c>
      <c r="H12" s="3"/>
      <c r="I12" s="4"/>
      <c r="J12" s="4"/>
      <c r="K12" s="7" t="s">
        <v>57</v>
      </c>
    </row>
    <row r="13" ht="157.5" spans="1:17">
      <c r="A13" s="3">
        <f t="shared" si="0"/>
        <v>11</v>
      </c>
      <c r="B13" s="3" t="s">
        <v>58</v>
      </c>
      <c r="C13" s="3" t="s">
        <v>13</v>
      </c>
      <c r="D13" s="3" t="s">
        <v>59</v>
      </c>
      <c r="E13" s="4">
        <v>45</v>
      </c>
      <c r="F13" s="4" t="s">
        <v>60</v>
      </c>
      <c r="G13" s="3" t="s">
        <v>61</v>
      </c>
      <c r="H13" s="3"/>
      <c r="I13" s="4"/>
      <c r="J13" s="4"/>
      <c r="K13" s="7" t="s">
        <v>62</v>
      </c>
    </row>
    <row r="14" ht="157.5" spans="1:17">
      <c r="A14" s="3">
        <f t="shared" si="0"/>
        <v>12</v>
      </c>
      <c r="B14" s="3" t="s">
        <v>58</v>
      </c>
      <c r="C14" s="3" t="s">
        <v>13</v>
      </c>
      <c r="D14" s="3" t="s">
        <v>59</v>
      </c>
      <c r="E14" s="4">
        <v>45</v>
      </c>
      <c r="F14" s="4" t="s">
        <v>63</v>
      </c>
      <c r="G14" s="3" t="s">
        <v>54</v>
      </c>
      <c r="H14" s="3"/>
      <c r="I14" s="4"/>
      <c r="J14" s="4"/>
      <c r="K14" s="7" t="s">
        <v>64</v>
      </c>
    </row>
    <row r="15" ht="78.75" spans="1:17">
      <c r="A15" s="3">
        <f t="shared" si="0"/>
        <v>13</v>
      </c>
      <c r="B15" s="4" t="s">
        <v>65</v>
      </c>
      <c r="C15" s="3" t="s">
        <v>13</v>
      </c>
      <c r="D15" s="3" t="s">
        <v>66</v>
      </c>
      <c r="E15" s="4">
        <v>49</v>
      </c>
      <c r="F15" s="4" t="s">
        <v>67</v>
      </c>
      <c r="G15" s="3" t="s">
        <v>61</v>
      </c>
      <c r="H15" s="3"/>
      <c r="I15" s="4"/>
      <c r="J15" s="4"/>
      <c r="K15" s="7" t="s">
        <v>68</v>
      </c>
    </row>
    <row r="16" ht="67.5" spans="1:17">
      <c r="A16" s="3">
        <f t="shared" si="0"/>
        <v>14</v>
      </c>
      <c r="B16" s="4" t="s">
        <v>65</v>
      </c>
      <c r="C16" s="3" t="s">
        <v>13</v>
      </c>
      <c r="D16" s="3" t="s">
        <v>66</v>
      </c>
      <c r="E16" s="4">
        <v>49</v>
      </c>
      <c r="F16" s="4" t="s">
        <v>69</v>
      </c>
      <c r="G16" s="3" t="s">
        <v>70</v>
      </c>
      <c r="H16" s="3"/>
      <c r="I16" s="4"/>
      <c r="J16" s="4"/>
      <c r="K16" s="7" t="s">
        <v>71</v>
      </c>
    </row>
    <row r="17" ht="78.75" spans="1:11">
      <c r="A17" s="3">
        <f t="shared" si="0"/>
        <v>15</v>
      </c>
      <c r="B17" s="4" t="s">
        <v>65</v>
      </c>
      <c r="C17" s="3" t="s">
        <v>13</v>
      </c>
      <c r="D17" s="3" t="s">
        <v>66</v>
      </c>
      <c r="E17" s="4">
        <v>51</v>
      </c>
      <c r="F17" s="4" t="s">
        <v>72</v>
      </c>
      <c r="G17" s="3" t="s">
        <v>73</v>
      </c>
      <c r="H17" s="3"/>
      <c r="I17" s="4"/>
      <c r="J17" s="4"/>
      <c r="K17" s="7" t="s">
        <v>74</v>
      </c>
    </row>
    <row r="18" ht="112.5" spans="1:11">
      <c r="A18" s="3">
        <f t="shared" si="0"/>
        <v>16</v>
      </c>
      <c r="B18" s="4" t="s">
        <v>75</v>
      </c>
      <c r="C18" s="3" t="s">
        <v>13</v>
      </c>
      <c r="D18" s="3" t="s">
        <v>76</v>
      </c>
      <c r="E18" s="4">
        <v>53</v>
      </c>
      <c r="F18" s="4" t="s">
        <v>77</v>
      </c>
      <c r="G18" s="3" t="s">
        <v>78</v>
      </c>
      <c r="H18" s="3"/>
      <c r="I18" s="4"/>
      <c r="J18" s="4"/>
      <c r="K18" s="7" t="s">
        <v>79</v>
      </c>
    </row>
    <row r="19" ht="409.5" spans="1:11">
      <c r="A19" s="3">
        <f t="shared" si="0"/>
        <v>17</v>
      </c>
      <c r="B19" s="4" t="s">
        <v>80</v>
      </c>
      <c r="C19" s="3" t="s">
        <v>13</v>
      </c>
      <c r="D19" s="3" t="s">
        <v>81</v>
      </c>
      <c r="E19" s="3" t="s">
        <v>82</v>
      </c>
      <c r="F19" s="4" t="s">
        <v>83</v>
      </c>
      <c r="G19" s="3" t="s">
        <v>84</v>
      </c>
      <c r="H19" s="3"/>
      <c r="I19" s="4"/>
      <c r="J19" s="4"/>
      <c r="K19" s="5" t="s">
        <v>85</v>
      </c>
    </row>
    <row r="20" ht="191.25" spans="1:11">
      <c r="A20" s="3">
        <f t="shared" si="0"/>
        <v>18</v>
      </c>
      <c r="B20" s="4" t="s">
        <v>65</v>
      </c>
      <c r="C20" s="3" t="s">
        <v>13</v>
      </c>
      <c r="D20" s="3" t="s">
        <v>66</v>
      </c>
      <c r="E20" s="4">
        <v>51</v>
      </c>
      <c r="F20" s="4" t="s">
        <v>86</v>
      </c>
      <c r="G20" s="4" t="s">
        <v>87</v>
      </c>
      <c r="H20" s="3"/>
      <c r="I20" s="4"/>
      <c r="J20" s="4"/>
      <c r="K20" s="7" t="s">
        <v>88</v>
      </c>
    </row>
    <row r="21" ht="56.25" spans="1:11">
      <c r="A21" s="3">
        <f t="shared" si="0"/>
        <v>19</v>
      </c>
      <c r="B21" s="3" t="s">
        <v>89</v>
      </c>
      <c r="C21" s="3" t="s">
        <v>13</v>
      </c>
      <c r="D21" s="3" t="s">
        <v>90</v>
      </c>
      <c r="E21" s="3">
        <v>101</v>
      </c>
      <c r="F21" s="3" t="s">
        <v>91</v>
      </c>
      <c r="G21" s="3" t="s">
        <v>92</v>
      </c>
      <c r="H21" s="3"/>
      <c r="I21" s="4"/>
      <c r="J21" s="4"/>
      <c r="K21" s="8" t="s">
        <v>93</v>
      </c>
    </row>
    <row r="22" ht="90" spans="1:11">
      <c r="A22" s="3">
        <f t="shared" si="0"/>
        <v>20</v>
      </c>
      <c r="B22" s="3" t="s">
        <v>89</v>
      </c>
      <c r="C22" s="3" t="s">
        <v>13</v>
      </c>
      <c r="D22" s="3" t="s">
        <v>90</v>
      </c>
      <c r="E22" s="3">
        <v>103</v>
      </c>
      <c r="F22" s="3" t="s">
        <v>94</v>
      </c>
      <c r="G22" s="3" t="s">
        <v>95</v>
      </c>
      <c r="H22" s="3"/>
      <c r="I22" s="4"/>
      <c r="J22" s="4"/>
      <c r="K22" s="9"/>
    </row>
    <row r="23" ht="67.5" spans="1:11">
      <c r="A23" s="3">
        <f t="shared" si="0"/>
        <v>21</v>
      </c>
      <c r="B23" s="3" t="s">
        <v>96</v>
      </c>
      <c r="C23" s="3" t="s">
        <v>13</v>
      </c>
      <c r="D23" s="3" t="s">
        <v>97</v>
      </c>
      <c r="E23" s="3">
        <v>105</v>
      </c>
      <c r="F23" s="3" t="s">
        <v>98</v>
      </c>
      <c r="G23" s="3" t="s">
        <v>95</v>
      </c>
      <c r="H23" s="3"/>
      <c r="I23" s="4"/>
      <c r="J23" s="4"/>
      <c r="K23" s="9"/>
    </row>
    <row r="24" ht="67.5" spans="1:11">
      <c r="A24" s="3">
        <f t="shared" si="0"/>
        <v>22</v>
      </c>
      <c r="B24" s="3" t="s">
        <v>99</v>
      </c>
      <c r="C24" s="3" t="s">
        <v>13</v>
      </c>
      <c r="D24" s="3" t="s">
        <v>100</v>
      </c>
      <c r="E24" s="3">
        <v>106</v>
      </c>
      <c r="F24" s="3" t="s">
        <v>101</v>
      </c>
      <c r="G24" s="3" t="s">
        <v>95</v>
      </c>
      <c r="H24" s="3"/>
      <c r="I24" s="4"/>
      <c r="J24" s="4"/>
      <c r="K24" s="10"/>
    </row>
    <row r="25" ht="45" spans="1:11">
      <c r="A25" s="3">
        <f t="shared" si="0"/>
        <v>23</v>
      </c>
      <c r="B25" s="3" t="s">
        <v>102</v>
      </c>
      <c r="C25" s="3" t="s">
        <v>13</v>
      </c>
      <c r="D25" s="3" t="s">
        <v>103</v>
      </c>
      <c r="E25" s="3">
        <v>114</v>
      </c>
      <c r="F25" s="3" t="s">
        <v>104</v>
      </c>
      <c r="G25" s="3" t="s">
        <v>92</v>
      </c>
      <c r="H25" s="3"/>
      <c r="I25" s="4"/>
      <c r="J25" s="4"/>
      <c r="K25" s="5" t="s">
        <v>105</v>
      </c>
    </row>
    <row r="26" ht="135" spans="1:11">
      <c r="A26" s="3">
        <f t="shared" si="0"/>
        <v>24</v>
      </c>
      <c r="B26" s="3" t="s">
        <v>106</v>
      </c>
      <c r="C26" s="3" t="s">
        <v>13</v>
      </c>
      <c r="D26" s="3" t="s">
        <v>107</v>
      </c>
      <c r="E26" s="3">
        <v>129</v>
      </c>
      <c r="F26" s="3" t="s">
        <v>108</v>
      </c>
      <c r="G26" s="3" t="s">
        <v>109</v>
      </c>
      <c r="H26" s="3"/>
      <c r="I26" s="4"/>
      <c r="J26" s="4"/>
      <c r="K26" s="5" t="s">
        <v>110</v>
      </c>
    </row>
    <row r="27" ht="45" spans="1:11">
      <c r="A27" s="3">
        <f t="shared" si="0"/>
        <v>25</v>
      </c>
      <c r="B27" s="3" t="s">
        <v>111</v>
      </c>
      <c r="C27" s="3" t="s">
        <v>13</v>
      </c>
      <c r="D27" s="3" t="s">
        <v>112</v>
      </c>
      <c r="E27" s="3">
        <v>135</v>
      </c>
      <c r="F27" s="3" t="s">
        <v>113</v>
      </c>
      <c r="G27" s="3" t="s">
        <v>109</v>
      </c>
      <c r="H27" s="3"/>
      <c r="I27" s="4"/>
      <c r="J27" s="4"/>
      <c r="K27" s="5" t="s">
        <v>114</v>
      </c>
    </row>
    <row r="28" ht="45" spans="1:11">
      <c r="A28" s="3">
        <f t="shared" si="0"/>
        <v>26</v>
      </c>
      <c r="B28" s="3" t="s">
        <v>111</v>
      </c>
      <c r="C28" s="3" t="s">
        <v>13</v>
      </c>
      <c r="D28" s="3" t="s">
        <v>112</v>
      </c>
      <c r="E28" s="3">
        <v>135</v>
      </c>
      <c r="F28" s="3" t="s">
        <v>115</v>
      </c>
      <c r="G28" s="3" t="s">
        <v>109</v>
      </c>
      <c r="H28" s="3"/>
      <c r="I28" s="4"/>
      <c r="J28" s="4"/>
      <c r="K28" s="5" t="s">
        <v>116</v>
      </c>
    </row>
    <row r="29" ht="67.5" spans="1:11">
      <c r="A29" s="3">
        <f t="shared" si="0"/>
        <v>27</v>
      </c>
      <c r="B29" s="3" t="s">
        <v>117</v>
      </c>
      <c r="C29" s="3" t="s">
        <v>13</v>
      </c>
      <c r="D29" s="3" t="s">
        <v>118</v>
      </c>
      <c r="E29" s="3">
        <v>134</v>
      </c>
      <c r="F29" s="3" t="s">
        <v>119</v>
      </c>
      <c r="G29" s="3" t="s">
        <v>109</v>
      </c>
      <c r="H29" s="3"/>
      <c r="I29" s="4"/>
      <c r="J29" s="4"/>
      <c r="K29" s="5" t="s">
        <v>45</v>
      </c>
    </row>
    <row r="30" ht="56.25" spans="1:11">
      <c r="A30" s="3">
        <f t="shared" si="0"/>
        <v>28</v>
      </c>
      <c r="B30" s="3" t="s">
        <v>120</v>
      </c>
      <c r="C30" s="3" t="s">
        <v>13</v>
      </c>
      <c r="D30" s="3" t="s">
        <v>121</v>
      </c>
      <c r="E30" s="3">
        <v>45</v>
      </c>
      <c r="F30" s="3" t="s">
        <v>122</v>
      </c>
      <c r="G30" s="3" t="s">
        <v>95</v>
      </c>
      <c r="H30" s="3"/>
      <c r="I30" s="4"/>
      <c r="J30" s="4"/>
      <c r="K30" s="5" t="s">
        <v>123</v>
      </c>
    </row>
    <row r="31" ht="78.75" spans="1:11">
      <c r="A31" s="3">
        <f t="shared" si="0"/>
        <v>29</v>
      </c>
      <c r="B31" s="3" t="s">
        <v>120</v>
      </c>
      <c r="C31" s="3" t="s">
        <v>13</v>
      </c>
      <c r="D31" s="3" t="s">
        <v>121</v>
      </c>
      <c r="E31" s="3">
        <v>45</v>
      </c>
      <c r="F31" s="3" t="s">
        <v>124</v>
      </c>
      <c r="G31" s="3" t="s">
        <v>125</v>
      </c>
      <c r="H31" s="3"/>
      <c r="I31" s="4"/>
      <c r="J31" s="4"/>
      <c r="K31" s="5" t="s">
        <v>126</v>
      </c>
    </row>
    <row r="32" ht="78.75" spans="1:11">
      <c r="A32" s="3">
        <f t="shared" si="0"/>
        <v>30</v>
      </c>
      <c r="B32" s="3" t="s">
        <v>127</v>
      </c>
      <c r="C32" s="3" t="s">
        <v>13</v>
      </c>
      <c r="D32" s="3" t="s">
        <v>128</v>
      </c>
      <c r="E32" s="3" t="s">
        <v>129</v>
      </c>
      <c r="F32" s="3" t="s">
        <v>130</v>
      </c>
      <c r="G32" s="3" t="s">
        <v>95</v>
      </c>
      <c r="H32" s="3"/>
      <c r="I32" s="4"/>
      <c r="J32" s="4"/>
      <c r="K32" s="5" t="s">
        <v>131</v>
      </c>
    </row>
    <row r="33" ht="157.5" spans="1:11">
      <c r="A33" s="3">
        <f t="shared" si="0"/>
        <v>31</v>
      </c>
      <c r="B33" s="3" t="s">
        <v>132</v>
      </c>
      <c r="C33" s="3" t="s">
        <v>13</v>
      </c>
      <c r="D33" s="3" t="s">
        <v>133</v>
      </c>
      <c r="E33" s="3">
        <v>113</v>
      </c>
      <c r="F33" s="3" t="s">
        <v>134</v>
      </c>
      <c r="G33" s="3" t="s">
        <v>95</v>
      </c>
      <c r="H33" s="3"/>
      <c r="I33" s="4"/>
      <c r="J33" s="4"/>
      <c r="K33" s="5" t="s">
        <v>135</v>
      </c>
    </row>
    <row r="34" ht="90" spans="1:11">
      <c r="A34" s="3">
        <f t="shared" si="0"/>
        <v>32</v>
      </c>
      <c r="B34" s="3" t="s">
        <v>136</v>
      </c>
      <c r="C34" s="3" t="s">
        <v>13</v>
      </c>
      <c r="D34" s="3" t="s">
        <v>34</v>
      </c>
      <c r="E34" s="3">
        <v>32</v>
      </c>
      <c r="F34" s="4" t="s">
        <v>137</v>
      </c>
      <c r="G34" s="3" t="s">
        <v>138</v>
      </c>
      <c r="H34" s="3" t="s">
        <v>139</v>
      </c>
      <c r="I34" s="3" t="s">
        <v>140</v>
      </c>
      <c r="J34" s="4"/>
      <c r="K34" s="11" t="s">
        <v>141</v>
      </c>
    </row>
    <row r="35" ht="45" spans="1:11">
      <c r="A35" s="3">
        <f t="shared" si="0"/>
        <v>33</v>
      </c>
      <c r="B35" s="3" t="s">
        <v>142</v>
      </c>
      <c r="C35" s="3" t="s">
        <v>13</v>
      </c>
      <c r="D35" s="3" t="s">
        <v>143</v>
      </c>
      <c r="E35" s="3">
        <v>40</v>
      </c>
      <c r="F35" s="4" t="s">
        <v>144</v>
      </c>
      <c r="G35" s="3" t="s">
        <v>138</v>
      </c>
      <c r="H35" s="3" t="s">
        <v>139</v>
      </c>
      <c r="I35" s="3" t="s">
        <v>140</v>
      </c>
      <c r="J35" s="4"/>
      <c r="K35" s="11" t="s">
        <v>145</v>
      </c>
    </row>
    <row r="36" ht="67.5" spans="1:11">
      <c r="A36" s="3">
        <f t="shared" si="0"/>
        <v>34</v>
      </c>
      <c r="B36" s="3" t="s">
        <v>146</v>
      </c>
      <c r="C36" s="3" t="s">
        <v>13</v>
      </c>
      <c r="D36" s="3" t="s">
        <v>47</v>
      </c>
      <c r="E36" s="3">
        <v>38</v>
      </c>
      <c r="F36" s="4" t="s">
        <v>147</v>
      </c>
      <c r="G36" s="3" t="s">
        <v>138</v>
      </c>
      <c r="H36" s="3" t="s">
        <v>139</v>
      </c>
      <c r="I36" s="3" t="s">
        <v>148</v>
      </c>
      <c r="J36" s="4"/>
      <c r="K36" s="11" t="s">
        <v>149</v>
      </c>
    </row>
    <row r="37" ht="180" spans="1:11">
      <c r="A37" s="3">
        <f t="shared" si="0"/>
        <v>35</v>
      </c>
      <c r="B37" s="3" t="s">
        <v>150</v>
      </c>
      <c r="C37" s="3" t="s">
        <v>151</v>
      </c>
      <c r="D37" s="3" t="s">
        <v>152</v>
      </c>
      <c r="E37" s="3" t="s">
        <v>153</v>
      </c>
      <c r="F37" s="3" t="s">
        <v>154</v>
      </c>
      <c r="G37" s="3" t="s">
        <v>155</v>
      </c>
      <c r="H37" s="3" t="s">
        <v>156</v>
      </c>
      <c r="I37" s="4"/>
      <c r="J37" s="4"/>
      <c r="K37" s="5" t="s">
        <v>157</v>
      </c>
    </row>
    <row r="38" ht="146.25" spans="1:11">
      <c r="A38" s="3">
        <f t="shared" si="0"/>
        <v>36</v>
      </c>
      <c r="B38" s="3" t="s">
        <v>150</v>
      </c>
      <c r="C38" s="3" t="s">
        <v>151</v>
      </c>
      <c r="D38" s="3" t="s">
        <v>152</v>
      </c>
      <c r="E38" s="3" t="s">
        <v>153</v>
      </c>
      <c r="F38" s="3" t="s">
        <v>158</v>
      </c>
      <c r="G38" s="3" t="s">
        <v>159</v>
      </c>
      <c r="H38" s="3" t="s">
        <v>156</v>
      </c>
      <c r="I38" s="4"/>
      <c r="J38" s="4"/>
      <c r="K38" s="5" t="s">
        <v>157</v>
      </c>
    </row>
    <row r="39" ht="33.75" spans="1:11">
      <c r="A39" s="3">
        <f t="shared" si="0"/>
        <v>37</v>
      </c>
      <c r="B39" s="3" t="s">
        <v>150</v>
      </c>
      <c r="C39" s="3" t="s">
        <v>151</v>
      </c>
      <c r="D39" s="3" t="s">
        <v>152</v>
      </c>
      <c r="E39" s="3" t="s">
        <v>160</v>
      </c>
      <c r="F39" s="4" t="s">
        <v>161</v>
      </c>
      <c r="G39" s="3" t="s">
        <v>125</v>
      </c>
      <c r="H39" s="3" t="s">
        <v>156</v>
      </c>
      <c r="I39" s="4"/>
      <c r="J39" s="4"/>
      <c r="K39" s="5" t="s">
        <v>157</v>
      </c>
    </row>
    <row r="40" ht="67.5" spans="1:11">
      <c r="A40" s="3">
        <f t="shared" si="0"/>
        <v>38</v>
      </c>
      <c r="B40" s="3" t="s">
        <v>150</v>
      </c>
      <c r="C40" s="3" t="s">
        <v>151</v>
      </c>
      <c r="D40" s="3" t="s">
        <v>152</v>
      </c>
      <c r="E40" s="3" t="s">
        <v>160</v>
      </c>
      <c r="F40" s="3" t="s">
        <v>162</v>
      </c>
      <c r="G40" s="3" t="s">
        <v>138</v>
      </c>
      <c r="H40" s="3" t="s">
        <v>156</v>
      </c>
      <c r="I40" s="4"/>
      <c r="J40" s="4"/>
      <c r="K40" s="5" t="s">
        <v>157</v>
      </c>
    </row>
    <row r="41" ht="112.5" spans="1:11">
      <c r="A41" s="3">
        <f t="shared" si="0"/>
        <v>39</v>
      </c>
      <c r="B41" s="3" t="s">
        <v>163</v>
      </c>
      <c r="C41" s="3" t="s">
        <v>151</v>
      </c>
      <c r="D41" s="3" t="s">
        <v>164</v>
      </c>
      <c r="E41" s="3" t="s">
        <v>165</v>
      </c>
      <c r="F41" s="3" t="s">
        <v>166</v>
      </c>
      <c r="G41" s="3" t="s">
        <v>95</v>
      </c>
      <c r="H41" s="3" t="s">
        <v>156</v>
      </c>
      <c r="I41" s="4"/>
      <c r="J41" s="4"/>
      <c r="K41" s="5" t="s">
        <v>157</v>
      </c>
    </row>
    <row r="42" ht="135" spans="1:11">
      <c r="A42" s="3">
        <f t="shared" si="0"/>
        <v>40</v>
      </c>
      <c r="B42" s="3" t="s">
        <v>163</v>
      </c>
      <c r="C42" s="3" t="s">
        <v>151</v>
      </c>
      <c r="D42" s="3" t="s">
        <v>164</v>
      </c>
      <c r="E42" s="3" t="s">
        <v>165</v>
      </c>
      <c r="F42" s="3" t="s">
        <v>167</v>
      </c>
      <c r="G42" s="3" t="s">
        <v>138</v>
      </c>
      <c r="H42" s="3" t="s">
        <v>156</v>
      </c>
      <c r="I42" s="4"/>
      <c r="J42" s="4"/>
      <c r="K42" s="5" t="s">
        <v>157</v>
      </c>
    </row>
    <row r="43" ht="78.75" spans="1:11">
      <c r="A43" s="3">
        <f t="shared" si="0"/>
        <v>41</v>
      </c>
      <c r="B43" s="3" t="s">
        <v>168</v>
      </c>
      <c r="C43" s="3" t="s">
        <v>151</v>
      </c>
      <c r="D43" s="3" t="s">
        <v>169</v>
      </c>
      <c r="E43" s="3">
        <v>87</v>
      </c>
      <c r="F43" s="3" t="s">
        <v>170</v>
      </c>
      <c r="G43" s="3" t="s">
        <v>171</v>
      </c>
      <c r="H43" s="3" t="s">
        <v>156</v>
      </c>
      <c r="I43" s="4"/>
      <c r="J43" s="4"/>
      <c r="K43" s="5" t="s">
        <v>157</v>
      </c>
    </row>
    <row r="44" ht="45" spans="1:11">
      <c r="A44" s="3">
        <f t="shared" si="0"/>
        <v>42</v>
      </c>
      <c r="B44" s="3" t="s">
        <v>168</v>
      </c>
      <c r="C44" s="3" t="s">
        <v>151</v>
      </c>
      <c r="D44" s="3" t="s">
        <v>169</v>
      </c>
      <c r="E44" s="3">
        <v>87</v>
      </c>
      <c r="F44" s="3" t="s">
        <v>172</v>
      </c>
      <c r="G44" s="3" t="s">
        <v>173</v>
      </c>
      <c r="H44" s="3" t="s">
        <v>156</v>
      </c>
      <c r="I44" s="4"/>
      <c r="J44" s="4"/>
      <c r="K44" s="5" t="s">
        <v>157</v>
      </c>
    </row>
    <row r="45" ht="101.25" spans="1:11">
      <c r="A45" s="3">
        <f t="shared" si="0"/>
        <v>43</v>
      </c>
      <c r="B45" s="3" t="s">
        <v>168</v>
      </c>
      <c r="C45" s="3" t="s">
        <v>151</v>
      </c>
      <c r="D45" s="3" t="s">
        <v>169</v>
      </c>
      <c r="E45" s="3">
        <v>87</v>
      </c>
      <c r="F45" s="3" t="s">
        <v>174</v>
      </c>
      <c r="G45" s="3" t="s">
        <v>175</v>
      </c>
      <c r="H45" s="3" t="s">
        <v>156</v>
      </c>
      <c r="I45" s="4"/>
      <c r="J45" s="4"/>
      <c r="K45" s="5" t="s">
        <v>157</v>
      </c>
    </row>
    <row r="46" ht="112.5" spans="1:11">
      <c r="A46" s="3">
        <f t="shared" si="0"/>
        <v>44</v>
      </c>
      <c r="B46" s="3" t="s">
        <v>168</v>
      </c>
      <c r="C46" s="3" t="s">
        <v>151</v>
      </c>
      <c r="D46" s="3" t="s">
        <v>169</v>
      </c>
      <c r="E46" s="3">
        <v>93</v>
      </c>
      <c r="F46" s="3" t="s">
        <v>176</v>
      </c>
      <c r="G46" s="3" t="s">
        <v>138</v>
      </c>
      <c r="H46" s="3" t="s">
        <v>156</v>
      </c>
      <c r="I46" s="4"/>
      <c r="J46" s="4"/>
      <c r="K46" s="5" t="s">
        <v>157</v>
      </c>
    </row>
    <row r="47" ht="101.25" spans="1:11">
      <c r="A47" s="3">
        <f t="shared" si="0"/>
        <v>45</v>
      </c>
      <c r="B47" s="3" t="s">
        <v>168</v>
      </c>
      <c r="C47" s="3" t="s">
        <v>151</v>
      </c>
      <c r="D47" s="3" t="s">
        <v>169</v>
      </c>
      <c r="E47" s="3">
        <v>93</v>
      </c>
      <c r="F47" s="3" t="s">
        <v>177</v>
      </c>
      <c r="G47" s="3" t="s">
        <v>138</v>
      </c>
      <c r="H47" s="3" t="s">
        <v>156</v>
      </c>
      <c r="I47" s="4"/>
      <c r="J47" s="4"/>
      <c r="K47" s="5" t="s">
        <v>157</v>
      </c>
    </row>
    <row r="48" ht="112.5" spans="1:11">
      <c r="A48" s="3">
        <f t="shared" si="0"/>
        <v>46</v>
      </c>
      <c r="B48" s="3" t="s">
        <v>168</v>
      </c>
      <c r="C48" s="3" t="s">
        <v>151</v>
      </c>
      <c r="D48" s="3" t="s">
        <v>169</v>
      </c>
      <c r="E48" s="3">
        <v>93</v>
      </c>
      <c r="F48" s="3" t="s">
        <v>178</v>
      </c>
      <c r="G48" s="3" t="s">
        <v>138</v>
      </c>
      <c r="H48" s="3" t="s">
        <v>156</v>
      </c>
      <c r="I48" s="4"/>
      <c r="J48" s="4"/>
      <c r="K48" s="5" t="s">
        <v>157</v>
      </c>
    </row>
    <row r="49" ht="112.5" spans="1:11">
      <c r="A49" s="3">
        <f t="shared" si="0"/>
        <v>47</v>
      </c>
      <c r="B49" s="3" t="s">
        <v>179</v>
      </c>
      <c r="C49" s="3" t="s">
        <v>151</v>
      </c>
      <c r="D49" s="3" t="s">
        <v>180</v>
      </c>
      <c r="E49" s="3">
        <v>95</v>
      </c>
      <c r="F49" s="3" t="s">
        <v>181</v>
      </c>
      <c r="G49" s="3" t="s">
        <v>138</v>
      </c>
      <c r="H49" s="3" t="s">
        <v>156</v>
      </c>
      <c r="I49" s="4"/>
      <c r="J49" s="4"/>
      <c r="K49" s="5" t="s">
        <v>157</v>
      </c>
    </row>
    <row r="50" ht="33.75" spans="1:11">
      <c r="A50" s="3">
        <f t="shared" si="0"/>
        <v>48</v>
      </c>
      <c r="B50" s="3" t="s">
        <v>179</v>
      </c>
      <c r="C50" s="3" t="s">
        <v>151</v>
      </c>
      <c r="D50" s="3" t="s">
        <v>180</v>
      </c>
      <c r="E50" s="3">
        <v>94</v>
      </c>
      <c r="F50" s="3" t="s">
        <v>182</v>
      </c>
      <c r="G50" s="3" t="s">
        <v>138</v>
      </c>
      <c r="H50" s="3" t="s">
        <v>156</v>
      </c>
      <c r="I50" s="4"/>
      <c r="J50" s="4"/>
      <c r="K50" s="5" t="s">
        <v>157</v>
      </c>
    </row>
    <row r="51" ht="56.25" spans="1:11">
      <c r="A51" s="3">
        <f t="shared" si="0"/>
        <v>49</v>
      </c>
      <c r="B51" s="3" t="s">
        <v>183</v>
      </c>
      <c r="C51" s="3" t="s">
        <v>151</v>
      </c>
      <c r="D51" s="3" t="s">
        <v>184</v>
      </c>
      <c r="E51" s="3" t="s">
        <v>185</v>
      </c>
      <c r="F51" s="3" t="s">
        <v>186</v>
      </c>
      <c r="G51" s="3" t="s">
        <v>138</v>
      </c>
      <c r="H51" s="3" t="s">
        <v>156</v>
      </c>
      <c r="I51" s="4"/>
      <c r="J51" s="4"/>
      <c r="K51" s="5" t="s">
        <v>157</v>
      </c>
    </row>
    <row r="52" ht="146.25" spans="1:11">
      <c r="A52" s="3">
        <f t="shared" si="0"/>
        <v>50</v>
      </c>
      <c r="B52" s="3" t="s">
        <v>150</v>
      </c>
      <c r="C52" s="3" t="s">
        <v>187</v>
      </c>
      <c r="D52" s="3" t="s">
        <v>188</v>
      </c>
      <c r="E52" s="3" t="s">
        <v>189</v>
      </c>
      <c r="F52" s="3" t="s">
        <v>190</v>
      </c>
      <c r="G52" s="3" t="s">
        <v>155</v>
      </c>
      <c r="H52" s="3" t="s">
        <v>156</v>
      </c>
      <c r="I52" s="4"/>
      <c r="J52" s="4"/>
      <c r="K52" s="5" t="s">
        <v>157</v>
      </c>
    </row>
    <row r="53" ht="123.75" spans="1:11">
      <c r="A53" s="3">
        <f t="shared" si="0"/>
        <v>51</v>
      </c>
      <c r="B53" s="3" t="s">
        <v>150</v>
      </c>
      <c r="C53" s="3" t="s">
        <v>187</v>
      </c>
      <c r="D53" s="3" t="s">
        <v>188</v>
      </c>
      <c r="E53" s="3" t="s">
        <v>189</v>
      </c>
      <c r="F53" s="3" t="s">
        <v>191</v>
      </c>
      <c r="G53" s="3" t="s">
        <v>192</v>
      </c>
      <c r="H53" s="3" t="s">
        <v>156</v>
      </c>
      <c r="I53" s="4"/>
      <c r="J53" s="4"/>
      <c r="K53" s="5" t="s">
        <v>157</v>
      </c>
    </row>
    <row r="54" ht="146.25" spans="1:11">
      <c r="A54" s="3">
        <f t="shared" si="0"/>
        <v>52</v>
      </c>
      <c r="B54" s="3" t="s">
        <v>150</v>
      </c>
      <c r="C54" s="3" t="s">
        <v>187</v>
      </c>
      <c r="D54" s="3" t="s">
        <v>188</v>
      </c>
      <c r="E54" s="3" t="s">
        <v>189</v>
      </c>
      <c r="F54" s="3" t="s">
        <v>193</v>
      </c>
      <c r="G54" s="3" t="s">
        <v>159</v>
      </c>
      <c r="H54" s="3" t="s">
        <v>156</v>
      </c>
      <c r="I54" s="12"/>
      <c r="J54" s="12"/>
      <c r="K54" s="13" t="s">
        <v>194</v>
      </c>
    </row>
    <row r="55" ht="45" spans="1:11">
      <c r="A55" s="3">
        <f t="shared" si="0"/>
        <v>53</v>
      </c>
      <c r="B55" s="3" t="s">
        <v>150</v>
      </c>
      <c r="C55" s="3" t="s">
        <v>187</v>
      </c>
      <c r="D55" s="3" t="s">
        <v>188</v>
      </c>
      <c r="E55" s="3">
        <v>69</v>
      </c>
      <c r="F55" s="3" t="s">
        <v>195</v>
      </c>
      <c r="G55" s="3" t="s">
        <v>196</v>
      </c>
      <c r="H55" s="3" t="s">
        <v>156</v>
      </c>
      <c r="I55" s="12"/>
      <c r="J55" s="12"/>
      <c r="K55" s="13" t="s">
        <v>197</v>
      </c>
    </row>
    <row r="56" ht="67.5" spans="1:11">
      <c r="A56" s="3">
        <f t="shared" si="0"/>
        <v>54</v>
      </c>
      <c r="B56" s="3" t="s">
        <v>150</v>
      </c>
      <c r="C56" s="3" t="s">
        <v>187</v>
      </c>
      <c r="D56" s="3" t="s">
        <v>198</v>
      </c>
      <c r="E56" s="3" t="s">
        <v>199</v>
      </c>
      <c r="F56" s="3" t="s">
        <v>200</v>
      </c>
      <c r="G56" s="3" t="s">
        <v>109</v>
      </c>
      <c r="H56" s="3" t="s">
        <v>156</v>
      </c>
      <c r="I56" s="12"/>
      <c r="J56" s="12"/>
      <c r="K56" s="13" t="s">
        <v>201</v>
      </c>
    </row>
    <row r="57" ht="78.75" spans="1:11">
      <c r="A57" s="3">
        <f t="shared" si="0"/>
        <v>55</v>
      </c>
      <c r="B57" s="3" t="s">
        <v>168</v>
      </c>
      <c r="C57" s="3" t="s">
        <v>187</v>
      </c>
      <c r="D57" s="3" t="s">
        <v>202</v>
      </c>
      <c r="E57" s="3">
        <v>72</v>
      </c>
      <c r="F57" s="3" t="s">
        <v>170</v>
      </c>
      <c r="G57" s="3" t="s">
        <v>171</v>
      </c>
      <c r="H57" s="3" t="s">
        <v>156</v>
      </c>
      <c r="I57" s="12"/>
      <c r="J57" s="12"/>
      <c r="K57" s="13" t="s">
        <v>203</v>
      </c>
    </row>
    <row r="58" ht="45" spans="1:11">
      <c r="A58" s="3">
        <f t="shared" si="0"/>
        <v>56</v>
      </c>
      <c r="B58" s="3" t="s">
        <v>168</v>
      </c>
      <c r="C58" s="3" t="s">
        <v>187</v>
      </c>
      <c r="D58" s="3" t="s">
        <v>202</v>
      </c>
      <c r="E58" s="3">
        <v>72</v>
      </c>
      <c r="F58" s="3" t="s">
        <v>172</v>
      </c>
      <c r="G58" s="3" t="s">
        <v>173</v>
      </c>
      <c r="H58" s="3" t="s">
        <v>156</v>
      </c>
      <c r="I58" s="12"/>
      <c r="J58" s="12"/>
      <c r="K58" s="13" t="s">
        <v>204</v>
      </c>
    </row>
    <row r="59" ht="45" spans="1:11">
      <c r="A59" s="3">
        <f t="shared" si="0"/>
        <v>57</v>
      </c>
      <c r="B59" s="3" t="s">
        <v>168</v>
      </c>
      <c r="C59" s="3" t="s">
        <v>187</v>
      </c>
      <c r="D59" s="3" t="s">
        <v>202</v>
      </c>
      <c r="E59" s="3">
        <v>72</v>
      </c>
      <c r="F59" s="3" t="s">
        <v>205</v>
      </c>
      <c r="G59" s="3" t="s">
        <v>206</v>
      </c>
      <c r="H59" s="3" t="s">
        <v>156</v>
      </c>
      <c r="I59" s="12"/>
      <c r="J59" s="12"/>
      <c r="K59" s="13" t="s">
        <v>207</v>
      </c>
    </row>
    <row r="60" ht="33.75" spans="1:11">
      <c r="A60" s="3">
        <f t="shared" si="0"/>
        <v>58</v>
      </c>
      <c r="B60" s="3" t="s">
        <v>208</v>
      </c>
      <c r="C60" s="3" t="s">
        <v>187</v>
      </c>
      <c r="D60" s="3" t="s">
        <v>209</v>
      </c>
      <c r="E60" s="3">
        <v>93</v>
      </c>
      <c r="F60" s="3" t="s">
        <v>210</v>
      </c>
      <c r="G60" s="3" t="s">
        <v>138</v>
      </c>
      <c r="H60" s="3" t="s">
        <v>156</v>
      </c>
      <c r="I60" s="12"/>
      <c r="J60" s="12"/>
      <c r="K60" s="13" t="s">
        <v>211</v>
      </c>
    </row>
    <row r="61" ht="67.5" spans="1:11">
      <c r="A61" s="3">
        <f t="shared" si="0"/>
        <v>59</v>
      </c>
      <c r="B61" s="3" t="s">
        <v>212</v>
      </c>
      <c r="C61" s="3" t="s">
        <v>187</v>
      </c>
      <c r="D61" s="3" t="s">
        <v>213</v>
      </c>
      <c r="E61" s="3">
        <v>16</v>
      </c>
      <c r="F61" s="3" t="s">
        <v>214</v>
      </c>
      <c r="G61" s="3" t="s">
        <v>138</v>
      </c>
      <c r="H61" s="3" t="s">
        <v>156</v>
      </c>
      <c r="I61" s="4"/>
      <c r="J61" s="4"/>
      <c r="K61" s="5" t="s">
        <v>215</v>
      </c>
    </row>
    <row r="62" ht="33.75" spans="1:11">
      <c r="A62" s="3">
        <f t="shared" si="0"/>
        <v>60</v>
      </c>
      <c r="B62" s="4" t="s">
        <v>216</v>
      </c>
      <c r="C62" s="4" t="s">
        <v>217</v>
      </c>
      <c r="D62" s="4" t="s">
        <v>218</v>
      </c>
      <c r="E62" s="3">
        <v>108</v>
      </c>
      <c r="F62" s="3" t="s">
        <v>219</v>
      </c>
      <c r="G62" s="3" t="s">
        <v>95</v>
      </c>
      <c r="H62" s="3" t="s">
        <v>220</v>
      </c>
      <c r="I62" s="4"/>
      <c r="J62" s="4"/>
      <c r="K62" s="4" t="s">
        <v>221</v>
      </c>
    </row>
    <row r="63" ht="90" spans="1:11">
      <c r="A63" s="3">
        <f t="shared" si="0"/>
        <v>61</v>
      </c>
      <c r="B63" s="3" t="s">
        <v>222</v>
      </c>
      <c r="C63" s="4" t="s">
        <v>217</v>
      </c>
      <c r="D63" s="4" t="s">
        <v>223</v>
      </c>
      <c r="E63" s="3">
        <v>121</v>
      </c>
      <c r="F63" s="3" t="s">
        <v>224</v>
      </c>
      <c r="G63" s="3" t="s">
        <v>95</v>
      </c>
      <c r="H63" s="3" t="s">
        <v>220</v>
      </c>
      <c r="I63" s="4"/>
      <c r="J63" s="4"/>
      <c r="K63" s="4" t="s">
        <v>225</v>
      </c>
    </row>
    <row r="64" ht="67.5" spans="1:11">
      <c r="A64" s="3">
        <f t="shared" si="0"/>
        <v>62</v>
      </c>
      <c r="B64" s="3" t="s">
        <v>222</v>
      </c>
      <c r="C64" s="4" t="s">
        <v>217</v>
      </c>
      <c r="D64" s="4" t="s">
        <v>223</v>
      </c>
      <c r="E64" s="3">
        <v>125</v>
      </c>
      <c r="F64" s="3" t="s">
        <v>226</v>
      </c>
      <c r="G64" s="3" t="s">
        <v>95</v>
      </c>
      <c r="H64" s="3" t="s">
        <v>220</v>
      </c>
      <c r="I64" s="4"/>
      <c r="J64" s="4"/>
      <c r="K64" s="4" t="s">
        <v>227</v>
      </c>
    </row>
    <row r="65" ht="56.25" spans="1:11">
      <c r="A65" s="3">
        <f t="shared" si="0"/>
        <v>63</v>
      </c>
      <c r="B65" s="3" t="s">
        <v>228</v>
      </c>
      <c r="C65" s="4" t="s">
        <v>217</v>
      </c>
      <c r="D65" s="4" t="s">
        <v>229</v>
      </c>
      <c r="E65" s="3">
        <v>144</v>
      </c>
      <c r="F65" s="3" t="s">
        <v>230</v>
      </c>
      <c r="G65" s="3" t="s">
        <v>95</v>
      </c>
      <c r="H65" s="3" t="s">
        <v>220</v>
      </c>
      <c r="I65" s="4"/>
      <c r="J65" s="4"/>
      <c r="K65" s="4" t="s">
        <v>231</v>
      </c>
    </row>
    <row r="66" ht="67.5" spans="1:11">
      <c r="A66" s="3">
        <f t="shared" si="0"/>
        <v>64</v>
      </c>
      <c r="B66" s="3" t="s">
        <v>232</v>
      </c>
      <c r="C66" s="4" t="s">
        <v>217</v>
      </c>
      <c r="D66" s="4" t="s">
        <v>233</v>
      </c>
      <c r="E66" s="3">
        <v>154</v>
      </c>
      <c r="F66" s="3" t="s">
        <v>234</v>
      </c>
      <c r="G66" s="3" t="s">
        <v>95</v>
      </c>
      <c r="H66" s="3" t="s">
        <v>220</v>
      </c>
      <c r="I66" s="4"/>
      <c r="J66" s="4"/>
      <c r="K66" s="4" t="s">
        <v>131</v>
      </c>
    </row>
    <row r="67" ht="67.5" spans="1:11">
      <c r="A67" s="3">
        <f t="shared" ref="A67:A130" si="1">ROW()-2</f>
        <v>65</v>
      </c>
      <c r="B67" s="3" t="s">
        <v>235</v>
      </c>
      <c r="C67" s="4" t="s">
        <v>217</v>
      </c>
      <c r="D67" s="4" t="s">
        <v>236</v>
      </c>
      <c r="E67" s="3">
        <v>160</v>
      </c>
      <c r="F67" s="3" t="s">
        <v>237</v>
      </c>
      <c r="G67" s="3" t="s">
        <v>95</v>
      </c>
      <c r="H67" s="3" t="s">
        <v>220</v>
      </c>
      <c r="I67" s="4"/>
      <c r="J67" s="4"/>
      <c r="K67" s="4" t="s">
        <v>131</v>
      </c>
    </row>
    <row r="68" ht="33.75" spans="1:11">
      <c r="A68" s="3">
        <f t="shared" si="1"/>
        <v>66</v>
      </c>
      <c r="B68" s="3" t="s">
        <v>238</v>
      </c>
      <c r="C68" s="4" t="s">
        <v>217</v>
      </c>
      <c r="D68" s="4" t="s">
        <v>239</v>
      </c>
      <c r="E68" s="3">
        <v>167</v>
      </c>
      <c r="F68" s="3" t="s">
        <v>240</v>
      </c>
      <c r="G68" s="3" t="s">
        <v>95</v>
      </c>
      <c r="H68" s="3" t="s">
        <v>220</v>
      </c>
      <c r="I68" s="4"/>
      <c r="J68" s="4"/>
      <c r="K68" s="14" t="s">
        <v>241</v>
      </c>
    </row>
    <row r="69" ht="33.75" spans="1:11">
      <c r="A69" s="3">
        <f t="shared" si="1"/>
        <v>67</v>
      </c>
      <c r="B69" s="3" t="s">
        <v>242</v>
      </c>
      <c r="C69" s="4" t="s">
        <v>217</v>
      </c>
      <c r="D69" s="4" t="s">
        <v>243</v>
      </c>
      <c r="E69" s="3">
        <v>172</v>
      </c>
      <c r="F69" s="3" t="s">
        <v>244</v>
      </c>
      <c r="G69" s="3" t="s">
        <v>95</v>
      </c>
      <c r="H69" s="3" t="s">
        <v>220</v>
      </c>
      <c r="I69" s="4"/>
      <c r="J69" s="4"/>
      <c r="K69" s="15"/>
    </row>
    <row r="70" ht="33.75" spans="1:11">
      <c r="A70" s="3">
        <f t="shared" si="1"/>
        <v>68</v>
      </c>
      <c r="B70" s="3" t="s">
        <v>245</v>
      </c>
      <c r="C70" s="4" t="s">
        <v>217</v>
      </c>
      <c r="D70" s="4" t="s">
        <v>246</v>
      </c>
      <c r="E70" s="3">
        <v>177</v>
      </c>
      <c r="F70" s="3" t="s">
        <v>247</v>
      </c>
      <c r="G70" s="3" t="s">
        <v>95</v>
      </c>
      <c r="H70" s="3" t="s">
        <v>220</v>
      </c>
      <c r="I70" s="4"/>
      <c r="J70" s="4"/>
      <c r="K70" s="16"/>
    </row>
    <row r="71" ht="101.25" spans="1:11">
      <c r="A71" s="3">
        <f t="shared" si="1"/>
        <v>69</v>
      </c>
      <c r="B71" s="3" t="s">
        <v>183</v>
      </c>
      <c r="C71" s="4" t="s">
        <v>217</v>
      </c>
      <c r="D71" s="4" t="s">
        <v>248</v>
      </c>
      <c r="E71" s="3">
        <v>195</v>
      </c>
      <c r="F71" s="3" t="s">
        <v>249</v>
      </c>
      <c r="G71" s="3" t="s">
        <v>95</v>
      </c>
      <c r="H71" s="3" t="s">
        <v>220</v>
      </c>
      <c r="I71" s="17"/>
      <c r="J71" s="17"/>
      <c r="K71" s="17" t="s">
        <v>241</v>
      </c>
    </row>
    <row r="72" ht="168.75" spans="1:11">
      <c r="A72" s="3">
        <f t="shared" si="1"/>
        <v>70</v>
      </c>
      <c r="B72" s="3" t="s">
        <v>250</v>
      </c>
      <c r="C72" s="3" t="s">
        <v>251</v>
      </c>
      <c r="D72" s="3" t="s">
        <v>252</v>
      </c>
      <c r="E72" s="3">
        <v>10</v>
      </c>
      <c r="F72" s="4" t="s">
        <v>253</v>
      </c>
      <c r="G72" s="3" t="s">
        <v>138</v>
      </c>
      <c r="H72" s="3" t="s">
        <v>220</v>
      </c>
      <c r="I72" s="17"/>
      <c r="J72" s="17"/>
      <c r="K72" s="17" t="s">
        <v>254</v>
      </c>
    </row>
    <row r="73" ht="45" spans="1:11">
      <c r="A73" s="3">
        <f t="shared" si="1"/>
        <v>71</v>
      </c>
      <c r="B73" s="3" t="s">
        <v>250</v>
      </c>
      <c r="C73" s="3" t="s">
        <v>255</v>
      </c>
      <c r="D73" s="3" t="s">
        <v>256</v>
      </c>
      <c r="E73" s="3">
        <v>68</v>
      </c>
      <c r="F73" s="4" t="s">
        <v>257</v>
      </c>
      <c r="G73" s="3" t="s">
        <v>138</v>
      </c>
      <c r="H73" s="3" t="s">
        <v>220</v>
      </c>
      <c r="I73" s="17"/>
      <c r="J73" s="17"/>
      <c r="K73" s="17" t="s">
        <v>258</v>
      </c>
    </row>
    <row r="74" ht="135" spans="1:11">
      <c r="A74" s="3">
        <f t="shared" si="1"/>
        <v>72</v>
      </c>
      <c r="B74" s="3" t="s">
        <v>250</v>
      </c>
      <c r="C74" s="3" t="s">
        <v>259</v>
      </c>
      <c r="D74" s="3" t="s">
        <v>260</v>
      </c>
      <c r="E74" s="3">
        <v>72</v>
      </c>
      <c r="F74" s="4" t="s">
        <v>261</v>
      </c>
      <c r="G74" s="3" t="s">
        <v>138</v>
      </c>
      <c r="H74" s="3" t="s">
        <v>220</v>
      </c>
      <c r="I74" s="18"/>
      <c r="J74" s="18"/>
      <c r="K74" s="18" t="s">
        <v>262</v>
      </c>
    </row>
    <row r="75" ht="112.5" spans="1:11">
      <c r="A75" s="3">
        <f t="shared" si="1"/>
        <v>73</v>
      </c>
      <c r="B75" s="3" t="s">
        <v>250</v>
      </c>
      <c r="C75" s="3" t="s">
        <v>259</v>
      </c>
      <c r="D75" s="3" t="s">
        <v>263</v>
      </c>
      <c r="E75" s="3">
        <v>72</v>
      </c>
      <c r="F75" s="4" t="s">
        <v>264</v>
      </c>
      <c r="G75" s="3" t="s">
        <v>138</v>
      </c>
      <c r="H75" s="3" t="s">
        <v>220</v>
      </c>
      <c r="I75" s="18"/>
      <c r="J75" s="18"/>
      <c r="K75" s="18" t="s">
        <v>265</v>
      </c>
    </row>
    <row r="76" ht="157.5" spans="1:11">
      <c r="A76" s="3">
        <f t="shared" si="1"/>
        <v>74</v>
      </c>
      <c r="B76" s="3" t="s">
        <v>250</v>
      </c>
      <c r="C76" s="3" t="s">
        <v>259</v>
      </c>
      <c r="D76" s="3" t="s">
        <v>266</v>
      </c>
      <c r="E76" s="3">
        <v>72</v>
      </c>
      <c r="F76" s="4" t="s">
        <v>267</v>
      </c>
      <c r="G76" s="3" t="s">
        <v>138</v>
      </c>
      <c r="H76" s="3" t="s">
        <v>220</v>
      </c>
      <c r="I76" s="18"/>
      <c r="J76" s="18"/>
      <c r="K76" s="18" t="s">
        <v>268</v>
      </c>
    </row>
    <row r="77" ht="78.75" spans="1:11">
      <c r="A77" s="3">
        <f t="shared" si="1"/>
        <v>75</v>
      </c>
      <c r="B77" s="3" t="s">
        <v>250</v>
      </c>
      <c r="C77" s="3" t="s">
        <v>259</v>
      </c>
      <c r="D77" s="3" t="s">
        <v>266</v>
      </c>
      <c r="E77" s="3">
        <v>72</v>
      </c>
      <c r="F77" s="4" t="s">
        <v>269</v>
      </c>
      <c r="G77" s="3" t="s">
        <v>138</v>
      </c>
      <c r="H77" s="3" t="s">
        <v>220</v>
      </c>
      <c r="I77" s="18"/>
      <c r="J77" s="18"/>
      <c r="K77" s="18" t="s">
        <v>270</v>
      </c>
    </row>
    <row r="78" ht="56.25" spans="1:11">
      <c r="A78" s="3">
        <f t="shared" si="1"/>
        <v>76</v>
      </c>
      <c r="B78" s="3" t="s">
        <v>250</v>
      </c>
      <c r="C78" s="3" t="s">
        <v>259</v>
      </c>
      <c r="D78" s="3" t="s">
        <v>271</v>
      </c>
      <c r="E78" s="4">
        <v>74</v>
      </c>
      <c r="F78" s="4" t="s">
        <v>272</v>
      </c>
      <c r="G78" s="3" t="s">
        <v>138</v>
      </c>
      <c r="H78" s="3" t="s">
        <v>220</v>
      </c>
      <c r="I78" s="17"/>
      <c r="J78" s="17"/>
      <c r="K78" s="17" t="s">
        <v>93</v>
      </c>
    </row>
    <row r="79" ht="247.5" spans="1:11">
      <c r="A79" s="3">
        <f t="shared" si="1"/>
        <v>77</v>
      </c>
      <c r="B79" s="3" t="s">
        <v>250</v>
      </c>
      <c r="C79" s="3" t="s">
        <v>273</v>
      </c>
      <c r="D79" s="3" t="s">
        <v>274</v>
      </c>
      <c r="E79" s="4">
        <v>149</v>
      </c>
      <c r="F79" s="4" t="s">
        <v>275</v>
      </c>
      <c r="G79" s="3" t="s">
        <v>138</v>
      </c>
      <c r="H79" s="3" t="s">
        <v>220</v>
      </c>
      <c r="I79" s="18"/>
      <c r="J79" s="18"/>
      <c r="K79" s="18" t="s">
        <v>265</v>
      </c>
    </row>
    <row r="80" ht="157.5" spans="1:11">
      <c r="A80" s="3">
        <f t="shared" si="1"/>
        <v>78</v>
      </c>
      <c r="B80" s="3" t="s">
        <v>250</v>
      </c>
      <c r="C80" s="3" t="s">
        <v>276</v>
      </c>
      <c r="D80" s="3" t="s">
        <v>277</v>
      </c>
      <c r="E80" s="4">
        <v>151</v>
      </c>
      <c r="F80" s="4" t="s">
        <v>278</v>
      </c>
      <c r="G80" s="3" t="s">
        <v>138</v>
      </c>
      <c r="H80" s="3" t="s">
        <v>220</v>
      </c>
      <c r="I80" s="18"/>
      <c r="J80" s="18"/>
      <c r="K80" s="18" t="s">
        <v>279</v>
      </c>
    </row>
    <row r="81" ht="157.5" spans="1:11">
      <c r="A81" s="3">
        <f t="shared" si="1"/>
        <v>79</v>
      </c>
      <c r="B81" s="3" t="s">
        <v>250</v>
      </c>
      <c r="C81" s="3" t="s">
        <v>280</v>
      </c>
      <c r="D81" s="3" t="s">
        <v>281</v>
      </c>
      <c r="E81" s="4">
        <v>151</v>
      </c>
      <c r="F81" s="3" t="s">
        <v>282</v>
      </c>
      <c r="G81" s="3" t="s">
        <v>138</v>
      </c>
      <c r="H81" s="3" t="s">
        <v>220</v>
      </c>
      <c r="I81" s="18"/>
      <c r="J81" s="18"/>
      <c r="K81" s="17" t="s">
        <v>93</v>
      </c>
    </row>
    <row r="82" ht="90" spans="1:11">
      <c r="A82" s="3">
        <f t="shared" si="1"/>
        <v>80</v>
      </c>
      <c r="B82" s="3" t="s">
        <v>250</v>
      </c>
      <c r="C82" s="3" t="s">
        <v>280</v>
      </c>
      <c r="D82" s="3" t="s">
        <v>281</v>
      </c>
      <c r="E82" s="3">
        <v>154</v>
      </c>
      <c r="F82" s="3" t="s">
        <v>283</v>
      </c>
      <c r="G82" s="3" t="s">
        <v>138</v>
      </c>
      <c r="H82" s="3" t="s">
        <v>220</v>
      </c>
      <c r="I82" s="18"/>
      <c r="J82" s="18"/>
      <c r="K82" s="18" t="s">
        <v>284</v>
      </c>
    </row>
    <row r="83" ht="123.75" spans="1:11">
      <c r="A83" s="3">
        <f t="shared" si="1"/>
        <v>81</v>
      </c>
      <c r="B83" s="3" t="s">
        <v>250</v>
      </c>
      <c r="C83" s="3" t="s">
        <v>280</v>
      </c>
      <c r="D83" s="3" t="s">
        <v>281</v>
      </c>
      <c r="E83" s="3">
        <v>154</v>
      </c>
      <c r="F83" s="3" t="s">
        <v>285</v>
      </c>
      <c r="G83" s="3" t="s">
        <v>138</v>
      </c>
      <c r="H83" s="3" t="s">
        <v>220</v>
      </c>
      <c r="I83" s="18"/>
      <c r="J83" s="18"/>
      <c r="K83" s="17" t="s">
        <v>93</v>
      </c>
    </row>
    <row r="84" ht="393.75" spans="1:11">
      <c r="A84" s="3">
        <f t="shared" si="1"/>
        <v>82</v>
      </c>
      <c r="B84" s="3" t="s">
        <v>250</v>
      </c>
      <c r="C84" s="3" t="s">
        <v>280</v>
      </c>
      <c r="D84" s="4" t="s">
        <v>281</v>
      </c>
      <c r="E84" s="3">
        <v>154</v>
      </c>
      <c r="F84" s="3" t="s">
        <v>286</v>
      </c>
      <c r="G84" s="3" t="s">
        <v>138</v>
      </c>
      <c r="H84" s="3" t="s">
        <v>220</v>
      </c>
      <c r="I84" s="18"/>
      <c r="J84" s="18"/>
      <c r="K84" s="18" t="s">
        <v>287</v>
      </c>
    </row>
    <row r="85" ht="101.25" spans="1:11">
      <c r="A85" s="3">
        <f t="shared" si="1"/>
        <v>83</v>
      </c>
      <c r="B85" s="3" t="s">
        <v>250</v>
      </c>
      <c r="C85" s="3" t="s">
        <v>280</v>
      </c>
      <c r="D85" s="4" t="s">
        <v>281</v>
      </c>
      <c r="E85" s="3">
        <v>156</v>
      </c>
      <c r="F85" s="3" t="s">
        <v>288</v>
      </c>
      <c r="G85" s="3" t="s">
        <v>138</v>
      </c>
      <c r="H85" s="3" t="s">
        <v>220</v>
      </c>
      <c r="I85" s="18"/>
      <c r="J85" s="18"/>
      <c r="K85" s="18" t="s">
        <v>289</v>
      </c>
    </row>
    <row r="86" ht="180" spans="1:11">
      <c r="A86" s="3">
        <f t="shared" si="1"/>
        <v>84</v>
      </c>
      <c r="B86" s="3" t="s">
        <v>250</v>
      </c>
      <c r="C86" s="3" t="s">
        <v>290</v>
      </c>
      <c r="D86" s="4" t="s">
        <v>291</v>
      </c>
      <c r="E86" s="3">
        <v>167</v>
      </c>
      <c r="F86" s="3" t="s">
        <v>292</v>
      </c>
      <c r="G86" s="3" t="s">
        <v>138</v>
      </c>
      <c r="H86" s="3" t="s">
        <v>220</v>
      </c>
      <c r="I86" s="18"/>
      <c r="J86" s="18"/>
      <c r="K86" s="17" t="s">
        <v>293</v>
      </c>
    </row>
    <row r="87" ht="101.25" spans="1:11">
      <c r="A87" s="3">
        <f t="shared" si="1"/>
        <v>85</v>
      </c>
      <c r="B87" s="3" t="s">
        <v>250</v>
      </c>
      <c r="C87" s="3" t="s">
        <v>294</v>
      </c>
      <c r="D87" s="4" t="s">
        <v>295</v>
      </c>
      <c r="E87" s="4">
        <v>172</v>
      </c>
      <c r="F87" s="4" t="s">
        <v>296</v>
      </c>
      <c r="G87" s="3" t="s">
        <v>138</v>
      </c>
      <c r="H87" s="3" t="s">
        <v>220</v>
      </c>
      <c r="I87" s="18"/>
      <c r="J87" s="18"/>
      <c r="K87" s="17" t="s">
        <v>93</v>
      </c>
    </row>
    <row r="88" ht="56.25" spans="1:11">
      <c r="A88" s="3">
        <f t="shared" si="1"/>
        <v>86</v>
      </c>
      <c r="B88" s="3" t="s">
        <v>250</v>
      </c>
      <c r="C88" s="3" t="s">
        <v>297</v>
      </c>
      <c r="D88" s="4" t="s">
        <v>298</v>
      </c>
      <c r="E88" s="3">
        <v>188</v>
      </c>
      <c r="F88" s="4" t="s">
        <v>299</v>
      </c>
      <c r="G88" s="3" t="s">
        <v>95</v>
      </c>
      <c r="H88" s="3" t="s">
        <v>220</v>
      </c>
      <c r="I88" s="18"/>
      <c r="J88" s="18"/>
      <c r="K88" s="17" t="s">
        <v>93</v>
      </c>
    </row>
    <row r="89" ht="157.5" spans="1:11">
      <c r="A89" s="3">
        <f t="shared" si="1"/>
        <v>87</v>
      </c>
      <c r="B89" s="3" t="s">
        <v>250</v>
      </c>
      <c r="C89" s="3" t="s">
        <v>300</v>
      </c>
      <c r="D89" s="4" t="s">
        <v>301</v>
      </c>
      <c r="E89" s="3" t="s">
        <v>302</v>
      </c>
      <c r="F89" s="4" t="s">
        <v>303</v>
      </c>
      <c r="G89" s="3" t="s">
        <v>138</v>
      </c>
      <c r="H89" s="3" t="s">
        <v>220</v>
      </c>
      <c r="I89" s="18"/>
      <c r="J89" s="18"/>
      <c r="K89" s="17" t="s">
        <v>93</v>
      </c>
    </row>
    <row r="90" ht="202.5" spans="1:11">
      <c r="A90" s="3">
        <f t="shared" si="1"/>
        <v>88</v>
      </c>
      <c r="B90" s="3" t="s">
        <v>250</v>
      </c>
      <c r="C90" s="3" t="s">
        <v>300</v>
      </c>
      <c r="D90" s="4" t="s">
        <v>304</v>
      </c>
      <c r="E90" s="3">
        <v>197</v>
      </c>
      <c r="F90" s="4" t="s">
        <v>305</v>
      </c>
      <c r="G90" s="3" t="s">
        <v>95</v>
      </c>
      <c r="H90" s="3" t="s">
        <v>220</v>
      </c>
      <c r="I90" s="18"/>
      <c r="J90" s="18"/>
      <c r="K90" s="17" t="s">
        <v>93</v>
      </c>
    </row>
    <row r="91" ht="78.75" spans="1:11">
      <c r="A91" s="3">
        <f t="shared" si="1"/>
        <v>89</v>
      </c>
      <c r="B91" s="3" t="s">
        <v>250</v>
      </c>
      <c r="C91" s="3" t="s">
        <v>306</v>
      </c>
      <c r="D91" s="4" t="s">
        <v>307</v>
      </c>
      <c r="E91" s="3">
        <v>198</v>
      </c>
      <c r="F91" s="3" t="s">
        <v>308</v>
      </c>
      <c r="G91" s="3" t="s">
        <v>95</v>
      </c>
      <c r="H91" s="3" t="s">
        <v>220</v>
      </c>
      <c r="I91" s="18"/>
      <c r="J91" s="18"/>
      <c r="K91" s="18" t="s">
        <v>309</v>
      </c>
    </row>
    <row r="92" ht="236.25" spans="1:11">
      <c r="A92" s="3">
        <f t="shared" si="1"/>
        <v>90</v>
      </c>
      <c r="B92" s="3" t="s">
        <v>250</v>
      </c>
      <c r="C92" s="3" t="s">
        <v>310</v>
      </c>
      <c r="D92" s="4" t="s">
        <v>311</v>
      </c>
      <c r="E92" s="3">
        <v>208</v>
      </c>
      <c r="F92" s="3" t="s">
        <v>312</v>
      </c>
      <c r="G92" s="3" t="s">
        <v>138</v>
      </c>
      <c r="H92" s="3" t="s">
        <v>220</v>
      </c>
      <c r="I92" s="18"/>
      <c r="J92" s="18"/>
      <c r="K92" s="17" t="s">
        <v>93</v>
      </c>
    </row>
    <row r="93" ht="78.75" spans="1:11">
      <c r="A93" s="3">
        <f t="shared" si="1"/>
        <v>91</v>
      </c>
      <c r="B93" s="3" t="s">
        <v>250</v>
      </c>
      <c r="C93" s="3" t="s">
        <v>313</v>
      </c>
      <c r="D93" s="4" t="s">
        <v>314</v>
      </c>
      <c r="E93" s="3">
        <v>90</v>
      </c>
      <c r="F93" s="4" t="s">
        <v>315</v>
      </c>
      <c r="G93" s="3" t="s">
        <v>138</v>
      </c>
      <c r="H93" s="3" t="s">
        <v>220</v>
      </c>
      <c r="I93" s="18"/>
      <c r="J93" s="18"/>
      <c r="K93" s="17" t="s">
        <v>93</v>
      </c>
    </row>
    <row r="94" ht="191.25" spans="1:11">
      <c r="A94" s="3">
        <f t="shared" si="1"/>
        <v>92</v>
      </c>
      <c r="B94" s="3" t="s">
        <v>250</v>
      </c>
      <c r="C94" s="3" t="s">
        <v>316</v>
      </c>
      <c r="D94" s="4" t="s">
        <v>317</v>
      </c>
      <c r="E94" s="3">
        <v>49</v>
      </c>
      <c r="F94" s="4" t="s">
        <v>318</v>
      </c>
      <c r="G94" s="3" t="s">
        <v>95</v>
      </c>
      <c r="H94" s="3" t="s">
        <v>220</v>
      </c>
      <c r="I94" s="18"/>
      <c r="J94" s="18"/>
      <c r="K94" s="18" t="s">
        <v>319</v>
      </c>
    </row>
    <row r="95" ht="90" spans="1:11">
      <c r="A95" s="3">
        <f t="shared" si="1"/>
        <v>93</v>
      </c>
      <c r="B95" s="3" t="s">
        <v>250</v>
      </c>
      <c r="C95" s="3" t="s">
        <v>316</v>
      </c>
      <c r="D95" s="4" t="s">
        <v>320</v>
      </c>
      <c r="E95" s="3">
        <v>52</v>
      </c>
      <c r="F95" s="3" t="s">
        <v>321</v>
      </c>
      <c r="G95" s="3" t="s">
        <v>138</v>
      </c>
      <c r="H95" s="3" t="s">
        <v>220</v>
      </c>
      <c r="I95" s="18"/>
      <c r="J95" s="18"/>
      <c r="K95" s="18" t="s">
        <v>322</v>
      </c>
    </row>
    <row r="96" ht="67.5" spans="1:11">
      <c r="A96" s="3">
        <f t="shared" si="1"/>
        <v>94</v>
      </c>
      <c r="B96" s="3" t="s">
        <v>250</v>
      </c>
      <c r="C96" s="3" t="s">
        <v>316</v>
      </c>
      <c r="D96" s="4" t="s">
        <v>320</v>
      </c>
      <c r="E96" s="3">
        <v>59</v>
      </c>
      <c r="F96" s="3" t="s">
        <v>323</v>
      </c>
      <c r="G96" s="3" t="s">
        <v>138</v>
      </c>
      <c r="H96" s="3" t="s">
        <v>220</v>
      </c>
      <c r="I96" s="18"/>
      <c r="J96" s="18"/>
      <c r="K96" s="18" t="s">
        <v>324</v>
      </c>
    </row>
    <row r="97" ht="67.5" spans="1:11">
      <c r="A97" s="3">
        <f t="shared" si="1"/>
        <v>95</v>
      </c>
      <c r="B97" s="3" t="s">
        <v>250</v>
      </c>
      <c r="C97" s="4" t="s">
        <v>325</v>
      </c>
      <c r="D97" s="4" t="s">
        <v>326</v>
      </c>
      <c r="E97" s="4">
        <v>95</v>
      </c>
      <c r="F97" s="4" t="s">
        <v>327</v>
      </c>
      <c r="G97" s="3" t="s">
        <v>138</v>
      </c>
      <c r="H97" s="3" t="s">
        <v>220</v>
      </c>
      <c r="I97" s="18"/>
      <c r="J97" s="18"/>
      <c r="K97" s="17" t="s">
        <v>93</v>
      </c>
    </row>
    <row r="98" ht="45" spans="1:11">
      <c r="A98" s="3">
        <f t="shared" si="1"/>
        <v>96</v>
      </c>
      <c r="B98" s="3" t="s">
        <v>250</v>
      </c>
      <c r="C98" s="3" t="s">
        <v>328</v>
      </c>
      <c r="D98" s="4" t="s">
        <v>329</v>
      </c>
      <c r="E98" s="3">
        <v>100</v>
      </c>
      <c r="F98" s="3" t="s">
        <v>330</v>
      </c>
      <c r="G98" s="3" t="s">
        <v>138</v>
      </c>
      <c r="H98" s="3" t="s">
        <v>220</v>
      </c>
      <c r="I98" s="18"/>
      <c r="J98" s="18"/>
      <c r="K98" s="18" t="s">
        <v>331</v>
      </c>
    </row>
    <row r="99" ht="180" spans="1:11">
      <c r="A99" s="3">
        <f t="shared" si="1"/>
        <v>97</v>
      </c>
      <c r="B99" s="3" t="s">
        <v>250</v>
      </c>
      <c r="C99" s="3" t="s">
        <v>328</v>
      </c>
      <c r="D99" s="4" t="s">
        <v>329</v>
      </c>
      <c r="E99" s="3">
        <v>101</v>
      </c>
      <c r="F99" s="4" t="s">
        <v>332</v>
      </c>
      <c r="G99" s="3" t="s">
        <v>138</v>
      </c>
      <c r="H99" s="3" t="s">
        <v>220</v>
      </c>
      <c r="I99" s="18"/>
      <c r="J99" s="18"/>
      <c r="K99" s="17" t="s">
        <v>93</v>
      </c>
    </row>
    <row r="100" ht="101.25" spans="1:11">
      <c r="A100" s="3">
        <f t="shared" si="1"/>
        <v>98</v>
      </c>
      <c r="B100" s="3" t="s">
        <v>250</v>
      </c>
      <c r="C100" s="3" t="s">
        <v>328</v>
      </c>
      <c r="D100" s="4" t="s">
        <v>329</v>
      </c>
      <c r="E100" s="3">
        <v>108</v>
      </c>
      <c r="F100" s="3" t="s">
        <v>333</v>
      </c>
      <c r="G100" s="3" t="s">
        <v>138</v>
      </c>
      <c r="H100" s="3" t="s">
        <v>220</v>
      </c>
      <c r="I100" s="18"/>
      <c r="J100" s="18"/>
      <c r="K100" s="17" t="s">
        <v>93</v>
      </c>
    </row>
    <row r="101" ht="78.75" spans="1:11">
      <c r="A101" s="3">
        <f t="shared" si="1"/>
        <v>99</v>
      </c>
      <c r="B101" s="3" t="s">
        <v>250</v>
      </c>
      <c r="C101" s="3" t="s">
        <v>328</v>
      </c>
      <c r="D101" s="4" t="s">
        <v>329</v>
      </c>
      <c r="E101" s="4">
        <v>117</v>
      </c>
      <c r="F101" s="4" t="s">
        <v>334</v>
      </c>
      <c r="G101" s="3" t="s">
        <v>138</v>
      </c>
      <c r="H101" s="3" t="s">
        <v>220</v>
      </c>
      <c r="I101" s="18"/>
      <c r="J101" s="18"/>
      <c r="K101" s="18" t="s">
        <v>335</v>
      </c>
    </row>
    <row r="102" ht="146.25" spans="1:11">
      <c r="A102" s="3">
        <f t="shared" si="1"/>
        <v>100</v>
      </c>
      <c r="B102" s="3" t="s">
        <v>250</v>
      </c>
      <c r="C102" s="3" t="s">
        <v>336</v>
      </c>
      <c r="D102" s="4" t="s">
        <v>337</v>
      </c>
      <c r="E102" s="3">
        <v>128</v>
      </c>
      <c r="F102" s="3" t="s">
        <v>338</v>
      </c>
      <c r="G102" s="3" t="s">
        <v>138</v>
      </c>
      <c r="H102" s="3" t="s">
        <v>220</v>
      </c>
      <c r="I102" s="18"/>
      <c r="J102" s="18"/>
      <c r="K102" s="17" t="s">
        <v>93</v>
      </c>
    </row>
    <row r="103" ht="213.75" spans="1:11">
      <c r="A103" s="3">
        <f t="shared" si="1"/>
        <v>101</v>
      </c>
      <c r="B103" s="3" t="s">
        <v>250</v>
      </c>
      <c r="C103" s="3" t="s">
        <v>339</v>
      </c>
      <c r="D103" s="3" t="s">
        <v>340</v>
      </c>
      <c r="E103" s="4">
        <v>28</v>
      </c>
      <c r="F103" s="3" t="s">
        <v>341</v>
      </c>
      <c r="G103" s="3" t="s">
        <v>95</v>
      </c>
      <c r="H103" s="3" t="s">
        <v>220</v>
      </c>
      <c r="I103" s="18"/>
      <c r="J103" s="19" t="s">
        <v>342</v>
      </c>
      <c r="K103" s="19" t="s">
        <v>343</v>
      </c>
    </row>
    <row r="104" ht="67.5" spans="1:11">
      <c r="A104" s="3">
        <f t="shared" si="1"/>
        <v>102</v>
      </c>
      <c r="B104" s="3" t="s">
        <v>250</v>
      </c>
      <c r="C104" s="3" t="s">
        <v>344</v>
      </c>
      <c r="D104" s="3" t="s">
        <v>345</v>
      </c>
      <c r="E104" s="3">
        <v>12</v>
      </c>
      <c r="F104" s="3" t="s">
        <v>346</v>
      </c>
      <c r="G104" s="3" t="s">
        <v>138</v>
      </c>
      <c r="H104" s="3" t="s">
        <v>220</v>
      </c>
      <c r="I104" s="18"/>
      <c r="J104" s="19" t="s">
        <v>342</v>
      </c>
      <c r="K104" s="19" t="s">
        <v>347</v>
      </c>
    </row>
    <row r="105" ht="112.5" spans="1:11">
      <c r="A105" s="3">
        <f t="shared" si="1"/>
        <v>103</v>
      </c>
      <c r="B105" s="3" t="s">
        <v>250</v>
      </c>
      <c r="C105" s="3" t="s">
        <v>348</v>
      </c>
      <c r="D105" s="3" t="s">
        <v>349</v>
      </c>
      <c r="E105" s="3">
        <v>13</v>
      </c>
      <c r="F105" s="3" t="s">
        <v>350</v>
      </c>
      <c r="G105" s="3" t="s">
        <v>95</v>
      </c>
      <c r="H105" s="3" t="s">
        <v>220</v>
      </c>
      <c r="I105" s="18"/>
      <c r="J105" s="19" t="s">
        <v>342</v>
      </c>
      <c r="K105" s="19" t="s">
        <v>351</v>
      </c>
    </row>
    <row r="106" ht="101.25" spans="1:11">
      <c r="A106" s="3">
        <f t="shared" si="1"/>
        <v>104</v>
      </c>
      <c r="B106" s="3" t="s">
        <v>250</v>
      </c>
      <c r="C106" s="3" t="s">
        <v>339</v>
      </c>
      <c r="D106" s="3" t="s">
        <v>352</v>
      </c>
      <c r="E106" s="3">
        <v>25</v>
      </c>
      <c r="F106" s="3" t="s">
        <v>353</v>
      </c>
      <c r="G106" s="3" t="s">
        <v>138</v>
      </c>
      <c r="H106" s="3" t="s">
        <v>220</v>
      </c>
      <c r="I106" s="18"/>
      <c r="J106" s="19" t="s">
        <v>342</v>
      </c>
      <c r="K106" s="19" t="s">
        <v>354</v>
      </c>
    </row>
    <row r="107" ht="112.5" spans="1:11">
      <c r="A107" s="3">
        <f t="shared" si="1"/>
        <v>105</v>
      </c>
      <c r="B107" s="3" t="s">
        <v>250</v>
      </c>
      <c r="C107" s="3" t="s">
        <v>355</v>
      </c>
      <c r="D107" s="3" t="s">
        <v>356</v>
      </c>
      <c r="E107" s="3">
        <v>26</v>
      </c>
      <c r="F107" s="3" t="s">
        <v>357</v>
      </c>
      <c r="G107" s="3" t="s">
        <v>95</v>
      </c>
      <c r="H107" s="3" t="s">
        <v>220</v>
      </c>
      <c r="I107" s="18"/>
      <c r="J107" s="19" t="s">
        <v>342</v>
      </c>
      <c r="K107" s="19" t="s">
        <v>358</v>
      </c>
    </row>
    <row r="108" ht="123.75" spans="1:11">
      <c r="A108" s="3">
        <f t="shared" si="1"/>
        <v>106</v>
      </c>
      <c r="B108" s="3" t="s">
        <v>250</v>
      </c>
      <c r="C108" s="3" t="s">
        <v>359</v>
      </c>
      <c r="D108" s="3" t="s">
        <v>360</v>
      </c>
      <c r="E108" s="3">
        <v>61</v>
      </c>
      <c r="F108" s="3" t="s">
        <v>361</v>
      </c>
      <c r="G108" s="3" t="s">
        <v>138</v>
      </c>
      <c r="H108" s="3" t="s">
        <v>220</v>
      </c>
      <c r="I108" s="18"/>
      <c r="J108" s="19" t="s">
        <v>342</v>
      </c>
      <c r="K108" s="19" t="s">
        <v>362</v>
      </c>
    </row>
    <row r="109" ht="56.25" spans="1:11">
      <c r="A109" s="3">
        <f t="shared" si="1"/>
        <v>107</v>
      </c>
      <c r="B109" s="3" t="s">
        <v>363</v>
      </c>
      <c r="C109" s="3" t="s">
        <v>364</v>
      </c>
      <c r="D109" s="3" t="s">
        <v>365</v>
      </c>
      <c r="E109" s="3" t="s">
        <v>366</v>
      </c>
      <c r="F109" s="3" t="s">
        <v>367</v>
      </c>
      <c r="G109" s="3" t="s">
        <v>138</v>
      </c>
      <c r="H109" s="4"/>
      <c r="I109" s="4"/>
      <c r="J109" s="4"/>
      <c r="K109" s="7" t="s">
        <v>368</v>
      </c>
    </row>
    <row r="110" ht="101.25" spans="1:11">
      <c r="A110" s="3">
        <f t="shared" si="1"/>
        <v>108</v>
      </c>
      <c r="B110" s="3" t="s">
        <v>208</v>
      </c>
      <c r="C110" s="3" t="s">
        <v>364</v>
      </c>
      <c r="D110" s="3" t="s">
        <v>369</v>
      </c>
      <c r="E110" s="3" t="s">
        <v>370</v>
      </c>
      <c r="F110" s="3" t="s">
        <v>371</v>
      </c>
      <c r="G110" s="3" t="s">
        <v>138</v>
      </c>
      <c r="H110" s="4"/>
      <c r="I110" s="4"/>
      <c r="J110" s="4"/>
      <c r="K110" s="7" t="s">
        <v>211</v>
      </c>
    </row>
    <row r="111" ht="56.25" spans="1:11">
      <c r="A111" s="3">
        <f t="shared" si="1"/>
        <v>109</v>
      </c>
      <c r="B111" s="3" t="s">
        <v>372</v>
      </c>
      <c r="C111" s="3" t="s">
        <v>364</v>
      </c>
      <c r="D111" s="3" t="s">
        <v>373</v>
      </c>
      <c r="E111" s="3">
        <v>101</v>
      </c>
      <c r="F111" s="3" t="s">
        <v>374</v>
      </c>
      <c r="G111" s="3" t="s">
        <v>138</v>
      </c>
      <c r="H111" s="4"/>
      <c r="I111" s="4"/>
      <c r="J111" s="4"/>
      <c r="K111" s="7" t="s">
        <v>375</v>
      </c>
    </row>
    <row r="112" ht="22.5" spans="1:11">
      <c r="A112" s="3">
        <f t="shared" si="1"/>
        <v>110</v>
      </c>
      <c r="B112" s="3" t="s">
        <v>372</v>
      </c>
      <c r="C112" s="3" t="s">
        <v>364</v>
      </c>
      <c r="D112" s="3" t="s">
        <v>373</v>
      </c>
      <c r="E112" s="3">
        <v>101</v>
      </c>
      <c r="F112" s="3" t="s">
        <v>376</v>
      </c>
      <c r="G112" s="3" t="s">
        <v>138</v>
      </c>
      <c r="H112" s="4"/>
      <c r="I112" s="4"/>
      <c r="J112" s="4"/>
      <c r="K112" s="7" t="s">
        <v>377</v>
      </c>
    </row>
    <row r="113" ht="123.75" spans="1:11">
      <c r="A113" s="3">
        <f t="shared" si="1"/>
        <v>111</v>
      </c>
      <c r="B113" s="3" t="s">
        <v>378</v>
      </c>
      <c r="C113" s="3" t="s">
        <v>379</v>
      </c>
      <c r="D113" s="3" t="s">
        <v>380</v>
      </c>
      <c r="E113" s="3">
        <v>126</v>
      </c>
      <c r="F113" s="3" t="s">
        <v>381</v>
      </c>
      <c r="G113" s="3" t="s">
        <v>138</v>
      </c>
      <c r="H113" s="4"/>
      <c r="I113" s="4"/>
      <c r="J113" s="4"/>
      <c r="K113" s="4" t="s">
        <v>131</v>
      </c>
    </row>
    <row r="114" ht="225" spans="1:11">
      <c r="A114" s="3">
        <f t="shared" si="1"/>
        <v>112</v>
      </c>
      <c r="B114" s="3" t="s">
        <v>378</v>
      </c>
      <c r="C114" s="3" t="s">
        <v>382</v>
      </c>
      <c r="D114" s="3" t="s">
        <v>383</v>
      </c>
      <c r="E114" s="3">
        <v>129</v>
      </c>
      <c r="F114" s="3" t="s">
        <v>384</v>
      </c>
      <c r="G114" s="3" t="s">
        <v>138</v>
      </c>
      <c r="H114" s="4"/>
      <c r="I114" s="4"/>
      <c r="J114" s="4"/>
      <c r="K114" s="4" t="s">
        <v>385</v>
      </c>
    </row>
    <row r="115" ht="123.75" spans="1:11">
      <c r="A115" s="3">
        <f t="shared" si="1"/>
        <v>113</v>
      </c>
      <c r="B115" s="3" t="s">
        <v>378</v>
      </c>
      <c r="C115" s="3" t="s">
        <v>386</v>
      </c>
      <c r="D115" s="3" t="s">
        <v>387</v>
      </c>
      <c r="E115" s="3">
        <v>37</v>
      </c>
      <c r="F115" s="3" t="s">
        <v>388</v>
      </c>
      <c r="G115" s="3" t="s">
        <v>138</v>
      </c>
      <c r="H115" s="4"/>
      <c r="I115" s="4"/>
      <c r="J115" s="4"/>
      <c r="K115" s="4" t="s">
        <v>389</v>
      </c>
    </row>
    <row r="116" ht="146.25" spans="1:11">
      <c r="A116" s="3">
        <f t="shared" si="1"/>
        <v>114</v>
      </c>
      <c r="B116" s="3" t="s">
        <v>378</v>
      </c>
      <c r="C116" s="3" t="s">
        <v>390</v>
      </c>
      <c r="D116" s="3" t="s">
        <v>380</v>
      </c>
      <c r="E116" s="3">
        <v>126</v>
      </c>
      <c r="F116" s="3" t="s">
        <v>391</v>
      </c>
      <c r="G116" s="3" t="s">
        <v>138</v>
      </c>
      <c r="H116" s="4"/>
      <c r="I116" s="4"/>
      <c r="J116" s="4"/>
      <c r="K116" s="4" t="s">
        <v>389</v>
      </c>
    </row>
    <row r="117" ht="90" spans="1:11">
      <c r="A117" s="3">
        <f t="shared" si="1"/>
        <v>115</v>
      </c>
      <c r="B117" s="3" t="s">
        <v>378</v>
      </c>
      <c r="C117" s="3" t="s">
        <v>392</v>
      </c>
      <c r="D117" s="3" t="s">
        <v>380</v>
      </c>
      <c r="E117" s="3">
        <v>126</v>
      </c>
      <c r="F117" s="3" t="s">
        <v>393</v>
      </c>
      <c r="G117" s="3" t="s">
        <v>138</v>
      </c>
      <c r="H117" s="4"/>
      <c r="I117" s="4"/>
      <c r="J117" s="4"/>
      <c r="K117" s="4" t="s">
        <v>389</v>
      </c>
    </row>
    <row r="118" ht="56.25" spans="1:11">
      <c r="A118" s="3">
        <f t="shared" si="1"/>
        <v>116</v>
      </c>
      <c r="B118" s="3" t="s">
        <v>378</v>
      </c>
      <c r="C118" s="3" t="s">
        <v>394</v>
      </c>
      <c r="D118" s="4"/>
      <c r="E118" s="4"/>
      <c r="F118" s="3" t="s">
        <v>395</v>
      </c>
      <c r="G118" s="3" t="s">
        <v>138</v>
      </c>
      <c r="H118" s="4"/>
      <c r="I118" s="4"/>
      <c r="J118" s="4"/>
      <c r="K118" s="4" t="s">
        <v>389</v>
      </c>
    </row>
    <row r="119" ht="157.5" spans="1:11">
      <c r="A119" s="3">
        <f t="shared" si="1"/>
        <v>117</v>
      </c>
      <c r="B119" s="3" t="s">
        <v>378</v>
      </c>
      <c r="C119" s="3" t="s">
        <v>396</v>
      </c>
      <c r="D119" s="3" t="s">
        <v>380</v>
      </c>
      <c r="E119" s="3">
        <v>126</v>
      </c>
      <c r="F119" s="3" t="s">
        <v>397</v>
      </c>
      <c r="G119" s="3" t="s">
        <v>138</v>
      </c>
      <c r="H119" s="4"/>
      <c r="I119" s="4"/>
      <c r="J119" s="4"/>
      <c r="K119" s="4" t="s">
        <v>389</v>
      </c>
    </row>
    <row r="120" ht="90" spans="1:11">
      <c r="A120" s="3">
        <f t="shared" si="1"/>
        <v>118</v>
      </c>
      <c r="B120" s="4"/>
      <c r="C120" s="4" t="s">
        <v>398</v>
      </c>
      <c r="D120" s="4"/>
      <c r="E120" s="4"/>
      <c r="F120" s="4" t="s">
        <v>399</v>
      </c>
      <c r="G120" s="3" t="s">
        <v>138</v>
      </c>
      <c r="H120" s="3" t="s">
        <v>139</v>
      </c>
      <c r="I120" s="3" t="s">
        <v>400</v>
      </c>
      <c r="J120" s="4"/>
      <c r="K120" s="20" t="s">
        <v>401</v>
      </c>
    </row>
    <row r="121" ht="90" spans="1:11">
      <c r="A121" s="3">
        <f t="shared" si="1"/>
        <v>119</v>
      </c>
      <c r="B121" s="4"/>
      <c r="C121" s="4" t="s">
        <v>398</v>
      </c>
      <c r="D121" s="4"/>
      <c r="E121" s="4"/>
      <c r="F121" s="4" t="s">
        <v>402</v>
      </c>
      <c r="G121" s="3" t="s">
        <v>138</v>
      </c>
      <c r="H121" s="3" t="s">
        <v>139</v>
      </c>
      <c r="I121" s="3" t="s">
        <v>403</v>
      </c>
      <c r="J121" s="4"/>
      <c r="K121" s="20" t="s">
        <v>404</v>
      </c>
    </row>
    <row r="122" ht="56.25" spans="1:11">
      <c r="A122" s="3">
        <f t="shared" si="1"/>
        <v>120</v>
      </c>
      <c r="B122" s="4" t="s">
        <v>405</v>
      </c>
      <c r="C122" s="4" t="s">
        <v>398</v>
      </c>
      <c r="D122" s="3" t="s">
        <v>406</v>
      </c>
      <c r="E122" s="4"/>
      <c r="F122" s="4" t="s">
        <v>407</v>
      </c>
      <c r="G122" s="3" t="s">
        <v>138</v>
      </c>
      <c r="H122" s="3" t="s">
        <v>139</v>
      </c>
      <c r="I122" s="3" t="s">
        <v>403</v>
      </c>
      <c r="J122" s="4"/>
      <c r="K122" s="20" t="s">
        <v>408</v>
      </c>
    </row>
    <row r="123" ht="157.5" spans="1:11">
      <c r="A123" s="3">
        <f t="shared" si="1"/>
        <v>121</v>
      </c>
      <c r="B123" s="4"/>
      <c r="C123" s="4" t="s">
        <v>398</v>
      </c>
      <c r="D123" s="4"/>
      <c r="E123" s="4"/>
      <c r="F123" s="4" t="s">
        <v>409</v>
      </c>
      <c r="G123" s="3" t="s">
        <v>138</v>
      </c>
      <c r="H123" s="3" t="s">
        <v>139</v>
      </c>
      <c r="I123" s="3" t="s">
        <v>410</v>
      </c>
      <c r="J123" s="4"/>
      <c r="K123" s="20" t="s">
        <v>411</v>
      </c>
    </row>
    <row r="124" ht="90" spans="1:11">
      <c r="A124" s="3">
        <f t="shared" si="1"/>
        <v>122</v>
      </c>
      <c r="B124" s="4"/>
      <c r="C124" s="4" t="s">
        <v>398</v>
      </c>
      <c r="D124" s="4"/>
      <c r="E124" s="4"/>
      <c r="F124" s="4" t="s">
        <v>412</v>
      </c>
      <c r="G124" s="3" t="s">
        <v>138</v>
      </c>
      <c r="H124" s="3" t="s">
        <v>139</v>
      </c>
      <c r="I124" s="3" t="s">
        <v>410</v>
      </c>
      <c r="J124" s="4"/>
      <c r="K124" s="20" t="s">
        <v>413</v>
      </c>
    </row>
    <row r="125" ht="56.25" spans="1:11">
      <c r="A125" s="3">
        <f t="shared" si="1"/>
        <v>123</v>
      </c>
      <c r="B125" s="4"/>
      <c r="C125" s="4" t="s">
        <v>398</v>
      </c>
      <c r="D125" s="4"/>
      <c r="E125" s="4"/>
      <c r="F125" s="4" t="s">
        <v>414</v>
      </c>
      <c r="G125" s="3" t="s">
        <v>138</v>
      </c>
      <c r="H125" s="3" t="s">
        <v>139</v>
      </c>
      <c r="I125" s="3" t="s">
        <v>400</v>
      </c>
      <c r="J125" s="4"/>
      <c r="K125" s="20" t="s">
        <v>415</v>
      </c>
    </row>
    <row r="126" ht="22.5" spans="1:11">
      <c r="A126" s="3">
        <f t="shared" si="1"/>
        <v>124</v>
      </c>
      <c r="B126" s="4" t="s">
        <v>127</v>
      </c>
      <c r="C126" s="4" t="s">
        <v>398</v>
      </c>
      <c r="D126" s="4" t="s">
        <v>128</v>
      </c>
      <c r="E126" s="4"/>
      <c r="F126" s="4" t="s">
        <v>416</v>
      </c>
      <c r="G126" s="3" t="s">
        <v>138</v>
      </c>
      <c r="H126" s="3" t="s">
        <v>139</v>
      </c>
      <c r="I126" s="4" t="s">
        <v>417</v>
      </c>
      <c r="J126" s="4"/>
      <c r="K126" s="4" t="s">
        <v>131</v>
      </c>
    </row>
    <row r="127" ht="45" spans="1:11">
      <c r="A127" s="3">
        <f t="shared" si="1"/>
        <v>125</v>
      </c>
      <c r="B127" s="4"/>
      <c r="C127" s="4" t="s">
        <v>398</v>
      </c>
      <c r="D127" s="4"/>
      <c r="E127" s="4"/>
      <c r="F127" s="4" t="s">
        <v>418</v>
      </c>
      <c r="G127" s="3" t="s">
        <v>138</v>
      </c>
      <c r="H127" s="3" t="s">
        <v>139</v>
      </c>
      <c r="I127" s="4" t="s">
        <v>417</v>
      </c>
      <c r="J127" s="4"/>
      <c r="K127" s="20" t="s">
        <v>419</v>
      </c>
    </row>
    <row r="128" ht="315" spans="1:11">
      <c r="A128" s="3">
        <f t="shared" si="1"/>
        <v>126</v>
      </c>
      <c r="B128" s="3" t="s">
        <v>363</v>
      </c>
      <c r="C128" s="3" t="s">
        <v>420</v>
      </c>
      <c r="D128" s="3" t="s">
        <v>188</v>
      </c>
      <c r="E128" s="3" t="s">
        <v>421</v>
      </c>
      <c r="F128" s="3" t="s">
        <v>422</v>
      </c>
      <c r="G128" s="3" t="s">
        <v>138</v>
      </c>
      <c r="H128" s="3" t="s">
        <v>139</v>
      </c>
      <c r="I128" s="3" t="s">
        <v>423</v>
      </c>
      <c r="J128" s="4"/>
      <c r="K128" s="7" t="s">
        <v>368</v>
      </c>
    </row>
    <row r="129" ht="337.5" spans="1:11">
      <c r="A129" s="3">
        <f t="shared" si="1"/>
        <v>127</v>
      </c>
      <c r="B129" s="3" t="s">
        <v>363</v>
      </c>
      <c r="C129" s="3" t="s">
        <v>420</v>
      </c>
      <c r="D129" s="3" t="s">
        <v>188</v>
      </c>
      <c r="E129" s="3" t="s">
        <v>421</v>
      </c>
      <c r="F129" s="3" t="s">
        <v>424</v>
      </c>
      <c r="G129" s="3" t="s">
        <v>138</v>
      </c>
      <c r="H129" s="3" t="s">
        <v>139</v>
      </c>
      <c r="I129" s="3" t="s">
        <v>423</v>
      </c>
      <c r="J129" s="4"/>
      <c r="K129" s="7" t="s">
        <v>368</v>
      </c>
    </row>
    <row r="130" ht="67.5" spans="1:11">
      <c r="A130" s="3">
        <f t="shared" si="1"/>
        <v>128</v>
      </c>
      <c r="B130" s="3"/>
      <c r="C130" s="3" t="s">
        <v>420</v>
      </c>
      <c r="D130" s="3" t="s">
        <v>188</v>
      </c>
      <c r="E130" s="3" t="s">
        <v>425</v>
      </c>
      <c r="F130" s="3" t="s">
        <v>426</v>
      </c>
      <c r="G130" s="3" t="s">
        <v>138</v>
      </c>
      <c r="H130" s="3" t="s">
        <v>139</v>
      </c>
      <c r="I130" s="3" t="s">
        <v>423</v>
      </c>
      <c r="J130" s="4"/>
      <c r="K130" s="7" t="s">
        <v>427</v>
      </c>
    </row>
    <row r="131" ht="90" spans="1:11">
      <c r="A131" s="3">
        <f t="shared" ref="A131:A152" si="2">ROW()-2</f>
        <v>129</v>
      </c>
      <c r="B131" s="3" t="s">
        <v>428</v>
      </c>
      <c r="C131" s="3" t="s">
        <v>420</v>
      </c>
      <c r="D131" s="3" t="s">
        <v>429</v>
      </c>
      <c r="E131" s="3">
        <v>114</v>
      </c>
      <c r="F131" s="3" t="s">
        <v>430</v>
      </c>
      <c r="G131" s="3" t="s">
        <v>138</v>
      </c>
      <c r="H131" s="3" t="s">
        <v>139</v>
      </c>
      <c r="I131" s="3" t="s">
        <v>431</v>
      </c>
      <c r="J131" s="4"/>
      <c r="K131" s="7" t="s">
        <v>368</v>
      </c>
    </row>
    <row r="132" ht="67.5" spans="1:11">
      <c r="A132" s="3">
        <f t="shared" si="2"/>
        <v>130</v>
      </c>
      <c r="B132" s="3" t="s">
        <v>432</v>
      </c>
      <c r="C132" s="3" t="s">
        <v>420</v>
      </c>
      <c r="D132" s="3" t="s">
        <v>107</v>
      </c>
      <c r="E132" s="3">
        <v>129</v>
      </c>
      <c r="F132" s="3" t="s">
        <v>433</v>
      </c>
      <c r="G132" s="3" t="s">
        <v>138</v>
      </c>
      <c r="H132" s="3" t="s">
        <v>139</v>
      </c>
      <c r="I132" s="3" t="s">
        <v>431</v>
      </c>
      <c r="J132" s="4"/>
      <c r="K132" s="7" t="s">
        <v>434</v>
      </c>
    </row>
    <row r="133" ht="45" spans="1:11">
      <c r="A133" s="3">
        <f t="shared" si="2"/>
        <v>131</v>
      </c>
      <c r="B133" s="3" t="s">
        <v>168</v>
      </c>
      <c r="C133" s="3" t="s">
        <v>420</v>
      </c>
      <c r="D133" s="3" t="s">
        <v>202</v>
      </c>
      <c r="E133" s="3">
        <v>112</v>
      </c>
      <c r="F133" s="3" t="s">
        <v>435</v>
      </c>
      <c r="G133" s="3" t="s">
        <v>138</v>
      </c>
      <c r="H133" s="3" t="s">
        <v>139</v>
      </c>
      <c r="I133" s="3" t="s">
        <v>431</v>
      </c>
      <c r="J133" s="4"/>
      <c r="K133" s="7" t="s">
        <v>203</v>
      </c>
    </row>
    <row r="134" ht="78.75" spans="1:11">
      <c r="A134" s="3">
        <f t="shared" si="2"/>
        <v>132</v>
      </c>
      <c r="B134" s="3" t="s">
        <v>168</v>
      </c>
      <c r="C134" s="3" t="s">
        <v>420</v>
      </c>
      <c r="D134" s="3" t="s">
        <v>202</v>
      </c>
      <c r="E134" s="3">
        <v>112</v>
      </c>
      <c r="F134" s="3" t="s">
        <v>436</v>
      </c>
      <c r="G134" s="3" t="s">
        <v>138</v>
      </c>
      <c r="H134" s="3" t="s">
        <v>139</v>
      </c>
      <c r="I134" s="3" t="s">
        <v>431</v>
      </c>
      <c r="J134" s="4"/>
      <c r="K134" s="7" t="s">
        <v>437</v>
      </c>
    </row>
    <row r="135" ht="157.5" spans="1:11">
      <c r="A135" s="3">
        <f t="shared" si="2"/>
        <v>133</v>
      </c>
      <c r="B135" s="3" t="s">
        <v>168</v>
      </c>
      <c r="C135" s="3" t="s">
        <v>420</v>
      </c>
      <c r="D135" s="3" t="s">
        <v>202</v>
      </c>
      <c r="E135" s="3">
        <v>112</v>
      </c>
      <c r="F135" s="3" t="s">
        <v>438</v>
      </c>
      <c r="G135" s="3" t="s">
        <v>138</v>
      </c>
      <c r="H135" s="3" t="s">
        <v>139</v>
      </c>
      <c r="I135" s="3" t="s">
        <v>431</v>
      </c>
      <c r="J135" s="4"/>
      <c r="K135" s="7" t="s">
        <v>204</v>
      </c>
    </row>
    <row r="136" ht="90" spans="1:11">
      <c r="A136" s="3">
        <f t="shared" si="2"/>
        <v>134</v>
      </c>
      <c r="B136" s="4" t="s">
        <v>439</v>
      </c>
      <c r="C136" s="3" t="s">
        <v>420</v>
      </c>
      <c r="D136" s="4" t="s">
        <v>440</v>
      </c>
      <c r="E136" s="4">
        <v>132</v>
      </c>
      <c r="F136" s="4" t="s">
        <v>441</v>
      </c>
      <c r="G136" s="3" t="s">
        <v>138</v>
      </c>
      <c r="H136" s="3" t="s">
        <v>139</v>
      </c>
      <c r="I136" s="3" t="s">
        <v>431</v>
      </c>
      <c r="J136" s="4"/>
      <c r="K136" s="7" t="s">
        <v>442</v>
      </c>
    </row>
    <row r="137" ht="112.5" spans="1:11">
      <c r="A137" s="3">
        <f t="shared" si="2"/>
        <v>135</v>
      </c>
      <c r="B137" s="4" t="s">
        <v>443</v>
      </c>
      <c r="C137" s="3" t="s">
        <v>420</v>
      </c>
      <c r="D137" s="4" t="s">
        <v>444</v>
      </c>
      <c r="E137" s="4">
        <v>210</v>
      </c>
      <c r="F137" s="4" t="s">
        <v>445</v>
      </c>
      <c r="G137" s="3" t="s">
        <v>138</v>
      </c>
      <c r="H137" s="3" t="s">
        <v>139</v>
      </c>
      <c r="I137" s="3" t="s">
        <v>446</v>
      </c>
      <c r="J137" s="4"/>
      <c r="K137" s="11" t="s">
        <v>447</v>
      </c>
    </row>
    <row r="138" ht="56.25" spans="1:11">
      <c r="A138" s="3">
        <f t="shared" si="2"/>
        <v>136</v>
      </c>
      <c r="B138" s="4" t="s">
        <v>448</v>
      </c>
      <c r="C138" s="3" t="s">
        <v>420</v>
      </c>
      <c r="D138" s="4" t="s">
        <v>112</v>
      </c>
      <c r="E138" s="4" t="s">
        <v>449</v>
      </c>
      <c r="F138" s="4" t="s">
        <v>450</v>
      </c>
      <c r="G138" s="3" t="s">
        <v>138</v>
      </c>
      <c r="H138" s="3" t="s">
        <v>139</v>
      </c>
      <c r="I138" s="3" t="s">
        <v>446</v>
      </c>
      <c r="J138" s="4"/>
      <c r="K138" s="11" t="s">
        <v>451</v>
      </c>
    </row>
    <row r="139" ht="146.25" spans="1:11">
      <c r="A139" s="3">
        <f t="shared" si="2"/>
        <v>137</v>
      </c>
      <c r="B139" s="4" t="s">
        <v>452</v>
      </c>
      <c r="C139" s="3" t="s">
        <v>420</v>
      </c>
      <c r="D139" s="3" t="s">
        <v>453</v>
      </c>
      <c r="E139" s="4" t="s">
        <v>454</v>
      </c>
      <c r="F139" s="4" t="s">
        <v>455</v>
      </c>
      <c r="G139" s="3" t="s">
        <v>138</v>
      </c>
      <c r="H139" s="3" t="s">
        <v>139</v>
      </c>
      <c r="I139" s="3" t="s">
        <v>446</v>
      </c>
      <c r="J139" s="4"/>
      <c r="K139" s="11" t="s">
        <v>368</v>
      </c>
    </row>
    <row r="140" ht="135" spans="1:11">
      <c r="A140" s="3">
        <f t="shared" si="2"/>
        <v>138</v>
      </c>
      <c r="B140" s="4" t="s">
        <v>452</v>
      </c>
      <c r="C140" s="3" t="s">
        <v>420</v>
      </c>
      <c r="D140" s="3" t="s">
        <v>453</v>
      </c>
      <c r="E140" s="4" t="s">
        <v>454</v>
      </c>
      <c r="F140" s="4" t="s">
        <v>456</v>
      </c>
      <c r="G140" s="3" t="s">
        <v>138</v>
      </c>
      <c r="H140" s="3" t="s">
        <v>139</v>
      </c>
      <c r="I140" s="3" t="s">
        <v>457</v>
      </c>
      <c r="J140" s="4"/>
      <c r="K140" s="11" t="s">
        <v>458</v>
      </c>
    </row>
    <row r="141" ht="67.5" spans="1:11">
      <c r="A141" s="3">
        <f t="shared" si="2"/>
        <v>139</v>
      </c>
      <c r="B141" s="4" t="s">
        <v>117</v>
      </c>
      <c r="C141" s="3" t="s">
        <v>420</v>
      </c>
      <c r="D141" s="4" t="s">
        <v>118</v>
      </c>
      <c r="E141" s="4">
        <v>134</v>
      </c>
      <c r="F141" s="4" t="s">
        <v>459</v>
      </c>
      <c r="G141" s="3" t="s">
        <v>138</v>
      </c>
      <c r="H141" s="3" t="s">
        <v>139</v>
      </c>
      <c r="I141" s="3" t="s">
        <v>457</v>
      </c>
      <c r="J141" s="4"/>
      <c r="K141" s="11" t="s">
        <v>460</v>
      </c>
    </row>
    <row r="142" ht="157.5" spans="1:11">
      <c r="A142" s="3">
        <f t="shared" si="2"/>
        <v>140</v>
      </c>
      <c r="B142" s="4" t="s">
        <v>127</v>
      </c>
      <c r="C142" s="3" t="s">
        <v>420</v>
      </c>
      <c r="D142" s="4" t="s">
        <v>128</v>
      </c>
      <c r="E142" s="4">
        <v>111</v>
      </c>
      <c r="F142" s="4" t="s">
        <v>461</v>
      </c>
      <c r="G142" s="3" t="s">
        <v>138</v>
      </c>
      <c r="H142" s="3" t="s">
        <v>139</v>
      </c>
      <c r="I142" s="3" t="s">
        <v>457</v>
      </c>
      <c r="J142" s="4"/>
      <c r="K142" s="11" t="s">
        <v>131</v>
      </c>
    </row>
    <row r="143" ht="180" spans="1:11">
      <c r="A143" s="3">
        <f t="shared" si="2"/>
        <v>141</v>
      </c>
      <c r="B143" s="4" t="s">
        <v>462</v>
      </c>
      <c r="C143" s="3" t="s">
        <v>420</v>
      </c>
      <c r="D143" s="3" t="s">
        <v>463</v>
      </c>
      <c r="E143" s="4">
        <v>125</v>
      </c>
      <c r="F143" s="4" t="s">
        <v>464</v>
      </c>
      <c r="G143" s="3" t="s">
        <v>138</v>
      </c>
      <c r="H143" s="3" t="s">
        <v>139</v>
      </c>
      <c r="I143" s="3" t="s">
        <v>457</v>
      </c>
      <c r="J143" s="4"/>
      <c r="K143" s="11" t="s">
        <v>465</v>
      </c>
    </row>
    <row r="144" ht="56.25" spans="1:11">
      <c r="A144" s="3">
        <f t="shared" si="2"/>
        <v>142</v>
      </c>
      <c r="B144" s="4" t="s">
        <v>466</v>
      </c>
      <c r="C144" s="3" t="s">
        <v>420</v>
      </c>
      <c r="D144" s="4" t="s">
        <v>467</v>
      </c>
      <c r="E144" s="4">
        <v>30</v>
      </c>
      <c r="F144" s="4" t="s">
        <v>468</v>
      </c>
      <c r="G144" s="3" t="s">
        <v>138</v>
      </c>
      <c r="H144" s="3" t="s">
        <v>139</v>
      </c>
      <c r="I144" s="3" t="s">
        <v>469</v>
      </c>
      <c r="J144" s="4"/>
      <c r="K144" s="11" t="s">
        <v>470</v>
      </c>
    </row>
    <row r="145" ht="67.5" spans="1:11">
      <c r="A145" s="3">
        <f t="shared" si="2"/>
        <v>143</v>
      </c>
      <c r="B145" s="4" t="s">
        <v>208</v>
      </c>
      <c r="C145" s="3" t="s">
        <v>420</v>
      </c>
      <c r="D145" s="3" t="s">
        <v>471</v>
      </c>
      <c r="E145" s="4">
        <v>151</v>
      </c>
      <c r="F145" s="4" t="s">
        <v>472</v>
      </c>
      <c r="G145" s="3" t="s">
        <v>138</v>
      </c>
      <c r="H145" s="3" t="s">
        <v>139</v>
      </c>
      <c r="I145" s="3" t="s">
        <v>469</v>
      </c>
      <c r="J145" s="4"/>
      <c r="K145" s="11" t="s">
        <v>473</v>
      </c>
    </row>
    <row r="146" ht="168.75" spans="1:11">
      <c r="A146" s="3">
        <f t="shared" si="2"/>
        <v>144</v>
      </c>
      <c r="B146" s="3" t="s">
        <v>183</v>
      </c>
      <c r="C146" s="3" t="s">
        <v>420</v>
      </c>
      <c r="D146" s="3" t="s">
        <v>474</v>
      </c>
      <c r="E146" s="3">
        <v>132</v>
      </c>
      <c r="F146" s="4" t="s">
        <v>475</v>
      </c>
      <c r="G146" s="3" t="s">
        <v>138</v>
      </c>
      <c r="H146" s="3" t="s">
        <v>139</v>
      </c>
      <c r="I146" s="3" t="s">
        <v>476</v>
      </c>
      <c r="J146" s="4"/>
      <c r="K146" s="11" t="s">
        <v>477</v>
      </c>
    </row>
    <row r="147" ht="45" spans="1:11">
      <c r="A147" s="3">
        <f t="shared" si="2"/>
        <v>145</v>
      </c>
      <c r="B147" s="4"/>
      <c r="C147" s="3" t="s">
        <v>420</v>
      </c>
      <c r="D147" s="4"/>
      <c r="E147" s="4"/>
      <c r="F147" s="4" t="s">
        <v>478</v>
      </c>
      <c r="G147" s="3" t="s">
        <v>138</v>
      </c>
      <c r="H147" s="3" t="s">
        <v>139</v>
      </c>
      <c r="I147" s="3" t="s">
        <v>479</v>
      </c>
      <c r="J147" s="4"/>
      <c r="K147" s="11" t="s">
        <v>480</v>
      </c>
    </row>
    <row r="148" ht="90" spans="1:11">
      <c r="A148" s="3">
        <f t="shared" si="2"/>
        <v>146</v>
      </c>
      <c r="B148" s="4" t="s">
        <v>481</v>
      </c>
      <c r="C148" s="3" t="s">
        <v>420</v>
      </c>
      <c r="D148" s="4" t="s">
        <v>76</v>
      </c>
      <c r="E148" s="4"/>
      <c r="F148" s="4" t="s">
        <v>482</v>
      </c>
      <c r="G148" s="3" t="s">
        <v>138</v>
      </c>
      <c r="H148" s="3" t="s">
        <v>139</v>
      </c>
      <c r="I148" s="3" t="s">
        <v>403</v>
      </c>
      <c r="J148" s="4"/>
      <c r="K148" s="11" t="s">
        <v>483</v>
      </c>
    </row>
    <row r="149" ht="112.5" spans="1:11">
      <c r="A149" s="3">
        <f t="shared" si="2"/>
        <v>147</v>
      </c>
      <c r="B149" s="4"/>
      <c r="C149" s="3" t="s">
        <v>420</v>
      </c>
      <c r="D149" s="4"/>
      <c r="E149" s="4"/>
      <c r="F149" s="4" t="s">
        <v>484</v>
      </c>
      <c r="G149" s="3" t="s">
        <v>138</v>
      </c>
      <c r="H149" s="3" t="s">
        <v>139</v>
      </c>
      <c r="I149" s="3" t="s">
        <v>403</v>
      </c>
      <c r="J149" s="4"/>
      <c r="K149" s="11" t="s">
        <v>377</v>
      </c>
    </row>
    <row r="150" ht="101.25" spans="1:11">
      <c r="A150" s="3">
        <f t="shared" si="2"/>
        <v>148</v>
      </c>
      <c r="B150" s="14"/>
      <c r="C150" s="21" t="s">
        <v>420</v>
      </c>
      <c r="D150" s="14"/>
      <c r="E150" s="14"/>
      <c r="F150" s="14" t="s">
        <v>485</v>
      </c>
      <c r="G150" s="21" t="s">
        <v>138</v>
      </c>
      <c r="H150" s="21" t="s">
        <v>139</v>
      </c>
      <c r="I150" s="21" t="s">
        <v>403</v>
      </c>
      <c r="J150" s="14"/>
      <c r="K150" s="22" t="s">
        <v>486</v>
      </c>
    </row>
    <row r="151" ht="67.5" spans="1:11">
      <c r="A151" s="3">
        <f t="shared" si="2"/>
        <v>149</v>
      </c>
      <c r="B151" s="23"/>
      <c r="C151" s="24" t="s">
        <v>420</v>
      </c>
      <c r="D151" s="23"/>
      <c r="E151" s="23"/>
      <c r="F151" s="14" t="s">
        <v>487</v>
      </c>
      <c r="G151" s="21" t="s">
        <v>138</v>
      </c>
      <c r="H151" s="21" t="s">
        <v>139</v>
      </c>
      <c r="I151" s="21" t="s">
        <v>417</v>
      </c>
      <c r="J151" s="23"/>
      <c r="K151" s="25" t="s">
        <v>488</v>
      </c>
    </row>
    <row r="152" ht="135" spans="1:11">
      <c r="A152" s="3">
        <f t="shared" si="2"/>
        <v>150</v>
      </c>
      <c r="B152" s="23"/>
      <c r="C152" s="24" t="s">
        <v>420</v>
      </c>
      <c r="D152" s="23"/>
      <c r="E152" s="23"/>
      <c r="F152" s="18" t="s">
        <v>489</v>
      </c>
      <c r="G152" s="21" t="s">
        <v>138</v>
      </c>
      <c r="H152" s="21" t="s">
        <v>139</v>
      </c>
      <c r="I152" s="21" t="s">
        <v>417</v>
      </c>
      <c r="J152" s="23"/>
      <c r="K152" s="25" t="s">
        <v>490</v>
      </c>
    </row>
  </sheetData>
  <mergeCells count="3">
    <mergeCell ref="A1:Q1"/>
    <mergeCell ref="K21:K24"/>
    <mergeCell ref="K68:K70"/>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WWO_wpscloud_20260721204255-0e67e39500</Application>
  <HeadingPairs>
    <vt:vector size="2" baseType="variant">
      <vt:variant>
        <vt:lpstr>工作表</vt:lpstr>
      </vt:variant>
      <vt:variant>
        <vt:i4>2</vt:i4>
      </vt:variant>
    </vt:vector>
  </HeadingPairs>
  <TitlesOfParts>
    <vt:vector size="2" baseType="lpstr">
      <vt:lpstr>TJ4标联系函勘误后</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张伟</cp:lastModifiedBy>
  <dcterms:created xsi:type="dcterms:W3CDTF">2026-08-02T02:26:00Z</dcterms:created>
  <dcterms:modified xsi:type="dcterms:W3CDTF">2026-10-17T09:26:19Z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25707DC844724056A2A5F521D9F0E15E_13</vt:lpwstr>
  </property>
  <property fmtid="{D5CDD505-2E9C-101B-9397-08002B2CF9AE}" pid="3" name="KSOProductBuildVer">
    <vt:lpwstr>2052-12.1.0.28599</vt:lpwstr>
  </property>
  <property fmtid="{D5CDD505-2E9C-101B-9397-08002B2CF9AE}" pid="4" name="CalculationRule">
    <vt:i4>0</vt:i4>
  </property>
  <property fmtid="{D5CDD505-2E9C-101B-9397-08002B2CF9AE}" pid="5" name="KSOReadingLayout">
    <vt:bool>true</vt:bool>
  </property>
</Properties>
</file>