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ed9c1b75ca4e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审查意见" sheetId="1" r:id="Rf13b5cb4e21e4dd7"/>
    <x:sheet xmlns:r="http://schemas.openxmlformats.org/officeDocument/2006/relationships" name="数量复核" sheetId="2" r:id="Rdda356c0cc8c4d00"/>
    <x:sheet xmlns:r="http://schemas.openxmlformats.org/officeDocument/2006/relationships" name="钢筋复核" sheetId="3" r:id="R1a91725e264344cf"/>
    <x:sheet xmlns:r="http://schemas.openxmlformats.org/officeDocument/2006/relationships" name="几何复核" sheetId="4" r:id="Ra3f4c37d08a74dff"/>
    <x:sheet xmlns:r="http://schemas.openxmlformats.org/officeDocument/2006/relationships" name="原图数据" sheetId="5" r:id="Re779f051017a4e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0"/>
    <x:numFmt numFmtId="202" formatCode="0.000"/>
    <x:numFmt numFmtId="203" formatCode="0.000000"/>
  </x:numFmts>
  <x:fonts count="8">
    <x:font>
      <x:sz val="11"/>
      <x:name val="Carlito"/>
    </x:font>
    <x:font>
      <x:sz val="10"/>
      <x:color rgb="FF233649"/>
      <x:name val="Microsoft YaHei"/>
    </x:font>
    <x:font>
      <x:b/>
      <x:sz val="16"/>
      <x:color rgb="FF203B56"/>
      <x:name val="Microsoft YaHei"/>
    </x:font>
    <x:font>
      <x:sz val="10"/>
      <x:color rgb="FF617181"/>
      <x:name val="Microsoft YaHei"/>
    </x:font>
    <x:font>
      <x:b/>
      <x:sz val="10"/>
      <x:color rgb="FFFFFFFF"/>
      <x:name val="Microsoft YaHei"/>
    </x:font>
    <x:font>
      <x:sz val="10"/>
      <x:color rgb="FF1565A4"/>
      <x:name val="Microsoft YaHei"/>
    </x:font>
    <x:font>
      <x:b/>
      <x:sz val="10"/>
      <x:color rgb="FF233649"/>
      <x:name val="Microsoft YaHei"/>
    </x:font>
    <x:font>
      <x:sz val="10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203B56"/>
      </x:patternFill>
    </x:fill>
    <x:fill>
      <x:patternFill patternType="solid">
        <x:fgColor rgb="FFF0F4F8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3" fontId="6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6" fillId="3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4">
    <x:dxf>
      <x:font>
        <x:b/>
        <x:color rgb="FF8C5700"/>
      </x:font>
      <x:fill>
        <x:patternFill patternType="solid">
          <x:bgColor rgb="FFFFF2CC"/>
        </x:patternFill>
      </x:fill>
    </x:dxf>
    <x:dxf>
      <x:fill>
        <x:patternFill patternType="solid">
          <x:bgColor rgb="FFFBE4E2"/>
        </x:patternFill>
      </x:fill>
    </x:dxf>
    <x:dxf>
      <x:font>
        <x:b/>
        <x:color rgb="FF9E2E26"/>
      </x:font>
      <x:fill>
        <x:patternFill patternType="solid">
          <x:bgColor rgb="FFFBE4E2"/>
        </x:patternFill>
      </x:fill>
    </x:dxf>
    <x:dxf>
      <x:font>
        <x:color rgb="FF81520A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e052f5361f488a" /><Relationship Type="http://schemas.openxmlformats.org/officeDocument/2006/relationships/theme" Target="/xl/theme/theme1.xml" Id="Rb682948f9a624caf" /><Relationship Type="http://schemas.openxmlformats.org/officeDocument/2006/relationships/sharedStrings" Target="/xl/sharedStrings.xml" Id="R9c27db95e19f4620" /><Relationship Type="http://schemas.openxmlformats.org/officeDocument/2006/relationships/worksheet" Target="/xl/worksheets/sheet1.xml" Id="Rf13b5cb4e21e4dd7" /><Relationship Type="http://schemas.openxmlformats.org/officeDocument/2006/relationships/worksheet" Target="/xl/worksheets/sheet2.xml" Id="Rdda356c0cc8c4d00" /><Relationship Type="http://schemas.openxmlformats.org/officeDocument/2006/relationships/worksheet" Target="/xl/worksheets/sheet3.xml" Id="R1a91725e264344cf" /><Relationship Type="http://schemas.openxmlformats.org/officeDocument/2006/relationships/worksheet" Target="/xl/worksheets/sheet4.xml" Id="Ra3f4c37d08a74dff" /><Relationship Type="http://schemas.openxmlformats.org/officeDocument/2006/relationships/worksheet" Target="/xl/worksheets/sheet5.xml" Id="Re779f051017a4e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B56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13" hidden="0" customWidth="1"/>
    <x:col min="4" max="4" width="23" hidden="0" customWidth="1"/>
    <x:col min="5" max="5" width="25" hidden="0" customWidth="1"/>
    <x:col min="6" max="6" width="44" hidden="0" customWidth="1"/>
    <x:col min="7" max="7" width="48" hidden="0" customWidth="1"/>
    <x:col min="8" max="8" width="46" hidden="0" customWidth="1"/>
    <x:col min="9" max="9" width="3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3" t="str">
        <x:v>桥墩防震挡块图纸审查</x:v>
      </x:c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4" t="str">
        <x:v>差干互通立交及服务区D匝道桥 · 图号 S5-5(7)-15 · PDF共3页 · 审查日期2026-10-17</x:v>
      </x:c>
      <x:c r="B3" s="2"/>
      <x:c r="C3" s="2"/>
      <x:c r="D3" s="2"/>
      <x:c r="E3" s="2"/>
      <x:c r="F3" s="2"/>
      <x:c r="G3" s="2"/>
      <x:c r="H3" s="2"/>
      <x:c r="I3" s="2"/>
    </x:row>
    <x:row r="4" ht="24" customHeight="1">
      <x:c r="A4" s="4" t="str">
        <x:v>范围：图内单位、尺寸角度、钢筋构造及材料数量一致性。未提供计算书与配套图，未作承载力、抗震性能或施工可行性合格结论。</x:v>
      </x:c>
      <x:c r="B4" s="2"/>
      <x:c r="C4" s="2"/>
      <x:c r="D4" s="2"/>
      <x:c r="E4" s="2"/>
      <x:c r="F4" s="2"/>
      <x:c r="G4" s="2"/>
      <x:c r="H4" s="2"/>
      <x:c r="I4" s="2"/>
    </x:row>
    <x:row r="5" ht="24" customHeight="1">
      <x:c r="A5" s="4" t="str">
        <x:v>结论：存在需设计澄清的单位、钢筋长度及尺寸角度矛盾。涉及R01—R05的放样和料单，应取得设计回复后统一。</x:v>
      </x:c>
      <x:c r="B5" s="2"/>
      <x:c r="C5" s="2"/>
      <x:c r="D5" s="2"/>
      <x:c r="E5" s="2"/>
      <x:c r="F5" s="2"/>
      <x:c r="G5" s="2"/>
      <x:c r="H5" s="2"/>
      <x:c r="I5" s="2"/>
    </x:row>
    <x:row r="6" ht="24" customHeight="1">
      <x:c r="A6" s="30" t="str">
        <x:v>明确不一致</x:v>
      </x:c>
      <x:c r="B6" s="31" t="n">
        <x:f>COUNTIFS(B9:B16,"明确不一致")</x:f>
        <x:v>3</x:v>
      </x:c>
      <x:c r="C6" s="30" t="str">
        <x:v>待确认</x:v>
      </x:c>
      <x:c r="D6" s="31" t="n">
        <x:f>COUNTIFS(B9:B16,"待确认")</x:f>
        <x:v>4</x:v>
      </x:c>
      <x:c r="E6" s="30" t="str">
        <x:v>汇总尾差</x:v>
      </x:c>
      <x:c r="F6" s="31" t="n">
        <x:f>COUNTIFS(B9:B16,"汇总尾差")</x:f>
        <x:v>1</x:v>
      </x:c>
      <x:c r="G6" s="2"/>
      <x:c r="H6" s="2"/>
      <x:c r="I6" s="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40" customHeight="1">
      <x:c r="A8" s="8" t="str">
        <x:v>编号</x:v>
      </x:c>
      <x:c r="B8" s="8" t="str">
        <x:v>结论类别</x:v>
      </x:c>
      <x:c r="C8" s="8" t="str">
        <x:v>处理顺序</x:v>
      </x:c>
      <x:c r="D8" s="8" t="str">
        <x:v>图纸位置</x:v>
      </x:c>
      <x:c r="E8" s="8" t="str">
        <x:v>问题</x:v>
      </x:c>
      <x:c r="F8" s="8" t="str">
        <x:v>原图证据</x:v>
      </x:c>
      <x:c r="G8" s="8" t="str">
        <x:v>复核依据 / 影响</x:v>
      </x:c>
      <x:c r="H8" s="8" t="str">
        <x:v>处理建议</x:v>
      </x:c>
      <x:c r="I8" s="8" t="str">
        <x:v>设计回复 / 处理记录</x:v>
      </x:c>
    </x:row>
    <x:row r="9" ht="78" customHeight="1">
      <x:c r="A9" s="28" t="str">
        <x:v>R01</x:v>
      </x:c>
      <x:c r="B9" s="28" t="str">
        <x:v>明确不一致</x:v>
      </x:c>
      <x:c r="C9" s="28" t="str">
        <x:v>优先处理</x:v>
      </x:c>
      <x:c r="D9" s="28" t="str">
        <x:v>第1页注1；第2/3页表头</x:v>
      </x:c>
      <x:c r="E9" s="28" t="str">
        <x:v>尺寸单位冲突</x:v>
      </x:c>
      <x:c r="F9" s="28" t="str">
        <x:v>注1原文“本图尺寸均以毫米为单位”。参数H=50.0(cm)、B0=100/200(cm)，钢筋单长列为(cm)，直径列为(mm)。</x:v>
      </x:c>
      <x:c r="G9" s="28" t="str">
        <x:v>2a=120+22+22=164，与表列164cm吻合；按mm解释会与表列相差10倍。橡胶块另明确300×200×20mm。</x:v>
      </x:c>
      <x:c r="H9" s="28" t="str">
        <x:v>设计统一总说明与详图单位，建议明确一般尺寸cm、钢筋直径及缓冲块尺寸mm（最终以设计确认为准）。</x:v>
      </x:c>
      <x:c r="I9" s="29" t="str"/>
    </x:row>
    <x:row r="10" ht="78" customHeight="1">
      <x:c r="A10" s="28" t="str">
        <x:v>R02</x:v>
      </x:c>
      <x:c r="B10" s="28" t="str">
        <x:v>明确不一致</x:v>
      </x:c>
      <x:c r="C10" s="28" t="str">
        <x:v>优先处理</x:v>
      </x:c>
      <x:c r="D10" s="28" t="str">
        <x:v>第1页1a大样；第2页1a各行</x:v>
      </x:c>
      <x:c r="E10" s="28" t="str">
        <x:v>1a分段与总长差45cm</x:v>
      </x:c>
      <x:c r="F10" s="28" t="str">
        <x:v>分段：左竖117、右竖117−h、底钩22+22、顶部均(B1+B2+B3)/3−9/sinβ−12，另有斜段。总长公式却以221−h起算。</x:v>
      </x:c>
      <x:c r="G10" s="28" t="str">
        <x:v>分段常数117+117+22+22−12=266；总长常数221，差45cm/根。10处1a共160根；若按分段改长，条件增量72m。</x:v>
      </x:c>
      <x:c r="H10" s="28" t="str">
        <x:v>确认竖段尺寸、弯曲计算及总长公式哪一项需改，重出逐根/平均料单与重量。214.56kg仅按2.98kg/m的条件示算。</x:v>
      </x:c>
      <x:c r="I10" s="29" t="str"/>
    </x:row>
    <x:row r="11" ht="78" customHeight="1">
      <x:c r="A11" s="28" t="str">
        <x:v>R03</x:v>
      </x:c>
      <x:c r="B11" s="28" t="str">
        <x:v>明确不一致</x:v>
      </x:c>
      <x:c r="C11" s="28" t="str">
        <x:v>优先处理</x:v>
      </x:c>
      <x:c r="D11" s="28" t="str">
        <x:v>第1页平面/通用详图；第2/3页参数</x:v>
      </x:c>
      <x:c r="E11" s="28" t="str">
        <x:v>B2/B3定义与角度不闭合</x:v>
      </x:c>
      <x:c r="F11" s="28" t="str">
        <x:v>1、4#及2、3#右侧主平面将B3置中点、B2置端点；表中角度反推对应B2中点、B3端点。2、3#左侧分段平面又采用B2段内、B3内端。</x:v>
      </x:c>
      <x:c r="G11" s="28" t="str">
        <x:v>4#左侧：45.1+100cot85.3°=53.321cm，非图示中点B3=44.1。用B2=53.4作中点，53.4−100cot84.7°=44.123，接近B3。</x:v>
      </x:c>
      <x:c r="H11" s="28" t="str">
        <x:v>逐类确认B1/B2/B3的物理位置和角度定义；修订平面、通用钢筋形状、参数及混凝土计算。不能自行交换后施工。</x:v>
      </x:c>
      <x:c r="I11" s="29" t="str"/>
    </x:row>
    <x:row r="12" ht="78" customHeight="1">
      <x:c r="A12" s="28" t="str">
        <x:v>R04</x:v>
      </x:c>
      <x:c r="B12" s="28" t="str">
        <x:v>待确认</x:v>
      </x:c>
      <x:c r="C12" s="28" t="str">
        <x:v>优先处理</x:v>
      </x:c>
      <x:c r="D12" s="28" t="str">
        <x:v>第1页A-A；第2页5a/6a根数</x:v>
      </x:c>
      <x:c r="E12" s="28" t="str">
        <x:v>层数与间距标注需闭合</x:v>
      </x:c>
      <x:c r="F12" s="28" t="str">
        <x:v>A-A竖向标注13×9；5a为11根、6a为2根，合计13根。按两端均设层解释，13段间距需14层。</x:v>
      </x:c>
      <x:c r="G12" s="28" t="str">
        <x:v>13层通常只有12段间距：12×9=108cm，与13×9=117cm相差9cm。若有与其他编号共层或边界计法，图中未说明。</x:v>
      </x:c>
      <x:c r="H12" s="28" t="str">
        <x:v>设计明确每层编号、上下端位置和实际层数；确认是间距段数、5a/6a根数，还是统计边界需要修改。</x:v>
      </x:c>
      <x:c r="I12" s="29" t="str"/>
    </x:row>
    <x:row r="13" ht="78" customHeight="1">
      <x:c r="A13" s="28" t="str">
        <x:v>R05</x:v>
      </x:c>
      <x:c r="B13" s="28" t="str">
        <x:v>待确认</x:v>
      </x:c>
      <x:c r="C13" s="28" t="str">
        <x:v>需澄清</x:v>
      </x:c>
      <x:c r="D13" s="28" t="str">
        <x:v>第1页5a/6a大样及总长公式</x:v>
      </x:c>
      <x:c r="E13" s="28" t="str">
        <x:v>箍筋分段求和与公式差10cm</x:v>
      </x:c>
      <x:c r="F13" s="28" t="str">
        <x:v>5a边长中B1、B2各扣9cm，图示两个端钩各10cm；其余三边与总长式相同。6a另有−9/sinβ。</x:v>
      </x:c>
      <x:c r="G13" s="28" t="str">
        <x:v>分段端项为B1+B2−18+20=B1+B2+2，而总长写B1+B2+12；两编号总长式较直接分段各多10cm。</x:v>
      </x:c>
      <x:c r="H13" s="28" t="str">
        <x:v>确认端钩、搭接/弯曲调整与长度计算基准。若另含10cm搭接须明确；B2/B3定义确认后再复算。</x:v>
      </x:c>
      <x:c r="I13" s="29" t="str"/>
    </x:row>
    <x:row r="14" ht="78" customHeight="1">
      <x:c r="A14" s="28" t="str">
        <x:v>R06</x:v>
      </x:c>
      <x:c r="B14" s="28" t="str">
        <x:v>汇总尾差</x:v>
      </x:c>
      <x:c r="C14" s="28" t="str">
        <x:v>核对底稿</x:v>
      </x:c>
      <x:c r="D14" s="28" t="str">
        <x:v>第2页小计；第3页下部总表</x:v>
      </x:c>
      <x:c r="E14" s="28" t="str">
        <x:v>钢筋汇总各有0.1kg尾差</x:v>
      </x:c>
      <x:c r="F14" s="28" t="str">
        <x:v>Φ22各挡块小计加总2038.4kg，总表2038.3kg。Φ10分项加总418.0kg，总表418.1kg。</x:v>
      </x:c>
      <x:c r="G14" s="28" t="str">
        <x:v>差值分别+0.1kg、−0.1kg；可能由未舍入数据汇总形成。C35分项3.76m³，按1位小数为3.8，与总表可对应。</x:v>
      </x:c>
      <x:c r="H14" s="28" t="str">
        <x:v>调取未舍入数量底稿，说明统一的先汇总/后舍入规则。尾差不直接认定漏算或影响结构安全。</x:v>
      </x:c>
      <x:c r="I14" s="29" t="str"/>
    </x:row>
    <x:row r="15" ht="78" customHeight="1">
      <x:c r="A15" s="28" t="str">
        <x:v>R07</x:v>
      </x:c>
      <x:c r="B15" s="28" t="str">
        <x:v>待确认</x:v>
      </x:c>
      <x:c r="C15" s="28" t="str">
        <x:v>核对计量</x:v>
      </x:c>
      <x:c r="D15" s="28" t="str">
        <x:v>第1页注3；第3页材料总表</x:v>
      </x:c>
      <x:c r="E15" s="28" t="str">
        <x:v>橡胶缓冲块未在本图总表单列</x:v>
      </x:c>
      <x:c r="F15" s="28" t="str">
        <x:v>每挡块内侧粘贴2块300×200×20mm天然橡胶缓冲块。布设表10处，各1个。3页总表仅列Φ22、Φ10、C35。</x:v>
      </x:c>
      <x:c r="G15" s="28" t="str">
        <x:v>共20块，净体积0.024m³，按单面粘贴接触面积1.2m²。环氧树脂用量无厚度/耗量资料，未推算。</x:v>
      </x:c>
      <x:c r="H15" s="28" t="str">
        <x:v>核对是否已列入全桥附属工程等其他清单；补列或注明另计位置，并明确安装标高、间隙与配套梁图的对应关系。</x:v>
      </x:c>
      <x:c r="I15" s="29" t="str"/>
    </x:row>
    <x:row r="16" ht="78" customHeight="1">
      <x:c r="A16" s="28" t="str">
        <x:v>R08</x:v>
      </x:c>
      <x:c r="B16" s="28" t="str">
        <x:v>待确认</x:v>
      </x:c>
      <x:c r="C16" s="28" t="str">
        <x:v>补充资料</x:v>
      </x:c>
      <x:c r="D16" s="28" t="str">
        <x:v>所给3页资料范围</x:v>
      </x:c>
      <x:c r="E16" s="28" t="str">
        <x:v>材料、锚固及抗震验算无法闭环</x:v>
      </x:c>
      <x:c r="F16" s="28" t="str">
        <x:v>本图可读到C35和钢筋直径，未在所给3页中找到完整钢筋等级、弯曲/锚固计算依据、挡块设计水平力及与梁体间隙控制资料。</x:v>
      </x:c>
      <x:c r="G16" s="28" t="str">
        <x:v>仅凭本图无法判定抗震承载力、锚固长度、保护层及干扰调整后的受力是否满足。设计年代与采用规范版本也未提供。</x:v>
      </x:c>
      <x:c r="H16" s="28" t="str">
        <x:v>调取设计总说明、盖梁/梁端配套图和抗震计算书，核实钢筋等级、锚固、间隙及允许调整范围。属于资料待核查，非确认违反规范。</x:v>
      </x:c>
      <x:c r="I16" s="29" t="str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24" customHeight="1">
      <x:c r="A19" s="4" t="str">
        <x:v>使用方法：先处理R01—R03，再统一料单和工程量。黄色空白列供填写设计回复；“明确不一致”只确认图内矛盾，不替代设计修改。</x:v>
      </x:c>
      <x:c r="B19" s="2"/>
      <x:c r="C19" s="2"/>
      <x:c r="D19" s="2"/>
      <x:c r="E19" s="2"/>
      <x:c r="F19" s="2"/>
      <x:c r="G19" s="2"/>
      <x:c r="H19" s="2"/>
      <x:c r="I19" s="2"/>
    </x:row>
    <x:row r="20" ht="24" customHeight="1">
      <x:c r="A20" s="4" t="str">
        <x:v>复算范围：10处参数、60条钢筋记录、总表3项；原值集中在“原图数据”，可追溯至页码与行。</x:v>
      </x:c>
      <x:c r="B20" s="2"/>
      <x:c r="C20" s="2"/>
      <x:c r="D20" s="2"/>
      <x:c r="E20" s="2"/>
      <x:c r="F20" s="2"/>
      <x:c r="G20" s="2"/>
      <x:c r="H20" s="2"/>
      <x:c r="I20" s="2"/>
    </x:row>
    <x:row r="21" ht="24" customHeight="1">
      <x:c r="A21" s="4" t="str">
        <x:v>重要边界：几何、分段直加和计重均按各页明确标注及已说明假设计算，未将任一争议分支作为最终施工或计量依据。</x:v>
      </x:c>
      <x:c r="B21" s="2"/>
      <x:c r="C21" s="2"/>
      <x:c r="D21" s="2"/>
      <x:c r="E21" s="2"/>
      <x:c r="F21" s="2"/>
      <x:c r="G21" s="2"/>
      <x:c r="H21" s="2"/>
      <x:c r="I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</x:row>
  </x:sheetData>
  <x:conditionalFormatting sqref="B9:B16">
    <x:cfRule type="containsText" dxfId="2" priority="1" operator="containsText" text="明确不一致"/>
    <x:cfRule type="containsText" dxfId="3" priority="2" operator="containsText" text="待确认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03B5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9" hidden="0" customWidth="1"/>
    <x:col min="3" max="3" width="15" hidden="0" customWidth="1"/>
    <x:col min="4" max="4" width="15" hidden="0" customWidth="1"/>
    <x:col min="5" max="5" width="15" hidden="0" customWidth="1"/>
    <x:col min="6" max="6" width="16" hidden="0" customWidth="1"/>
    <x:col min="7" max="7" width="18" hidden="0" customWidth="1"/>
    <x:col min="8" max="8" width="16" hidden="0" customWidth="1"/>
    <x:col min="9" max="9" width="18" hidden="0" customWidth="1"/>
    <x:col min="10" max="10" width="12" hidden="0" customWidth="1"/>
    <x:col min="11" max="11" width="25" hidden="0" customWidth="1"/>
    <x:col min="12" max="12" width="25" hidden="0" customWidth="1"/>
    <x:col min="13" max="13" width="17" hidden="0" customWidth="1"/>
    <x:col min="14" max="14" width="4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2" customHeight="1">
      <x:c r="A2" s="3" t="str">
        <x:v>材料数量及影响复核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保留原图量。两种混凝土体积仅用于展示尺寸定义对数量的影响，不是建议直接变更计量。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V1按通用图B3中点、B1/B2端点；V2按B2中点、B1/B3端点。均假设中点位于B0/2，扣除9×h/2斜角。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40" customHeight="1">
      <x:c r="A6" s="8" t="str">
        <x:v>部位</x:v>
      </x:c>
      <x:c r="B6" s="8" t="str">
        <x:v>个数</x:v>
      </x:c>
      <x:c r="C6" s="8" t="str">
        <x:v>Φ22小计kg</x:v>
      </x:c>
      <x:c r="D6" s="8" t="str">
        <x:v>Φ10小计kg</x:v>
      </x:c>
      <x:c r="E6" s="8" t="str">
        <x:v>图示C35 m³</x:v>
      </x:c>
      <x:c r="F6" s="8" t="str">
        <x:v>V1几何m³</x:v>
      </x:c>
      <x:c r="G6" s="8" t="str">
        <x:v>V1－图示m³</x:v>
      </x:c>
      <x:c r="H6" s="8" t="str">
        <x:v>V2对照m³</x:v>
      </x:c>
      <x:c r="I6" s="8" t="str">
        <x:v>V2－V1 m³</x:v>
      </x:c>
      <x:c r="J6" s="8" t="str">
        <x:v>1a根数</x:v>
      </x:c>
      <x:c r="K6" s="8" t="str">
        <x:v>若每根加45cm增量m</x:v>
      </x:c>
      <x:c r="L6" s="8" t="str">
        <x:v>Φ22假设单重kg/m</x:v>
      </x:c>
      <x:c r="M6" s="8" t="str">
        <x:v>条件增重kg</x:v>
      </x:c>
      <x:c r="N6" s="8" t="str">
        <x:v>说明</x:v>
      </x:c>
    </x:row>
    <x:row r="7" ht="44" customHeight="1">
      <x:c r="A7" s="2" t="str">
        <x:f>'原图数据'!A7</x:f>
        <x:v>1#墩左侧</x:v>
      </x:c>
      <x:c r="B7" s="2" t="n">
        <x:f>'原图数据'!M7</x:f>
        <x:v>1</x:v>
      </x:c>
      <x:c r="C7" s="14" t="n">
        <x:f>'原图数据'!N7</x:f>
        <x:v>253.7</x:v>
      </x:c>
      <x:c r="D7" s="14" t="n">
        <x:f>'原图数据'!O7</x:f>
        <x:v>50.3</x:v>
      </x:c>
      <x:c r="E7" s="24" t="n">
        <x:f>'原图数据'!P7</x:f>
        <x:v>0.45</x:v>
      </x:c>
      <x:c r="F7" s="21" t="n">
        <x:f>'原图数据'!D7*('原图数据'!B7*('原图数据'!F7+'原图数据'!G7+2*'原图数据'!H7)/4-9*'原图数据'!C7/2)/1000000</x:f>
        <x:v>0.4453</x:v>
      </x:c>
      <x:c r="G7" s="21" t="n">
        <x:f>F7-E7</x:f>
        <x:v>-0.0047000000000000375</x:v>
      </x:c>
      <x:c r="H7" s="21" t="n">
        <x:f>'原图数据'!D7*('原图数据'!B7*('原图数据'!F7+2*'原图数据'!G7+'原图数据'!H7)/4-9*'原图数据'!C7/2)/1000000</x:f>
        <x:v>0.45205</x:v>
      </x:c>
      <x:c r="I7" s="21" t="n">
        <x:f>H7-F7</x:f>
        <x:v>0.006750000000000034</x:v>
      </x:c>
      <x:c r="J7" s="2" t="n">
        <x:f>'钢筋复核'!E8</x:f>
        <x:v>20</x:v>
      </x:c>
      <x:c r="K7" s="24" t="n">
        <x:f>J7*'钢筋复核'!P8/100</x:f>
        <x:v>9</x:v>
      </x:c>
      <x:c r="L7" s="24" t="n">
        <x:f>'钢筋复核'!$B$4</x:f>
        <x:v>2.98</x:v>
      </x:c>
      <x:c r="M7" s="24" t="n">
        <x:f>K7*L7</x:f>
        <x:v>26.82</x:v>
      </x:c>
      <x:c r="N7" s="17" t="str">
        <x:v>1a仅示算分段标注成立时的影响；修正方向待设计确认。</x:v>
      </x:c>
    </x:row>
    <x:row r="8" ht="44" customHeight="1">
      <x:c r="A8" s="12" t="str">
        <x:f>'原图数据'!A8</x:f>
        <x:v>1#墩右侧</x:v>
      </x:c>
      <x:c r="B8" s="12" t="n">
        <x:f>'原图数据'!M8</x:f>
        <x:v>1</x:v>
      </x:c>
      <x:c r="C8" s="13" t="n">
        <x:f>'原图数据'!N8</x:f>
        <x:v>252.9</x:v>
      </x:c>
      <x:c r="D8" s="13" t="n">
        <x:f>'原图数据'!O8</x:f>
        <x:v>49.9</x:v>
      </x:c>
      <x:c r="E8" s="25" t="n">
        <x:f>'原图数据'!P8</x:f>
        <x:v>0.44</x:v>
      </x:c>
      <x:c r="F8" s="22" t="n">
        <x:f>'原图数据'!D8*('原图数据'!B8*('原图数据'!F8+'原图数据'!G8+2*'原图数据'!H8)/4-9*'原图数据'!C8/2)/1000000</x:f>
        <x:v>0.43855</x:v>
      </x:c>
      <x:c r="G8" s="22" t="n">
        <x:f>F8-E8</x:f>
        <x:v>-0.0014500000000000068</x:v>
      </x:c>
      <x:c r="H8" s="22" t="n">
        <x:f>'原图数据'!D8*('原图数据'!B8*('原图数据'!F8+2*'原图数据'!G8+'原图数据'!H8)/4-9*'原图数据'!C8/2)/1000000</x:f>
        <x:v>0.43305</x:v>
      </x:c>
      <x:c r="I8" s="22" t="n">
        <x:f>H8-F8</x:f>
        <x:v>-0.005500000000000005</x:v>
      </x:c>
      <x:c r="J8" s="12" t="n">
        <x:f>'钢筋复核'!E14</x:f>
        <x:v>20</x:v>
      </x:c>
      <x:c r="K8" s="25" t="n">
        <x:f>J8*'钢筋复核'!P14/100</x:f>
        <x:v>9.00000000000001</x:v>
      </x:c>
      <x:c r="L8" s="25" t="n">
        <x:f>'钢筋复核'!$B$4</x:f>
        <x:v>2.98</x:v>
      </x:c>
      <x:c r="M8" s="25" t="n">
        <x:f>K8*L8</x:f>
        <x:v>26.820000000000032</x:v>
      </x:c>
      <x:c r="N8" s="18" t="str">
        <x:v>1a仅示算分段标注成立时的影响；修正方向待设计确认。</x:v>
      </x:c>
    </x:row>
    <x:row r="9" ht="44" customHeight="1">
      <x:c r="A9" s="2" t="str">
        <x:f>'原图数据'!A9</x:f>
        <x:v>2#墩小里程左侧</x:v>
      </x:c>
      <x:c r="B9" s="2" t="n">
        <x:f>'原图数据'!M9</x:f>
        <x:v>1</x:v>
      </x:c>
      <x:c r="C9" s="14" t="n">
        <x:f>'原图数据'!N9</x:f>
        <x:v>126.7</x:v>
      </x:c>
      <x:c r="D9" s="14" t="n">
        <x:f>'原图数据'!O9</x:f>
        <x:v>28.3</x:v>
      </x:c>
      <x:c r="E9" s="24" t="n">
        <x:f>'原图数据'!P9</x:f>
        <x:v>0.22</x:v>
      </x:c>
      <x:c r="F9" s="21" t="n">
        <x:f>'原图数据'!D9*('原图数据'!B9*('原图数据'!F9+'原图数据'!G9+2*'原图数据'!H9)/4-9*'原图数据'!C9/2)/1000000</x:f>
        <x:v>0.223025</x:v>
      </x:c>
      <x:c r="G9" s="21" t="n">
        <x:f>F9-E9</x:f>
        <x:v>0.003025</x:v>
      </x:c>
      <x:c r="H9" s="21" t="n">
        <x:f>'原图数据'!D9*('原图数据'!B9*('原图数据'!F9+2*'原图数据'!G9+'原图数据'!H9)/4-9*'原图数据'!C9/2)/1000000</x:f>
        <x:v>0.2209</x:v>
      </x:c>
      <x:c r="I9" s="21" t="n">
        <x:f>H9-F9</x:f>
        <x:v>-0.002124999999999988</x:v>
      </x:c>
      <x:c r="J9" s="2" t="n">
        <x:f>'钢筋复核'!E20</x:f>
        <x:v>10</x:v>
      </x:c>
      <x:c r="K9" s="24" t="n">
        <x:f>J9*'钢筋复核'!P20/100</x:f>
        <x:v>4.5</x:v>
      </x:c>
      <x:c r="L9" s="24" t="n">
        <x:f>'钢筋复核'!$B$4</x:f>
        <x:v>2.98</x:v>
      </x:c>
      <x:c r="M9" s="24" t="n">
        <x:f>K9*L9</x:f>
        <x:v>13.41</x:v>
      </x:c>
      <x:c r="N9" s="17" t="str">
        <x:v>1a仅示算分段标注成立时的影响；修正方向待设计确认。</x:v>
      </x:c>
    </x:row>
    <x:row r="10" ht="44" customHeight="1">
      <x:c r="A10" s="12" t="str">
        <x:f>'原图数据'!A10</x:f>
        <x:v>2#墩大里程左侧</x:v>
      </x:c>
      <x:c r="B10" s="12" t="n">
        <x:f>'原图数据'!M10</x:f>
        <x:v>1</x:v>
      </x:c>
      <x:c r="C10" s="13" t="n">
        <x:f>'原图数据'!N10</x:f>
        <x:v>129.6</x:v>
      </x:c>
      <x:c r="D10" s="13" t="n">
        <x:f>'原图数据'!O10</x:f>
        <x:v>29.8</x:v>
      </x:c>
      <x:c r="E10" s="25" t="n">
        <x:f>'原图数据'!P10</x:f>
        <x:v>0.27</x:v>
      </x:c>
      <x:c r="F10" s="22" t="n">
        <x:f>'原图数据'!D10*('原图数据'!B10*('原图数据'!F10+'原图数据'!G10+2*'原图数据'!H10)/4-9*'原图数据'!C10/2)/1000000</x:f>
        <x:v>0.2734</x:v>
      </x:c>
      <x:c r="G10" s="22" t="n">
        <x:f>F10-E10</x:f>
        <x:v>0.0033999999999999586</x:v>
      </x:c>
      <x:c r="H10" s="22" t="n">
        <x:f>'原图数据'!D10*('原图数据'!B10*('原图数据'!F10+2*'原图数据'!G10+'原图数据'!H10)/4-9*'原图数据'!C10/2)/1000000</x:f>
        <x:v>0.270275</x:v>
      </x:c>
      <x:c r="I10" s="22" t="n">
        <x:f>H10-F10</x:f>
        <x:v>-0.003124999999999989</x:v>
      </x:c>
      <x:c r="J10" s="12" t="n">
        <x:f>'钢筋复核'!E26</x:f>
        <x:v>10</x:v>
      </x:c>
      <x:c r="K10" s="25" t="n">
        <x:f>J10*'钢筋复核'!P26/100</x:f>
        <x:v>4.5</x:v>
      </x:c>
      <x:c r="L10" s="25" t="n">
        <x:f>'钢筋复核'!$B$4</x:f>
        <x:v>2.98</x:v>
      </x:c>
      <x:c r="M10" s="25" t="n">
        <x:f>K10*L10</x:f>
        <x:v>13.41</x:v>
      </x:c>
      <x:c r="N10" s="18" t="str">
        <x:v>1a仅示算分段标注成立时的影响；修正方向待设计确认。</x:v>
      </x:c>
    </x:row>
    <x:row r="11" ht="44" customHeight="1">
      <x:c r="A11" s="2" t="str">
        <x:f>'原图数据'!A11</x:f>
        <x:v>2#墩右侧</x:v>
      </x:c>
      <x:c r="B11" s="2" t="n">
        <x:f>'原图数据'!M11</x:f>
        <x:v>1</x:v>
      </x:c>
      <x:c r="C11" s="14" t="n">
        <x:f>'原图数据'!N11</x:f>
        <x:v>254</x:v>
      </x:c>
      <x:c r="D11" s="14" t="n">
        <x:f>'原图数据'!O11</x:f>
        <x:v>50.1</x:v>
      </x:c>
      <x:c r="E11" s="24" t="n">
        <x:f>'原图数据'!P11</x:f>
        <x:v>0.46</x:v>
      </x:c>
      <x:c r="F11" s="21" t="n">
        <x:f>'原图数据'!D11*('原图数据'!B11*('原图数据'!F11+'原图数据'!G11+2*'原图数据'!H11)/4-9*'原图数据'!C11/2)/1000000</x:f>
        <x:v>0.4575500000000001</x:v>
      </x:c>
      <x:c r="G11" s="21" t="n">
        <x:f>F11-E11</x:f>
        <x:v>-0.0024499999999998967</x:v>
      </x:c>
      <x:c r="H11" s="21" t="n">
        <x:f>'原图数据'!D11*('原图数据'!B11*('原图数据'!F11+2*'原图数据'!G11+'原图数据'!H11)/4-9*'原图数据'!C11/2)/1000000</x:f>
        <x:v>0.44605</x:v>
      </x:c>
      <x:c r="I11" s="21" t="n">
        <x:f>H11-F11</x:f>
        <x:v>-0.011500000000000121</x:v>
      </x:c>
      <x:c r="J11" s="2" t="n">
        <x:f>'钢筋复核'!E32</x:f>
        <x:v>20</x:v>
      </x:c>
      <x:c r="K11" s="24" t="n">
        <x:f>J11*'钢筋复核'!P32/100</x:f>
        <x:v>9</x:v>
      </x:c>
      <x:c r="L11" s="24" t="n">
        <x:f>'钢筋复核'!$B$4</x:f>
        <x:v>2.98</x:v>
      </x:c>
      <x:c r="M11" s="24" t="n">
        <x:f>K11*L11</x:f>
        <x:v>26.82</x:v>
      </x:c>
      <x:c r="N11" s="17" t="str">
        <x:v>1a仅示算分段标注成立时的影响；修正方向待设计确认。</x:v>
      </x:c>
    </x:row>
    <x:row r="12" ht="44" customHeight="1">
      <x:c r="A12" s="12" t="str">
        <x:f>'原图数据'!A12</x:f>
        <x:v>3#墩小里程左侧</x:v>
      </x:c>
      <x:c r="B12" s="12" t="n">
        <x:f>'原图数据'!M12</x:f>
        <x:v>1</x:v>
      </x:c>
      <x:c r="C12" s="13" t="n">
        <x:f>'原图数据'!N12</x:f>
        <x:v>127</x:v>
      </x:c>
      <x:c r="D12" s="13" t="n">
        <x:f>'原图数据'!O12</x:f>
        <x:v>28.4</x:v>
      </x:c>
      <x:c r="E12" s="25" t="n">
        <x:f>'原图数据'!P12</x:f>
        <x:v>0.23</x:v>
      </x:c>
      <x:c r="F12" s="22" t="n">
        <x:f>'原图数据'!D12*('原图数据'!B12*('原图数据'!F12+'原图数据'!G12+2*'原图数据'!H12)/4-9*'原图数据'!C12/2)/1000000</x:f>
        <x:v>0.231275</x:v>
      </x:c>
      <x:c r="G12" s="22" t="n">
        <x:f>F12-E12</x:f>
        <x:v>0.0012749999999999984</x:v>
      </x:c>
      <x:c r="H12" s="22" t="n">
        <x:f>'原图数据'!D12*('原图数据'!B12*('原图数据'!F12+2*'原图数据'!G12+'原图数据'!H12)/4-9*'原图数据'!C12/2)/1000000</x:f>
        <x:v>0.227525</x:v>
      </x:c>
      <x:c r="I12" s="22" t="n">
        <x:f>H12-F12</x:f>
        <x:v>-0.0037500000000000033</x:v>
      </x:c>
      <x:c r="J12" s="12" t="n">
        <x:f>'钢筋复核'!E38</x:f>
        <x:v>10</x:v>
      </x:c>
      <x:c r="K12" s="25" t="n">
        <x:f>J12*'钢筋复核'!P38/100</x:f>
        <x:v>4.5</x:v>
      </x:c>
      <x:c r="L12" s="25" t="n">
        <x:f>'钢筋复核'!$B$4</x:f>
        <x:v>2.98</x:v>
      </x:c>
      <x:c r="M12" s="25" t="n">
        <x:f>K12*L12</x:f>
        <x:v>13.41</x:v>
      </x:c>
      <x:c r="N12" s="18" t="str">
        <x:v>1a仅示算分段标注成立时的影响；修正方向待设计确认。</x:v>
      </x:c>
    </x:row>
    <x:row r="13" ht="44" customHeight="1">
      <x:c r="A13" s="2" t="str">
        <x:f>'原图数据'!A13</x:f>
        <x:v>3#墩大里程左侧</x:v>
      </x:c>
      <x:c r="B13" s="2" t="n">
        <x:f>'原图数据'!M13</x:f>
        <x:v>1</x:v>
      </x:c>
      <x:c r="C13" s="14" t="n">
        <x:f>'原图数据'!N13</x:f>
        <x:v>129.8</x:v>
      </x:c>
      <x:c r="D13" s="14" t="n">
        <x:f>'原图数据'!O13</x:f>
        <x:v>29.9</x:v>
      </x:c>
      <x:c r="E13" s="24" t="n">
        <x:f>'原图数据'!P13</x:f>
        <x:v>0.28</x:v>
      </x:c>
      <x:c r="F13" s="21" t="n">
        <x:f>'原图数据'!D13*('原图数据'!B13*('原图数据'!F13+'原图数据'!G13+2*'原图数据'!H13)/4-9*'原图数据'!C13/2)/1000000</x:f>
        <x:v>0.277525</x:v>
      </x:c>
      <x:c r="G13" s="21" t="n">
        <x:f>F13-E13</x:f>
        <x:v>-0.002475000000000005</x:v>
      </x:c>
      <x:c r="H13" s="21" t="n">
        <x:f>'原图数据'!D13*('原图数据'!B13*('原图数据'!F13+2*'原图数据'!G13+'原图数据'!H13)/4-9*'原图数据'!C13/2)/1000000</x:f>
        <x:v>0.2728999999999999</x:v>
      </x:c>
      <x:c r="I13" s="21" t="n">
        <x:f>H13-F13</x:f>
        <x:v>-0.004625000000000101</x:v>
      </x:c>
      <x:c r="J13" s="2" t="n">
        <x:f>'钢筋复核'!E44</x:f>
        <x:v>10</x:v>
      </x:c>
      <x:c r="K13" s="24" t="n">
        <x:f>J13*'钢筋复核'!P44/100</x:f>
        <x:v>4.500000000000005</x:v>
      </x:c>
      <x:c r="L13" s="24" t="n">
        <x:f>'钢筋复核'!$B$4</x:f>
        <x:v>2.98</x:v>
      </x:c>
      <x:c r="M13" s="24" t="n">
        <x:f>K13*L13</x:f>
        <x:v>13.410000000000016</x:v>
      </x:c>
      <x:c r="N13" s="17" t="str">
        <x:v>1a仅示算分段标注成立时的影响；修正方向待设计确认。</x:v>
      </x:c>
    </x:row>
    <x:row r="14" ht="44" customHeight="1">
      <x:c r="A14" s="12" t="str">
        <x:f>'原图数据'!A14</x:f>
        <x:v>3#墩右侧</x:v>
      </x:c>
      <x:c r="B14" s="12" t="n">
        <x:f>'原图数据'!M14</x:f>
        <x:v>1</x:v>
      </x:c>
      <x:c r="C14" s="13" t="n">
        <x:f>'原图数据'!N14</x:f>
        <x:v>255.1</x:v>
      </x:c>
      <x:c r="D14" s="13" t="n">
        <x:f>'原图数据'!O14</x:f>
        <x:v>50.3</x:v>
      </x:c>
      <x:c r="E14" s="25" t="n">
        <x:f>'原图数据'!P14</x:f>
        <x:v>0.48</x:v>
      </x:c>
      <x:c r="F14" s="22" t="n">
        <x:f>'原图数据'!D14*('原图数据'!B14*('原图数据'!F14+'原图数据'!G14+2*'原图数据'!H14)/4-9*'原图数据'!C14/2)/1000000</x:f>
        <x:v>0.4788000000000001</x:v>
      </x:c>
      <x:c r="G14" s="22" t="n">
        <x:f>F14-E14</x:f>
        <x:v>-0.0011999999999998678</x:v>
      </x:c>
      <x:c r="H14" s="22" t="n">
        <x:f>'原图数据'!D14*('原图数据'!B14*('原图数据'!F14+2*'原图数据'!G14+'原图数据'!H14)/4-9*'原图数据'!C14/2)/1000000</x:f>
        <x:v>0.4598</x:v>
      </x:c>
      <x:c r="I14" s="22" t="n">
        <x:f>H14-F14</x:f>
        <x:v>-0.019000000000000128</x:v>
      </x:c>
      <x:c r="J14" s="12" t="n">
        <x:f>'钢筋复核'!E50</x:f>
        <x:v>20</x:v>
      </x:c>
      <x:c r="K14" s="25" t="n">
        <x:f>J14*'钢筋复核'!P50/100</x:f>
        <x:v>9.00000000000001</x:v>
      </x:c>
      <x:c r="L14" s="25" t="n">
        <x:f>'钢筋复核'!$B$4</x:f>
        <x:v>2.98</x:v>
      </x:c>
      <x:c r="M14" s="25" t="n">
        <x:f>K14*L14</x:f>
        <x:v>26.820000000000032</x:v>
      </x:c>
      <x:c r="N14" s="18" t="str">
        <x:v>1a仅示算分段标注成立时的影响；修正方向待设计确认。</x:v>
      </x:c>
    </x:row>
    <x:row r="15" ht="44" customHeight="1">
      <x:c r="A15" s="2" t="str">
        <x:f>'原图数据'!A15</x:f>
        <x:v>4#墩左侧</x:v>
      </x:c>
      <x:c r="B15" s="2" t="n">
        <x:f>'原图数据'!M15</x:f>
        <x:v>1</x:v>
      </x:c>
      <x:c r="C15" s="14" t="n">
        <x:f>'原图数据'!N15</x:f>
        <x:v>253.8</x:v>
      </x:c>
      <x:c r="D15" s="14" t="n">
        <x:f>'原图数据'!O15</x:f>
        <x:v>50.5</x:v>
      </x:c>
      <x:c r="E15" s="24" t="n">
        <x:f>'原图数据'!P15</x:f>
        <x:v>0.44</x:v>
      </x:c>
      <x:c r="F15" s="21" t="n">
        <x:f>'原图数据'!D15*('原图数据'!B15*('原图数据'!F15+'原图数据'!G15+2*'原图数据'!H15)/4-9*'原图数据'!C15/2)/1000000</x:f>
        <x:v>0.44155</x:v>
      </x:c>
      <x:c r="G15" s="21" t="n">
        <x:f>F15-E15</x:f>
        <x:v>0.0015499999999999958</x:v>
      </x:c>
      <x:c r="H15" s="21" t="n">
        <x:f>'原图数据'!D15*('原图数据'!B15*('原图数据'!F15+2*'原图数据'!G15+'原图数据'!H15)/4-9*'原图数据'!C15/2)/1000000</x:f>
        <x:v>0.4648</x:v>
      </x:c>
      <x:c r="I15" s="21" t="n">
        <x:f>H15-F15</x:f>
        <x:v>0.023249999999999993</x:v>
      </x:c>
      <x:c r="J15" s="2" t="n">
        <x:f>'钢筋复核'!E56</x:f>
        <x:v>20</x:v>
      </x:c>
      <x:c r="K15" s="24" t="n">
        <x:f>J15*'钢筋复核'!P56/100</x:f>
        <x:v>9</x:v>
      </x:c>
      <x:c r="L15" s="24" t="n">
        <x:f>'钢筋复核'!$B$4</x:f>
        <x:v>2.98</x:v>
      </x:c>
      <x:c r="M15" s="24" t="n">
        <x:f>K15*L15</x:f>
        <x:v>26.82</x:v>
      </x:c>
      <x:c r="N15" s="17" t="str">
        <x:v>1a仅示算分段标注成立时的影响；修正方向待设计确认。</x:v>
      </x:c>
    </x:row>
    <x:row r="16" ht="44" customHeight="1">
      <x:c r="A16" s="12" t="str">
        <x:f>'原图数据'!A16</x:f>
        <x:v>4#墩右侧</x:v>
      </x:c>
      <x:c r="B16" s="12" t="n">
        <x:f>'原图数据'!M16</x:f>
        <x:v>1</x:v>
      </x:c>
      <x:c r="C16" s="13" t="n">
        <x:f>'原图数据'!N16</x:f>
        <x:v>255.8</x:v>
      </x:c>
      <x:c r="D16" s="13" t="n">
        <x:f>'原图数据'!O16</x:f>
        <x:v>50.5</x:v>
      </x:c>
      <x:c r="E16" s="25" t="n">
        <x:f>'原图数据'!P16</x:f>
        <x:v>0.49</x:v>
      </x:c>
      <x:c r="F16" s="22" t="n">
        <x:f>'原图数据'!D16*('原图数据'!B16*('原图数据'!F16+'原图数据'!G16+2*'原图数据'!H16)/4-9*'原图数据'!C16/2)/1000000</x:f>
        <x:v>0.4918</x:v>
      </x:c>
      <x:c r="G16" s="22" t="n">
        <x:f>F16-E16</x:f>
        <x:v>0.0018000000000000238</x:v>
      </x:c>
      <x:c r="H16" s="22" t="n">
        <x:f>'原图数据'!D16*('原图数据'!B16*('原图数据'!F16+2*'原图数据'!G16+'原图数据'!H16)/4-9*'原图数据'!C16/2)/1000000</x:f>
        <x:v>0.46855</x:v>
      </x:c>
      <x:c r="I16" s="22" t="n">
        <x:f>H16-F16</x:f>
        <x:v>-0.023249999999999993</x:v>
      </x:c>
      <x:c r="J16" s="12" t="n">
        <x:f>'钢筋复核'!E62</x:f>
        <x:v>20</x:v>
      </x:c>
      <x:c r="K16" s="25" t="n">
        <x:f>J16*'钢筋复核'!P62/100</x:f>
        <x:v>9</x:v>
      </x:c>
      <x:c r="L16" s="25" t="n">
        <x:f>'钢筋复核'!$B$4</x:f>
        <x:v>2.98</x:v>
      </x:c>
      <x:c r="M16" s="25" t="n">
        <x:f>K16*L16</x:f>
        <x:v>26.82</x:v>
      </x:c>
      <x:c r="N16" s="18" t="str">
        <x:v>1a仅示算分段标注成立时的影响；修正方向待设计确认。</x:v>
      </x:c>
    </x:row>
    <x:row r="17" ht="24" customHeight="1">
      <x:c r="A17" s="19" t="str">
        <x:v>合计</x:v>
      </x:c>
      <x:c r="B17" s="19" t="n">
        <x:f>SUM(B7:B16)</x:f>
        <x:v>10</x:v>
      </x:c>
      <x:c r="C17" s="20" t="n">
        <x:f>SUM(C7:C16)</x:f>
        <x:v>2038.3999999999999</x:v>
      </x:c>
      <x:c r="D17" s="20" t="n">
        <x:f>SUM(D7:D16)</x:f>
        <x:v>418</x:v>
      </x:c>
      <x:c r="E17" s="26" t="n">
        <x:f>SUM(E7:E16)</x:f>
        <x:v>3.7600000000000007</x:v>
      </x:c>
      <x:c r="F17" s="23" t="n">
        <x:f>SUM(F7:F16)</x:f>
        <x:v>3.7587750000000004</x:v>
      </x:c>
      <x:c r="G17" s="23" t="n">
        <x:f>SUM(G7:G16)</x:f>
        <x:v>-0.0012249999999998373</x:v>
      </x:c>
      <x:c r="H17" s="23" t="n">
        <x:f>SUM(H7:H16)</x:f>
        <x:v>3.7159</x:v>
      </x:c>
      <x:c r="I17" s="23" t="n">
        <x:f>SUM(I7:I16)</x:f>
        <x:v>-0.0428750000000003</x:v>
      </x:c>
      <x:c r="J17" s="19" t="n">
        <x:f>SUM(J7:J16)</x:f>
        <x:v>160</x:v>
      </x:c>
      <x:c r="K17" s="26" t="n">
        <x:f>SUM(K7:K16)</x:f>
        <x:v>72.00000000000003</x:v>
      </x:c>
      <x:c r="L17" s="26"/>
      <x:c r="M17" s="26" t="n">
        <x:f>SUM(M7:M16)</x:f>
        <x:v>214.56000000000006</x:v>
      </x:c>
      <x:c r="N17" s="19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4" customHeight="1">
      <x:c r="A20" s="27" t="str">
        <x:v>材料</x:v>
      </x:c>
      <x:c r="B20" s="27" t="str">
        <x:v>分项加总</x:v>
      </x:c>
      <x:c r="C20" s="27" t="str">
        <x:v>总表原值</x:v>
      </x:c>
      <x:c r="D20" s="27" t="str">
        <x:v>差值</x:v>
      </x:c>
      <x:c r="E20" s="27" t="str">
        <x:v>单位</x:v>
      </x:c>
      <x:c r="F20" s="27" t="str">
        <x:v>判读</x:v>
      </x:c>
      <x:c r="G20" s="2"/>
      <x:c r="H20" s="2"/>
      <x:c r="I20" s="2"/>
      <x:c r="J20" s="2"/>
      <x:c r="K20" s="2"/>
      <x:c r="L20" s="2"/>
      <x:c r="M20" s="2"/>
      <x:c r="N20" s="2"/>
    </x:row>
    <x:row r="21" ht="65" customHeight="1">
      <x:c r="A21" s="2" t="str">
        <x:v>Φ22钢筋</x:v>
      </x:c>
      <x:c r="B21" s="24" t="n">
        <x:f>C17</x:f>
        <x:v>2038.3999999999999</x:v>
      </x:c>
      <x:c r="C21" s="24" t="n">
        <x:f>'原图数据'!B21</x:f>
        <x:v>2038.3</x:v>
      </x:c>
      <x:c r="D21" s="24" t="n">
        <x:f>B21-C21</x:f>
        <x:v>0.09999999999990905</x:v>
      </x:c>
      <x:c r="E21" s="2" t="str">
        <x:v>kg</x:v>
      </x:c>
      <x:c r="F21" s="17" t="str">
        <x:v>差0.1kg，需统一未舍入底稿，不能据此认定漏筋</x:v>
      </x:c>
      <x:c r="G21" s="2"/>
      <x:c r="H21" s="2"/>
      <x:c r="I21" s="2"/>
      <x:c r="J21" s="2"/>
      <x:c r="K21" s="2"/>
      <x:c r="L21" s="2"/>
      <x:c r="M21" s="2"/>
      <x:c r="N21" s="2"/>
    </x:row>
    <x:row r="22" ht="65" customHeight="1">
      <x:c r="A22" s="2" t="str">
        <x:v>Φ10钢筋</x:v>
      </x:c>
      <x:c r="B22" s="24" t="n">
        <x:f>D17</x:f>
        <x:v>418</x:v>
      </x:c>
      <x:c r="C22" s="24" t="n">
        <x:f>'原图数据'!B22</x:f>
        <x:v>418.1</x:v>
      </x:c>
      <x:c r="D22" s="24" t="n">
        <x:f>B22-C22</x:f>
        <x:v>-0.10000000000002274</x:v>
      </x:c>
      <x:c r="E22" s="2" t="str">
        <x:v>kg</x:v>
      </x:c>
      <x:c r="F22" s="17" t="str">
        <x:v>差-0.1kg，需统一未舍入底稿，不能据此认定漏筋</x:v>
      </x:c>
      <x:c r="G22" s="2"/>
      <x:c r="H22" s="2"/>
      <x:c r="I22" s="2"/>
      <x:c r="J22" s="2"/>
      <x:c r="K22" s="2"/>
      <x:c r="L22" s="2"/>
      <x:c r="M22" s="2"/>
      <x:c r="N22" s="2"/>
    </x:row>
    <x:row r="23" ht="65" customHeight="1">
      <x:c r="A23" s="2" t="str">
        <x:v>C35混凝土</x:v>
      </x:c>
      <x:c r="B23" s="24" t="n">
        <x:f>E17</x:f>
        <x:v>3.7600000000000007</x:v>
      </x:c>
      <x:c r="C23" s="24" t="n">
        <x:f>'原图数据'!B23</x:f>
        <x:v>3.8</x:v>
      </x:c>
      <x:c r="D23" s="24" t="n">
        <x:f>B23-C23</x:f>
        <x:v>-0.03999999999999915</x:v>
      </x:c>
      <x:c r="E23" s="2" t="str">
        <x:v>m³</x:v>
      </x:c>
      <x:c r="F23" s="17" t="str">
        <x:v>3.76按1位小数为3.8，可对应</x:v>
      </x:c>
      <x:c r="G23" s="2"/>
      <x:c r="H23" s="2"/>
      <x:c r="I23" s="2"/>
      <x:c r="J23" s="2"/>
      <x:c r="K23" s="2"/>
      <x:c r="L23" s="2"/>
      <x:c r="M23" s="2"/>
      <x:c r="N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4" customHeight="1">
      <x:c r="A27" s="2" t="str">
        <x:v>橡胶缓冲块补充核对</x:v>
      </x:c>
      <x:c r="B27" s="2" t="str">
        <x:v>数量/尺寸</x:v>
      </x:c>
      <x:c r="C27" s="2" t="str">
        <x:v>单位</x:v>
      </x:c>
      <x:c r="D27" s="2" t="str">
        <x:v>口径</x:v>
      </x:c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4" customHeight="1">
      <x:c r="A28" s="2" t="str">
        <x:v>每挡块缓冲块数</x:v>
      </x:c>
      <x:c r="B28" s="2" t="n">
        <x:v>2</x:v>
      </x:c>
      <x:c r="C28" s="2" t="str">
        <x:v>块</x:v>
      </x:c>
      <x:c r="D28" s="2" t="str">
        <x:v>第1页注3</x:v>
      </x:c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4" customHeight="1">
      <x:c r="A29" s="2" t="str">
        <x:v>单块长</x:v>
      </x:c>
      <x:c r="B29" s="2" t="n">
        <x:v>300</x:v>
      </x:c>
      <x:c r="C29" s="2" t="str">
        <x:v>mm</x:v>
      </x:c>
      <x:c r="D29" s="2" t="str">
        <x:v>第1页注3</x:v>
      </x:c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4" customHeight="1">
      <x:c r="A30" s="2" t="str">
        <x:v>单块宽</x:v>
      </x:c>
      <x:c r="B30" s="2" t="n">
        <x:v>200</x:v>
      </x:c>
      <x:c r="C30" s="2" t="str">
        <x:v>mm</x:v>
      </x:c>
      <x:c r="D30" s="2" t="str">
        <x:v>第1页注3</x:v>
      </x:c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4" customHeight="1">
      <x:c r="A31" s="2" t="str">
        <x:v>单块厚</x:v>
      </x:c>
      <x:c r="B31" s="2" t="n">
        <x:v>20</x:v>
      </x:c>
      <x:c r="C31" s="2" t="str">
        <x:v>mm</x:v>
      </x:c>
      <x:c r="D31" s="2" t="str">
        <x:v>第1页注3</x:v>
      </x:c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4" customHeight="1">
      <x:c r="A32" s="2" t="str">
        <x:v>全桥缓冲块数</x:v>
      </x:c>
      <x:c r="B32" s="2" t="n">
        <x:f>B17*B28</x:f>
        <x:v>20</x:v>
      </x:c>
      <x:c r="C32" s="2" t="str">
        <x:v>块</x:v>
      </x:c>
      <x:c r="D32" s="2" t="str">
        <x:v>10处挡块，每处2块</x:v>
      </x:c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4" customHeight="1">
      <x:c r="A33" s="2" t="str">
        <x:v>全桥橡胶净体积</x:v>
      </x:c>
      <x:c r="B33" s="16" t="n">
        <x:f>B32*B29*B30*B31/1000000000</x:f>
        <x:v>0.024</x:v>
      </x:c>
      <x:c r="C33" s="2" t="str">
        <x:v>m³</x:v>
      </x:c>
      <x:c r="D33" s="2" t="str">
        <x:v>仅几何净量，未含损耗</x:v>
      </x:c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4" customHeight="1">
      <x:c r="A34" s="2" t="str">
        <x:v>单面粘贴接触面积</x:v>
      </x:c>
      <x:c r="B34" s="16" t="n">
        <x:f>B32*B29*B30/1000000</x:f>
        <x:v>1.2</x:v>
      </x:c>
      <x:c r="C34" s="2" t="str">
        <x:v>m²</x:v>
      </x:c>
      <x:c r="D34" s="2" t="str">
        <x:v>每块按300×200单面，不含胶耗换算</x:v>
      </x:c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4" customHeight="1">
      <x:c r="A37" s="4" t="str">
        <x:v>缓冲块在3页材料汇总中未单列；应查全桥附属工程或支座相关清单是否另计，避免直接认定漏项或重复计量。</x:v>
      </x:c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4" customHeight="1">
      <x:c r="A38" s="4" t="str">
        <x:v>Φ22条件增量：160根×0.45m=72m；按2.98kg/m示算214.56kg。此值不应直接加到原图总重作为修正量。</x:v>
      </x:c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4" customHeight="1">
      <x:c r="A39" s="4" t="str">
        <x:v>V1合计3.758775m³，逐项按2位小数显示均与原图一致；这仅验证图示B3为中点口径的算术，不消除角度矛盾。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4" customHeight="1">
      <x:c r="A40" s="4" t="str">
        <x:v>V2合计仅为对照；2、3#墩分段左侧与通用轮廓适用关系未明确，两种体积均不能替代设计认可工程量。</x:v>
      </x:c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03B56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4" hidden="0" customWidth="1"/>
    <x:col min="2" max="2" width="9" hidden="0" customWidth="1"/>
    <x:col min="3" max="3" width="11" hidden="0" customWidth="1"/>
    <x:col min="4" max="4" width="14" hidden="0" customWidth="1"/>
    <x:col min="5" max="5" width="9" hidden="0" customWidth="1"/>
    <x:col min="6" max="6" width="14" hidden="0" customWidth="1"/>
    <x:col min="7" max="7" width="15" hidden="0" customWidth="1"/>
    <x:col min="8" max="8" width="12" hidden="0" customWidth="1"/>
    <x:col min="9" max="9" width="13" hidden="0" customWidth="1"/>
    <x:col min="10" max="10" width="14" hidden="0" customWidth="1"/>
    <x:col min="11" max="11" width="13" hidden="0" customWidth="1"/>
    <x:col min="12" max="12" width="15" hidden="0" customWidth="1"/>
    <x:col min="13" max="13" width="13" hidden="0" customWidth="1"/>
    <x:col min="14" max="14" width="23" hidden="0" customWidth="1"/>
    <x:col min="15" max="15" width="16" hidden="0" customWidth="1"/>
    <x:col min="16" max="16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32" customHeight="1">
      <x:c r="A2" s="3" t="str">
        <x:v>钢筋长度、根数与计重复核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4" t="str">
        <x:v>L列按图中总长公式复算；O列按分段标注直接相加。未施加图中没有给出的弯曲调整、搭接或取整规则。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4" customHeight="1">
      <x:c r="A4" s="2" t="str">
        <x:v>Φ22 kg/m</x:v>
      </x:c>
      <x:c r="B4" s="9" t="n">
        <x:v>2.98</x:v>
      </x:c>
      <x:c r="C4" s="2" t="str">
        <x:v>Φ10 kg/m</x:v>
      </x:c>
      <x:c r="D4" s="9" t="n">
        <x:v>0.617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4" customHeight="1">
      <x:c r="A5" s="4" t="str">
        <x:v>M列比较精度：单长按0.1cm显示，允许±0.051cm；重量差仅辅助核对。1a及5a/6a分段不闭合需设计确认后重出料单。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40" customHeight="1">
      <x:c r="A7" s="8" t="str">
        <x:v>部位</x:v>
      </x:c>
      <x:c r="B7" s="8" t="str">
        <x:v>编号</x:v>
      </x:c>
      <x:c r="C7" s="8" t="str">
        <x:v>直径mm</x:v>
      </x:c>
      <x:c r="D7" s="8" t="str">
        <x:v>图示单长cm</x:v>
      </x:c>
      <x:c r="E7" s="8" t="str">
        <x:v>根数</x:v>
      </x:c>
      <x:c r="F7" s="8" t="str">
        <x:v>图示共长m</x:v>
      </x:c>
      <x:c r="G7" s="8" t="str">
        <x:v>单长×根数m</x:v>
      </x:c>
      <x:c r="H7" s="8" t="str">
        <x:v>共长差m</x:v>
      </x:c>
      <x:c r="I7" s="8" t="str">
        <x:v>图示重kg</x:v>
      </x:c>
      <x:c r="J7" s="8" t="str">
        <x:v>假设计重kg</x:v>
      </x:c>
      <x:c r="K7" s="8" t="str">
        <x:v>重量差kg</x:v>
      </x:c>
      <x:c r="L7" s="8" t="str">
        <x:v>公式单长cm</x:v>
      </x:c>
      <x:c r="M7" s="8" t="str">
        <x:v>单长差cm</x:v>
      </x:c>
      <x:c r="N7" s="8" t="str">
        <x:v>总长公式核对</x:v>
      </x:c>
      <x:c r="O7" s="8" t="str">
        <x:v>分段直加cm</x:v>
      </x:c>
      <x:c r="P7" s="8" t="str">
        <x:v>分段－公式cm</x:v>
      </x:c>
    </x:row>
    <x:row r="8" ht="24" customHeight="1">
      <x:c r="A8" s="12" t="str">
        <x:f>'原图数据'!B28</x:f>
        <x:v>1#墩左侧</x:v>
      </x:c>
      <x:c r="B8" s="12" t="str">
        <x:f>'原图数据'!C28</x:f>
        <x:v>1a</x:v>
      </x:c>
      <x:c r="C8" s="12" t="n">
        <x:f>'原图数据'!D28</x:f>
        <x:v>22</x:v>
      </x:c>
      <x:c r="D8" s="13" t="n">
        <x:f>'原图数据'!E28</x:f>
        <x:v>260.8</x:v>
      </x:c>
      <x:c r="E8" s="12" t="n">
        <x:f>'原图数据'!F28</x:f>
        <x:v>20</x:v>
      </x:c>
      <x:c r="F8" s="13" t="n">
        <x:f>'原图数据'!G28</x:f>
        <x:v>52.2</x:v>
      </x:c>
      <x:c r="G8" s="15" t="n">
        <x:f>D8*E8/100</x:f>
        <x:v>52.16</x:v>
      </x:c>
      <x:c r="H8" s="15" t="n">
        <x:f>G8-F8</x:f>
        <x:v>-0.04000000000000625</x:v>
      </x:c>
      <x:c r="I8" s="13" t="n">
        <x:f>'原图数据'!H28</x:f>
        <x:v>155.8</x:v>
      </x:c>
      <x:c r="J8" s="15" t="n">
        <x:f>G8*IF(C8=22,$B$4,$D$4)</x:f>
        <x:v>155.43679999999998</x:v>
      </x:c>
      <x:c r="K8" s="15" t="n">
        <x:f>J8-I8</x:f>
        <x:v>-0.3632000000000346</x:v>
      </x:c>
      <x:c r="L8" s="15" t="n">
        <x:f>221-'原图数据'!C7+AVERAGE('原图数据'!F7,'原图数据'!G7,'原图数据'!H7)-9/SIN(RADIANS('原图数据'!E7))+SQRT('原图数据'!C7^2+(9/SIN(RADIANS('原图数据'!E7)))^2)</x:f>
        <x:v>260.8108823397055</x:v>
      </x:c>
      <x:c r="M8" s="15" t="n">
        <x:f>L8-D8</x:f>
        <x:v>0.010882339705460709</x:v>
      </x:c>
      <x:c r="N8" s="12" t="str">
        <x:f>IF(ABS(M8)&lt;=0.051,"与总长公式相符","需检查")</x:f>
        <x:v>与总长公式相符</x:v>
      </x:c>
      <x:c r="O8" s="15" t="n">
        <x:f>117+(117-'原图数据'!C7)+22+22+(AVERAGE('原图数据'!F7,'原图数据'!G7,'原图数据'!H7)-9/SIN(RADIANS('原图数据'!E7))-12)+SQRT('原图数据'!C7^2+(9/SIN(RADIANS('原图数据'!E7)))^2)</x:f>
        <x:v>305.8108823397055</x:v>
      </x:c>
      <x:c r="P8" s="15" t="n">
        <x:f>O8-L8</x:f>
        <x:v>45</x:v>
      </x:c>
    </x:row>
    <x:row r="9" ht="24" customHeight="1">
      <x:c r="A9" s="2" t="str">
        <x:f>'原图数据'!B29</x:f>
        <x:v>1#墩左侧</x:v>
      </x:c>
      <x:c r="B9" s="2" t="str">
        <x:f>'原图数据'!C29</x:f>
        <x:v>2a</x:v>
      </x:c>
      <x:c r="C9" s="2" t="n">
        <x:f>'原图数据'!D29</x:f>
        <x:v>22</x:v>
      </x:c>
      <x:c r="D9" s="14" t="n">
        <x:f>'原图数据'!E29</x:f>
        <x:v>164</x:v>
      </x:c>
      <x:c r="E9" s="2" t="n">
        <x:f>'原图数据'!F29</x:f>
        <x:v>20</x:v>
      </x:c>
      <x:c r="F9" s="14" t="n">
        <x:f>'原图数据'!G29</x:f>
        <x:v>32.8</x:v>
      </x:c>
      <x:c r="G9" s="16" t="n">
        <x:f>D9*E9/100</x:f>
        <x:v>32.8</x:v>
      </x:c>
      <x:c r="H9" s="16" t="n">
        <x:f>G9-F9</x:f>
        <x:v>0</x:v>
      </x:c>
      <x:c r="I9" s="14" t="n">
        <x:f>'原图数据'!H29</x:f>
        <x:v>97.9</x:v>
      </x:c>
      <x:c r="J9" s="16" t="n">
        <x:f>G9*IF(C9=22,$B$4,$D$4)</x:f>
        <x:v>97.74399999999999</x:v>
      </x:c>
      <x:c r="K9" s="16" t="n">
        <x:f>J9-I9</x:f>
        <x:v>-0.15600000000002012</x:v>
      </x:c>
      <x:c r="L9" s="16" t="n">
        <x:f>120+22+22</x:f>
        <x:v>164</x:v>
      </x:c>
      <x:c r="M9" s="16" t="n">
        <x:f>L9-D9</x:f>
        <x:v>0</x:v>
      </x:c>
      <x:c r="N9" s="2" t="str">
        <x:f>IF(ABS(M9)&lt;=0.051,"与总长公式相符","需检查")</x:f>
        <x:v>与总长公式相符</x:v>
      </x:c>
      <x:c r="O9" s="16" t="n">
        <x:f>120+22+22</x:f>
        <x:v>164</x:v>
      </x:c>
      <x:c r="P9" s="16" t="n">
        <x:f>O9-L9</x:f>
        <x:v>0</x:v>
      </x:c>
    </x:row>
    <x:row r="10" ht="24" customHeight="1">
      <x:c r="A10" s="12" t="str">
        <x:f>'原图数据'!B30</x:f>
        <x:v>1#墩左侧</x:v>
      </x:c>
      <x:c r="B10" s="12" t="str">
        <x:f>'原图数据'!C30</x:f>
        <x:v>3a</x:v>
      </x:c>
      <x:c r="C10" s="12" t="n">
        <x:f>'原图数据'!D30</x:f>
        <x:v>10</x:v>
      </x:c>
      <x:c r="D10" s="13" t="n">
        <x:f>'原图数据'!E30</x:f>
        <x:v>208</x:v>
      </x:c>
      <x:c r="E10" s="12" t="n">
        <x:f>'原图数据'!F30</x:f>
        <x:v>6</x:v>
      </x:c>
      <x:c r="F10" s="13" t="n">
        <x:f>'原图数据'!G30</x:f>
        <x:v>12.5</x:v>
      </x:c>
      <x:c r="G10" s="15" t="n">
        <x:f>D10*E10/100</x:f>
        <x:v>12.48</x:v>
      </x:c>
      <x:c r="H10" s="15" t="n">
        <x:f>G10-F10</x:f>
        <x:v>-0.019999999999999574</x:v>
      </x:c>
      <x:c r="I10" s="13" t="n">
        <x:f>'原图数据'!H30</x:f>
        <x:v>7.7</x:v>
      </x:c>
      <x:c r="J10" s="15" t="n">
        <x:f>G10*IF(C10=22,$B$4,$D$4)</x:f>
        <x:v>7.70016</x:v>
      </x:c>
      <x:c r="K10" s="15" t="n">
        <x:f>J10-I10</x:f>
        <x:v>0.00016000000000016001</x:v>
      </x:c>
      <x:c r="L10" s="15" t="n">
        <x:f>20+('原图数据'!D7-12)/SIN(RADIANS('原图数据'!E7))</x:f>
        <x:v>208</x:v>
      </x:c>
      <x:c r="M10" s="15" t="n">
        <x:f>L10-D10</x:f>
        <x:v>0</x:v>
      </x:c>
      <x:c r="N10" s="12" t="str">
        <x:f>IF(ABS(M10)&lt;=0.051,"与总长公式相符","需检查")</x:f>
        <x:v>与总长公式相符</x:v>
      </x:c>
      <x:c r="O10" s="15"/>
      <x:c r="P10" s="15"/>
    </x:row>
    <x:row r="11" ht="24" customHeight="1">
      <x:c r="A11" s="2" t="str">
        <x:f>'原图数据'!B31</x:f>
        <x:v>1#墩左侧</x:v>
      </x:c>
      <x:c r="B11" s="2" t="str">
        <x:f>'原图数据'!C31</x:f>
        <x:v>4a</x:v>
      </x:c>
      <x:c r="C11" s="2" t="n">
        <x:f>'原图数据'!D31</x:f>
        <x:v>10</x:v>
      </x:c>
      <x:c r="D11" s="14" t="n">
        <x:f>'原图数据'!E31</x:f>
        <x:v>208</x:v>
      </x:c>
      <x:c r="E11" s="2" t="n">
        <x:f>'原图数据'!F31</x:f>
        <x:v>3</x:v>
      </x:c>
      <x:c r="F11" s="14" t="n">
        <x:f>'原图数据'!G31</x:f>
        <x:v>6.2</x:v>
      </x:c>
      <x:c r="G11" s="16" t="n">
        <x:f>D11*E11/100</x:f>
        <x:v>6.24</x:v>
      </x:c>
      <x:c r="H11" s="16" t="n">
        <x:f>G11-F11</x:f>
        <x:v>0.040000000000000036</x:v>
      </x:c>
      <x:c r="I11" s="14" t="n">
        <x:f>'原图数据'!H31</x:f>
        <x:v>3.9</x:v>
      </x:c>
      <x:c r="J11" s="16" t="n">
        <x:f>G11*IF(C11=22,$B$4,$D$4)</x:f>
        <x:v>3.85008</x:v>
      </x:c>
      <x:c r="K11" s="16" t="n">
        <x:f>J11-I11</x:f>
        <x:v>-0.04991999999999974</x:v>
      </x:c>
      <x:c r="L11" s="16" t="n">
        <x:f>20+('原图数据'!D7/2-6)/SIN(RADIANS('原图数据'!I7))+('原图数据'!D7/2-6)/SIN(RADIANS('原图数据'!J7))</x:f>
        <x:v>208.03923826964882</x:v>
      </x:c>
      <x:c r="M11" s="16" t="n">
        <x:f>L11-D11</x:f>
        <x:v>0.039238269648819823</x:v>
      </x:c>
      <x:c r="N11" s="2" t="str">
        <x:f>IF(ABS(M11)&lt;=0.051,"与总长公式相符","需检查")</x:f>
        <x:v>与总长公式相符</x:v>
      </x:c>
      <x:c r="O11" s="16"/>
      <x:c r="P11" s="16"/>
    </x:row>
    <x:row r="12" ht="24" customHeight="1">
      <x:c r="A12" s="12" t="str">
        <x:f>'原图数据'!B32</x:f>
        <x:v>1#墩左侧</x:v>
      </x:c>
      <x:c r="B12" s="12" t="str">
        <x:f>'原图数据'!C32</x:f>
        <x:v>5a</x:v>
      </x:c>
      <x:c r="C12" s="12" t="n">
        <x:f>'原图数据'!D32</x:f>
        <x:v>10</x:v>
      </x:c>
      <x:c r="D12" s="13" t="n">
        <x:f>'原图数据'!E32</x:f>
        <x:v>484.2</x:v>
      </x:c>
      <x:c r="E12" s="12" t="n">
        <x:f>'原图数据'!F32</x:f>
        <x:v>11</x:v>
      </x:c>
      <x:c r="F12" s="13" t="n">
        <x:f>'原图数据'!G32</x:f>
        <x:v>53.3</x:v>
      </x:c>
      <x:c r="G12" s="15" t="n">
        <x:f>D12*E12/100</x:f>
        <x:v>53.262</x:v>
      </x:c>
      <x:c r="H12" s="15" t="n">
        <x:f>G12-F12</x:f>
        <x:v>-0.0379999999999967</x:v>
      </x:c>
      <x:c r="I12" s="13" t="n">
        <x:f>'原图数据'!H32</x:f>
        <x:v>32.9</x:v>
      </x:c>
      <x:c r="J12" s="15" t="n">
        <x:f>G12*IF(C12=22,$B$4,$D$4)</x:f>
        <x:v>32.862654</x:v>
      </x:c>
      <x:c r="K12" s="15" t="n">
        <x:f>J12-I12</x:f>
        <x:v>-0.037345999999999435</x:v>
      </x:c>
      <x:c r="L12" s="15" t="n">
        <x:f>('原图数据'!D7/2-6)/SIN(RADIANS('原图数据'!I7))+('原图数据'!D7/2-6)/SIN(RADIANS('原图数据'!J7))+('原图数据'!D7-12)/SIN(RADIANS('原图数据'!E7))+'原图数据'!F7+'原图数据'!G7+12</x:f>
        <x:v>484.2392382696488</x:v>
      </x:c>
      <x:c r="M12" s="15" t="n">
        <x:f>L12-D12</x:f>
        <x:v>0.039238269648819823</x:v>
      </x:c>
      <x:c r="N12" s="12" t="str">
        <x:f>IF(ABS(M12)&lt;=0.051,"与总长公式相符","需检查")</x:f>
        <x:v>与总长公式相符</x:v>
      </x:c>
      <x:c r="O12" s="15" t="n">
        <x:f>('原图数据'!D7/2-6)/SIN(RADIANS('原图数据'!I7))+('原图数据'!D7/2-6)/SIN(RADIANS('原图数据'!J7))+('原图数据'!D7-12)/SIN(RADIANS('原图数据'!E7))+'原图数据'!F7-9+'原图数据'!G7-9+10+10</x:f>
        <x:v>474.2392382696488</x:v>
      </x:c>
      <x:c r="P12" s="15" t="n">
        <x:f>O12-L12</x:f>
        <x:v>-10</x:v>
      </x:c>
    </x:row>
    <x:row r="13" ht="24" customHeight="1">
      <x:c r="A13" s="2" t="str">
        <x:f>'原图数据'!B33</x:f>
        <x:v>1#墩左侧</x:v>
      </x:c>
      <x:c r="B13" s="2" t="str">
        <x:f>'原图数据'!C33</x:f>
        <x:v>6a</x:v>
      </x:c>
      <x:c r="C13" s="2" t="n">
        <x:f>'原图数据'!D33</x:f>
        <x:v>10</x:v>
      </x:c>
      <x:c r="D13" s="14" t="n">
        <x:f>'原图数据'!E33</x:f>
        <x:v>475.2</x:v>
      </x:c>
      <x:c r="E13" s="2" t="n">
        <x:f>'原图数据'!F33</x:f>
        <x:v>2</x:v>
      </x:c>
      <x:c r="F13" s="14" t="n">
        <x:f>'原图数据'!G33</x:f>
        <x:v>9.5</x:v>
      </x:c>
      <x:c r="G13" s="16" t="n">
        <x:f>D13*E13/100</x:f>
        <x:v>9.504</x:v>
      </x:c>
      <x:c r="H13" s="16" t="n">
        <x:f>G13-F13</x:f>
        <x:v>0.0039999999999995595</x:v>
      </x:c>
      <x:c r="I13" s="14" t="n">
        <x:f>'原图数据'!H33</x:f>
        <x:v>5.9</x:v>
      </x:c>
      <x:c r="J13" s="16" t="n">
        <x:f>G13*IF(C13=22,$B$4,$D$4)</x:f>
        <x:v>5.863968</x:v>
      </x:c>
      <x:c r="K13" s="16" t="n">
        <x:f>J13-I13</x:f>
        <x:v>-0.03603200000000051</x:v>
      </x:c>
      <x:c r="L13" s="16" t="n">
        <x:f>('原图数据'!D7/2-6)/SIN(RADIANS('原图数据'!I7))+('原图数据'!D7/2-6)/SIN(RADIANS('原图数据'!J7))+('原图数据'!D7-12)/SIN(RADIANS('原图数据'!E7))+'原图数据'!F7+'原图数据'!G7-9/SIN(RADIANS('原图数据'!E7))+12</x:f>
        <x:v>475.2392382696488</x:v>
      </x:c>
      <x:c r="M13" s="16" t="n">
        <x:f>L13-D13</x:f>
        <x:v>0.039238269648819823</x:v>
      </x:c>
      <x:c r="N13" s="2" t="str">
        <x:f>IF(ABS(M13)&lt;=0.051,"与总长公式相符","需检查")</x:f>
        <x:v>与总长公式相符</x:v>
      </x:c>
      <x:c r="O13" s="16" t="n">
        <x:f>('原图数据'!D7/2-6)/SIN(RADIANS('原图数据'!I7))+('原图数据'!D7/2-6)/SIN(RADIANS('原图数据'!J7))+('原图数据'!D7-12)/SIN(RADIANS('原图数据'!E7))+'原图数据'!F7-9+'原图数据'!G7-9+10+10-9/SIN(RADIANS('原图数据'!E7))</x:f>
        <x:v>465.2392382696488</x:v>
      </x:c>
      <x:c r="P13" s="16" t="n">
        <x:f>O13-L13</x:f>
        <x:v>-10</x:v>
      </x:c>
    </x:row>
    <x:row r="14" ht="24" customHeight="1">
      <x:c r="A14" s="12" t="str">
        <x:f>'原图数据'!B34</x:f>
        <x:v>1#墩右侧</x:v>
      </x:c>
      <x:c r="B14" s="12" t="str">
        <x:f>'原图数据'!C34</x:f>
        <x:v>1a</x:v>
      </x:c>
      <x:c r="C14" s="12" t="n">
        <x:f>'原图数据'!D34</x:f>
        <x:v>22</x:v>
      </x:c>
      <x:c r="D14" s="13" t="n">
        <x:f>'原图数据'!E34</x:f>
        <x:v>259.5</x:v>
      </x:c>
      <x:c r="E14" s="12" t="n">
        <x:f>'原图数据'!F34</x:f>
        <x:v>20</x:v>
      </x:c>
      <x:c r="F14" s="13" t="n">
        <x:f>'原图数据'!G34</x:f>
        <x:v>51.9</x:v>
      </x:c>
      <x:c r="G14" s="15" t="n">
        <x:f>D14*E14/100</x:f>
        <x:v>51.9</x:v>
      </x:c>
      <x:c r="H14" s="15" t="n">
        <x:f>G14-F14</x:f>
        <x:v>0</x:v>
      </x:c>
      <x:c r="I14" s="13" t="n">
        <x:f>'原图数据'!H34</x:f>
        <x:v>155</x:v>
      </x:c>
      <x:c r="J14" s="15" t="n">
        <x:f>G14*IF(C14=22,$B$4,$D$4)</x:f>
        <x:v>154.662</x:v>
      </x:c>
      <x:c r="K14" s="15" t="n">
        <x:f>J14-I14</x:f>
        <x:v>-0.33799999999999386</x:v>
      </x:c>
      <x:c r="L14" s="15" t="n">
        <x:f>221-'原图数据'!C8+AVERAGE('原图数据'!F8,'原图数据'!G8,'原图数据'!H8)-9/SIN(RADIANS('原图数据'!E8))+SQRT('原图数据'!C8^2+(9/SIN(RADIANS('原图数据'!E8)))^2)</x:f>
        <x:v>259.51088233970546</x:v>
      </x:c>
      <x:c r="M14" s="15" t="n">
        <x:f>L14-D14</x:f>
        <x:v>0.010882339705460709</x:v>
      </x:c>
      <x:c r="N14" s="12" t="str">
        <x:f>IF(ABS(M14)&lt;=0.051,"与总长公式相符","需检查")</x:f>
        <x:v>与总长公式相符</x:v>
      </x:c>
      <x:c r="O14" s="15" t="n">
        <x:f>117+(117-'原图数据'!C8)+22+22+(AVERAGE('原图数据'!F8,'原图数据'!G8,'原图数据'!H8)-9/SIN(RADIANS('原图数据'!E8))-12)+SQRT('原图数据'!C8^2+(9/SIN(RADIANS('原图数据'!E8)))^2)</x:f>
        <x:v>304.5108823397055</x:v>
      </x:c>
      <x:c r="P14" s="15" t="n">
        <x:f>O14-L14</x:f>
        <x:v>45.00000000000006</x:v>
      </x:c>
    </x:row>
    <x:row r="15" ht="24" customHeight="1">
      <x:c r="A15" s="2" t="str">
        <x:f>'原图数据'!B35</x:f>
        <x:v>1#墩右侧</x:v>
      </x:c>
      <x:c r="B15" s="2" t="str">
        <x:f>'原图数据'!C35</x:f>
        <x:v>2a</x:v>
      </x:c>
      <x:c r="C15" s="2" t="n">
        <x:f>'原图数据'!D35</x:f>
        <x:v>22</x:v>
      </x:c>
      <x:c r="D15" s="14" t="n">
        <x:f>'原图数据'!E35</x:f>
        <x:v>164</x:v>
      </x:c>
      <x:c r="E15" s="2" t="n">
        <x:f>'原图数据'!F35</x:f>
        <x:v>20</x:v>
      </x:c>
      <x:c r="F15" s="14" t="n">
        <x:f>'原图数据'!G35</x:f>
        <x:v>32.8</x:v>
      </x:c>
      <x:c r="G15" s="16" t="n">
        <x:f>D15*E15/100</x:f>
        <x:v>32.8</x:v>
      </x:c>
      <x:c r="H15" s="16" t="n">
        <x:f>G15-F15</x:f>
        <x:v>0</x:v>
      </x:c>
      <x:c r="I15" s="14" t="n">
        <x:f>'原图数据'!H35</x:f>
        <x:v>97.9</x:v>
      </x:c>
      <x:c r="J15" s="16" t="n">
        <x:f>G15*IF(C15=22,$B$4,$D$4)</x:f>
        <x:v>97.74399999999999</x:v>
      </x:c>
      <x:c r="K15" s="16" t="n">
        <x:f>J15-I15</x:f>
        <x:v>-0.15600000000002012</x:v>
      </x:c>
      <x:c r="L15" s="16" t="n">
        <x:f>120+22+22</x:f>
        <x:v>164</x:v>
      </x:c>
      <x:c r="M15" s="16" t="n">
        <x:f>L15-D15</x:f>
        <x:v>0</x:v>
      </x:c>
      <x:c r="N15" s="2" t="str">
        <x:f>IF(ABS(M15)&lt;=0.051,"与总长公式相符","需检查")</x:f>
        <x:v>与总长公式相符</x:v>
      </x:c>
      <x:c r="O15" s="16" t="n">
        <x:f>120+22+22</x:f>
        <x:v>164</x:v>
      </x:c>
      <x:c r="P15" s="16" t="n">
        <x:f>O15-L15</x:f>
        <x:v>0</x:v>
      </x:c>
    </x:row>
    <x:row r="16" ht="24" customHeight="1">
      <x:c r="A16" s="12" t="str">
        <x:f>'原图数据'!B36</x:f>
        <x:v>1#墩右侧</x:v>
      </x:c>
      <x:c r="B16" s="12" t="str">
        <x:f>'原图数据'!C36</x:f>
        <x:v>3a</x:v>
      </x:c>
      <x:c r="C16" s="12" t="n">
        <x:f>'原图数据'!D36</x:f>
        <x:v>10</x:v>
      </x:c>
      <x:c r="D16" s="13" t="n">
        <x:f>'原图数据'!E36</x:f>
        <x:v>208</x:v>
      </x:c>
      <x:c r="E16" s="12" t="n">
        <x:f>'原图数据'!F36</x:f>
        <x:v>6</x:v>
      </x:c>
      <x:c r="F16" s="13" t="n">
        <x:f>'原图数据'!G36</x:f>
        <x:v>12.5</x:v>
      </x:c>
      <x:c r="G16" s="15" t="n">
        <x:f>D16*E16/100</x:f>
        <x:v>12.48</x:v>
      </x:c>
      <x:c r="H16" s="15" t="n">
        <x:f>G16-F16</x:f>
        <x:v>-0.019999999999999574</x:v>
      </x:c>
      <x:c r="I16" s="13" t="n">
        <x:f>'原图数据'!H36</x:f>
        <x:v>7.7</x:v>
      </x:c>
      <x:c r="J16" s="15" t="n">
        <x:f>G16*IF(C16=22,$B$4,$D$4)</x:f>
        <x:v>7.70016</x:v>
      </x:c>
      <x:c r="K16" s="15" t="n">
        <x:f>J16-I16</x:f>
        <x:v>0.00016000000000016001</x:v>
      </x:c>
      <x:c r="L16" s="15" t="n">
        <x:f>20+('原图数据'!D8-12)/SIN(RADIANS('原图数据'!E8))</x:f>
        <x:v>208</x:v>
      </x:c>
      <x:c r="M16" s="15" t="n">
        <x:f>L16-D16</x:f>
        <x:v>0</x:v>
      </x:c>
      <x:c r="N16" s="12" t="str">
        <x:f>IF(ABS(M16)&lt;=0.051,"与总长公式相符","需检查")</x:f>
        <x:v>与总长公式相符</x:v>
      </x:c>
      <x:c r="O16" s="15"/>
      <x:c r="P16" s="15"/>
    </x:row>
    <x:row r="17" ht="24" customHeight="1">
      <x:c r="A17" s="2" t="str">
        <x:f>'原图数据'!B37</x:f>
        <x:v>1#墩右侧</x:v>
      </x:c>
      <x:c r="B17" s="2" t="str">
        <x:f>'原图数据'!C37</x:f>
        <x:v>4a</x:v>
      </x:c>
      <x:c r="C17" s="2" t="n">
        <x:f>'原图数据'!D37</x:f>
        <x:v>10</x:v>
      </x:c>
      <x:c r="D17" s="14" t="n">
        <x:f>'原图数据'!E37</x:f>
        <x:v>208</x:v>
      </x:c>
      <x:c r="E17" s="2" t="n">
        <x:f>'原图数据'!F37</x:f>
        <x:v>3</x:v>
      </x:c>
      <x:c r="F17" s="14" t="n">
        <x:f>'原图数据'!G37</x:f>
        <x:v>6.2</x:v>
      </x:c>
      <x:c r="G17" s="16" t="n">
        <x:f>D17*E17/100</x:f>
        <x:v>6.24</x:v>
      </x:c>
      <x:c r="H17" s="16" t="n">
        <x:f>G17-F17</x:f>
        <x:v>0.040000000000000036</x:v>
      </x:c>
      <x:c r="I17" s="14" t="n">
        <x:f>'原图数据'!H37</x:f>
        <x:v>3.9</x:v>
      </x:c>
      <x:c r="J17" s="16" t="n">
        <x:f>G17*IF(C17=22,$B$4,$D$4)</x:f>
        <x:v>3.85008</x:v>
      </x:c>
      <x:c r="K17" s="16" t="n">
        <x:f>J17-I17</x:f>
        <x:v>-0.04991999999999974</x:v>
      </x:c>
      <x:c r="L17" s="16" t="n">
        <x:f>20+('原图数据'!D8/2-6)/SIN(RADIANS('原图数据'!I8))+('原图数据'!D8/2-6)/SIN(RADIANS('原图数据'!J8))</x:f>
        <x:v>208.02763605123897</x:v>
      </x:c>
      <x:c r="M17" s="16" t="n">
        <x:f>L17-D17</x:f>
        <x:v>0.027636051238971504</x:v>
      </x:c>
      <x:c r="N17" s="2" t="str">
        <x:f>IF(ABS(M17)&lt;=0.051,"与总长公式相符","需检查")</x:f>
        <x:v>与总长公式相符</x:v>
      </x:c>
      <x:c r="O17" s="16"/>
      <x:c r="P17" s="16"/>
    </x:row>
    <x:row r="18" ht="24" customHeight="1">
      <x:c r="A18" s="12" t="str">
        <x:f>'原图数据'!B38</x:f>
        <x:v>1#墩右侧</x:v>
      </x:c>
      <x:c r="B18" s="12" t="str">
        <x:f>'原图数据'!C38</x:f>
        <x:v>5a</x:v>
      </x:c>
      <x:c r="C18" s="12" t="n">
        <x:f>'原图数据'!D38</x:f>
        <x:v>10</x:v>
      </x:c>
      <x:c r="D18" s="13" t="n">
        <x:f>'原图数据'!E38</x:f>
        <x:v>479.1</x:v>
      </x:c>
      <x:c r="E18" s="12" t="n">
        <x:f>'原图数据'!F38</x:f>
        <x:v>11</x:v>
      </x:c>
      <x:c r="F18" s="13" t="n">
        <x:f>'原图数据'!G38</x:f>
        <x:v>52.7</x:v>
      </x:c>
      <x:c r="G18" s="15" t="n">
        <x:f>D18*E18/100</x:f>
        <x:v>52.701</x:v>
      </x:c>
      <x:c r="H18" s="15" t="n">
        <x:f>G18-F18</x:f>
        <x:v>0.0009999999999976694</x:v>
      </x:c>
      <x:c r="I18" s="13" t="n">
        <x:f>'原图数据'!H38</x:f>
        <x:v>32.5</x:v>
      </x:c>
      <x:c r="J18" s="15" t="n">
        <x:f>G18*IF(C18=22,$B$4,$D$4)</x:f>
        <x:v>32.516517</x:v>
      </x:c>
      <x:c r="K18" s="15" t="n">
        <x:f>J18-I18</x:f>
        <x:v>0.016517000000000337</x:v>
      </x:c>
      <x:c r="L18" s="15" t="n">
        <x:f>('原图数据'!D8/2-6)/SIN(RADIANS('原图数据'!I8))+('原图数据'!D8/2-6)/SIN(RADIANS('原图数据'!J8))+('原图数据'!D8-12)/SIN(RADIANS('原图数据'!E8))+'原图数据'!F8+'原图数据'!G8+12</x:f>
        <x:v>479.127636051239</x:v>
      </x:c>
      <x:c r="M18" s="15" t="n">
        <x:f>L18-D18</x:f>
        <x:v>0.027636051238971504</x:v>
      </x:c>
      <x:c r="N18" s="12" t="str">
        <x:f>IF(ABS(M18)&lt;=0.051,"与总长公式相符","需检查")</x:f>
        <x:v>与总长公式相符</x:v>
      </x:c>
      <x:c r="O18" s="15" t="n">
        <x:f>('原图数据'!D8/2-6)/SIN(RADIANS('原图数据'!I8))+('原图数据'!D8/2-6)/SIN(RADIANS('原图数据'!J8))+('原图数据'!D8-12)/SIN(RADIANS('原图数据'!E8))+'原图数据'!F8-9+'原图数据'!G8-9+10+10</x:f>
        <x:v>469.127636051239</x:v>
      </x:c>
      <x:c r="P18" s="15" t="n">
        <x:f>O18-L18</x:f>
        <x:v>-10</x:v>
      </x:c>
    </x:row>
    <x:row r="19" ht="24" customHeight="1">
      <x:c r="A19" s="2" t="str">
        <x:f>'原图数据'!B39</x:f>
        <x:v>1#墩右侧</x:v>
      </x:c>
      <x:c r="B19" s="2" t="str">
        <x:f>'原图数据'!C39</x:f>
        <x:v>6a</x:v>
      </x:c>
      <x:c r="C19" s="2" t="n">
        <x:f>'原图数据'!D39</x:f>
        <x:v>10</x:v>
      </x:c>
      <x:c r="D19" s="14" t="n">
        <x:f>'原图数据'!E39</x:f>
        <x:v>470.1</x:v>
      </x:c>
      <x:c r="E19" s="2" t="n">
        <x:f>'原图数据'!F39</x:f>
        <x:v>2</x:v>
      </x:c>
      <x:c r="F19" s="14" t="n">
        <x:f>'原图数据'!G39</x:f>
        <x:v>9.4</x:v>
      </x:c>
      <x:c r="G19" s="16" t="n">
        <x:f>D19*E19/100</x:f>
        <x:v>9.402000000000001</x:v>
      </x:c>
      <x:c r="H19" s="16" t="n">
        <x:f>G19-F19</x:f>
        <x:v>0.002000000000000668</x:v>
      </x:c>
      <x:c r="I19" s="14" t="n">
        <x:f>'原图数据'!H39</x:f>
        <x:v>5.8</x:v>
      </x:c>
      <x:c r="J19" s="16" t="n">
        <x:f>G19*IF(C19=22,$B$4,$D$4)</x:f>
        <x:v>5.8010340000000005</x:v>
      </x:c>
      <x:c r="K19" s="16" t="n">
        <x:f>J19-I19</x:f>
        <x:v>0.0010340000000006455</x:v>
      </x:c>
      <x:c r="L19" s="16" t="n">
        <x:f>('原图数据'!D8/2-6)/SIN(RADIANS('原图数据'!I8))+('原图数据'!D8/2-6)/SIN(RADIANS('原图数据'!J8))+('原图数据'!D8-12)/SIN(RADIANS('原图数据'!E8))+'原图数据'!F8+'原图数据'!G8-9/SIN(RADIANS('原图数据'!E8))+12</x:f>
        <x:v>470.127636051239</x:v>
      </x:c>
      <x:c r="M19" s="16" t="n">
        <x:f>L19-D19</x:f>
        <x:v>0.027636051238971504</x:v>
      </x:c>
      <x:c r="N19" s="2" t="str">
        <x:f>IF(ABS(M19)&lt;=0.051,"与总长公式相符","需检查")</x:f>
        <x:v>与总长公式相符</x:v>
      </x:c>
      <x:c r="O19" s="16" t="n">
        <x:f>('原图数据'!D8/2-6)/SIN(RADIANS('原图数据'!I8))+('原图数据'!D8/2-6)/SIN(RADIANS('原图数据'!J8))+('原图数据'!D8-12)/SIN(RADIANS('原图数据'!E8))+'原图数据'!F8-9+'原图数据'!G8-9+10+10-9/SIN(RADIANS('原图数据'!E8))</x:f>
        <x:v>460.127636051239</x:v>
      </x:c>
      <x:c r="P19" s="16" t="n">
        <x:f>O19-L19</x:f>
        <x:v>-10</x:v>
      </x:c>
    </x:row>
    <x:row r="20" ht="24" customHeight="1">
      <x:c r="A20" s="12" t="str">
        <x:f>'原图数据'!B40</x:f>
        <x:v>2#墩小里程左侧</x:v>
      </x:c>
      <x:c r="B20" s="12" t="str">
        <x:f>'原图数据'!C40</x:f>
        <x:v>1a</x:v>
      </x:c>
      <x:c r="C20" s="12" t="n">
        <x:f>'原图数据'!D40</x:f>
        <x:v>22</x:v>
      </x:c>
      <x:c r="D20" s="13" t="n">
        <x:f>'原图数据'!E40</x:f>
        <x:v>260.1</x:v>
      </x:c>
      <x:c r="E20" s="12" t="n">
        <x:f>'原图数据'!F40</x:f>
        <x:v>10</x:v>
      </x:c>
      <x:c r="F20" s="13" t="n">
        <x:f>'原图数据'!G40</x:f>
        <x:v>26</x:v>
      </x:c>
      <x:c r="G20" s="15" t="n">
        <x:f>D20*E20/100</x:f>
        <x:v>26.01</x:v>
      </x:c>
      <x:c r="H20" s="15" t="n">
        <x:f>G20-F20</x:f>
        <x:v>0.010000000000001563</x:v>
      </x:c>
      <x:c r="I20" s="13" t="n">
        <x:f>'原图数据'!H40</x:f>
        <x:v>77.7</x:v>
      </x:c>
      <x:c r="J20" s="15" t="n">
        <x:f>G20*IF(C20=22,$B$4,$D$4)</x:f>
        <x:v>77.5098</x:v>
      </x:c>
      <x:c r="K20" s="15" t="n">
        <x:f>J20-I20</x:f>
        <x:v>-0.19020000000000437</x:v>
      </x:c>
      <x:c r="L20" s="15" t="n">
        <x:f>221-'原图数据'!C9+AVERAGE('原图数据'!F9,'原图数据'!G9,'原图数据'!H9)-9/SIN(RADIANS('原图数据'!E9))+SQRT('原图数据'!C9^2+(9/SIN(RADIANS('原图数据'!E9)))^2)</x:f>
        <x:v>260.1108823397055</x:v>
      </x:c>
      <x:c r="M20" s="15" t="n">
        <x:f>L20-D20</x:f>
        <x:v>0.010882339705460709</x:v>
      </x:c>
      <x:c r="N20" s="12" t="str">
        <x:f>IF(ABS(M20)&lt;=0.051,"与总长公式相符","需检查")</x:f>
        <x:v>与总长公式相符</x:v>
      </x:c>
      <x:c r="O20" s="15" t="n">
        <x:f>117+(117-'原图数据'!C9)+22+22+(AVERAGE('原图数据'!F9,'原图数据'!G9,'原图数据'!H9)-9/SIN(RADIANS('原图数据'!E9))-12)+SQRT('原图数据'!C9^2+(9/SIN(RADIANS('原图数据'!E9)))^2)</x:f>
        <x:v>305.1108823397055</x:v>
      </x:c>
      <x:c r="P20" s="15" t="n">
        <x:f>O20-L20</x:f>
        <x:v>45</x:v>
      </x:c>
    </x:row>
    <x:row r="21" ht="24" customHeight="1">
      <x:c r="A21" s="2" t="str">
        <x:f>'原图数据'!B41</x:f>
        <x:v>2#墩小里程左侧</x:v>
      </x:c>
      <x:c r="B21" s="2" t="str">
        <x:f>'原图数据'!C41</x:f>
        <x:v>2a</x:v>
      </x:c>
      <x:c r="C21" s="2" t="n">
        <x:f>'原图数据'!D41</x:f>
        <x:v>22</x:v>
      </x:c>
      <x:c r="D21" s="14" t="n">
        <x:f>'原图数据'!E41</x:f>
        <x:v>164</x:v>
      </x:c>
      <x:c r="E21" s="2" t="n">
        <x:f>'原图数据'!F41</x:f>
        <x:v>10</x:v>
      </x:c>
      <x:c r="F21" s="14" t="n">
        <x:f>'原图数据'!G41</x:f>
        <x:v>16.4</x:v>
      </x:c>
      <x:c r="G21" s="16" t="n">
        <x:f>D21*E21/100</x:f>
        <x:v>16.4</x:v>
      </x:c>
      <x:c r="H21" s="16" t="n">
        <x:f>G21-F21</x:f>
        <x:v>0</x:v>
      </x:c>
      <x:c r="I21" s="14" t="n">
        <x:f>'原图数据'!H41</x:f>
        <x:v>49</x:v>
      </x:c>
      <x:c r="J21" s="16" t="n">
        <x:f>G21*IF(C21=22,$B$4,$D$4)</x:f>
        <x:v>48.87199999999999</x:v>
      </x:c>
      <x:c r="K21" s="16" t="n">
        <x:f>J21-I21</x:f>
        <x:v>-0.12800000000000722</x:v>
      </x:c>
      <x:c r="L21" s="16" t="n">
        <x:f>120+22+22</x:f>
        <x:v>164</x:v>
      </x:c>
      <x:c r="M21" s="16" t="n">
        <x:f>L21-D21</x:f>
        <x:v>0</x:v>
      </x:c>
      <x:c r="N21" s="2" t="str">
        <x:f>IF(ABS(M21)&lt;=0.051,"与总长公式相符","需检查")</x:f>
        <x:v>与总长公式相符</x:v>
      </x:c>
      <x:c r="O21" s="16" t="n">
        <x:f>120+22+22</x:f>
        <x:v>164</x:v>
      </x:c>
      <x:c r="P21" s="16" t="n">
        <x:f>O21-L21</x:f>
        <x:v>0</x:v>
      </x:c>
    </x:row>
    <x:row r="22" ht="24" customHeight="1">
      <x:c r="A22" s="12" t="str">
        <x:f>'原图数据'!B42</x:f>
        <x:v>2#墩小里程左侧</x:v>
      </x:c>
      <x:c r="B22" s="12" t="str">
        <x:f>'原图数据'!C42</x:f>
        <x:v>3a</x:v>
      </x:c>
      <x:c r="C22" s="12" t="n">
        <x:f>'原图数据'!D42</x:f>
        <x:v>10</x:v>
      </x:c>
      <x:c r="D22" s="13" t="n">
        <x:f>'原图数据'!E42</x:f>
        <x:v>108</x:v>
      </x:c>
      <x:c r="E22" s="12" t="n">
        <x:f>'原图数据'!F42</x:f>
        <x:v>6</x:v>
      </x:c>
      <x:c r="F22" s="13" t="n">
        <x:f>'原图数据'!G42</x:f>
        <x:v>6.5</x:v>
      </x:c>
      <x:c r="G22" s="15" t="n">
        <x:f>D22*E22/100</x:f>
        <x:v>6.48</x:v>
      </x:c>
      <x:c r="H22" s="15" t="n">
        <x:f>G22-F22</x:f>
        <x:v>-0.019999999999999574</x:v>
      </x:c>
      <x:c r="I22" s="13" t="n">
        <x:f>'原图数据'!H42</x:f>
        <x:v>4</x:v>
      </x:c>
      <x:c r="J22" s="15" t="n">
        <x:f>G22*IF(C22=22,$B$4,$D$4)</x:f>
        <x:v>3.9981600000000004</x:v>
      </x:c>
      <x:c r="K22" s="15" t="n">
        <x:f>J22-I22</x:f>
        <x:v>-0.0018399999999996197</x:v>
      </x:c>
      <x:c r="L22" s="15" t="n">
        <x:f>20+('原图数据'!D9-12)/SIN(RADIANS('原图数据'!E9))</x:f>
        <x:v>108</x:v>
      </x:c>
      <x:c r="M22" s="15" t="n">
        <x:f>L22-D22</x:f>
        <x:v>0</x:v>
      </x:c>
      <x:c r="N22" s="12" t="str">
        <x:f>IF(ABS(M22)&lt;=0.051,"与总长公式相符","需检查")</x:f>
        <x:v>与总长公式相符</x:v>
      </x:c>
      <x:c r="O22" s="15"/>
      <x:c r="P22" s="15"/>
    </x:row>
    <x:row r="23" ht="24" customHeight="1">
      <x:c r="A23" s="2" t="str">
        <x:f>'原图数据'!B43</x:f>
        <x:v>2#墩小里程左侧</x:v>
      </x:c>
      <x:c r="B23" s="2" t="str">
        <x:f>'原图数据'!C43</x:f>
        <x:v>4a</x:v>
      </x:c>
      <x:c r="C23" s="2" t="n">
        <x:f>'原图数据'!D43</x:f>
        <x:v>10</x:v>
      </x:c>
      <x:c r="D23" s="14" t="n">
        <x:f>'原图数据'!E43</x:f>
        <x:v>108.1</x:v>
      </x:c>
      <x:c r="E23" s="2" t="n">
        <x:f>'原图数据'!F43</x:f>
        <x:v>3</x:v>
      </x:c>
      <x:c r="F23" s="14" t="n">
        <x:f>'原图数据'!G43</x:f>
        <x:v>3.2</x:v>
      </x:c>
      <x:c r="G23" s="16" t="n">
        <x:f>D23*E23/100</x:f>
        <x:v>3.2429999999999994</x:v>
      </x:c>
      <x:c r="H23" s="16" t="n">
        <x:f>G23-F23</x:f>
        <x:v>0.04299999999999926</x:v>
      </x:c>
      <x:c r="I23" s="14" t="n">
        <x:f>'原图数据'!H43</x:f>
        <x:v>2</x:v>
      </x:c>
      <x:c r="J23" s="16" t="n">
        <x:f>G23*IF(C23=22,$B$4,$D$4)</x:f>
        <x:v>2.0009309999999996</x:v>
      </x:c>
      <x:c r="K23" s="16" t="n">
        <x:f>J23-I23</x:f>
        <x:v>0.0009309999999995711</x:v>
      </x:c>
      <x:c r="L23" s="16" t="n">
        <x:f>20+('原图数据'!D9/2-6)/SIN(RADIANS('原图数据'!I9))+('原图数据'!D9/2-6)/SIN(RADIANS('原图数据'!J9))</x:f>
        <x:v>108.0536398982963</x:v>
      </x:c>
      <x:c r="M23" s="16" t="n">
        <x:f>L23-D23</x:f>
        <x:v>-0.046360101703697865</x:v>
      </x:c>
      <x:c r="N23" s="2" t="str">
        <x:f>IF(ABS(M23)&lt;=0.051,"与总长公式相符","需检查")</x:f>
        <x:v>与总长公式相符</x:v>
      </x:c>
      <x:c r="O23" s="16"/>
      <x:c r="P23" s="16"/>
    </x:row>
    <x:row r="24" ht="24" customHeight="1">
      <x:c r="A24" s="12" t="str">
        <x:f>'原图数据'!B44</x:f>
        <x:v>2#墩小里程左侧</x:v>
      </x:c>
      <x:c r="B24" s="12" t="str">
        <x:f>'原图数据'!C44</x:f>
        <x:v>5a</x:v>
      </x:c>
      <x:c r="C24" s="12" t="n">
        <x:f>'原图数据'!D44</x:f>
        <x:v>10</x:v>
      </x:c>
      <x:c r="D24" s="13" t="n">
        <x:f>'原图数据'!E44</x:f>
        <x:v>279.8</x:v>
      </x:c>
      <x:c r="E24" s="12" t="n">
        <x:f>'原图数据'!F44</x:f>
        <x:v>11</x:v>
      </x:c>
      <x:c r="F24" s="13" t="n">
        <x:f>'原图数据'!G44</x:f>
        <x:v>30.8</x:v>
      </x:c>
      <x:c r="G24" s="15" t="n">
        <x:f>D24*E24/100</x:f>
        <x:v>30.778000000000002</x:v>
      </x:c>
      <x:c r="H24" s="15" t="n">
        <x:f>G24-F24</x:f>
        <x:v>-0.021999999999998465</x:v>
      </x:c>
      <x:c r="I24" s="13" t="n">
        <x:f>'原图数据'!H44</x:f>
        <x:v>19</x:v>
      </x:c>
      <x:c r="J24" s="15" t="n">
        <x:f>G24*IF(C24=22,$B$4,$D$4)</x:f>
        <x:v>18.990026</x:v>
      </x:c>
      <x:c r="K24" s="15" t="n">
        <x:f>J24-I24</x:f>
        <x:v>-0.009973999999999705</x:v>
      </x:c>
      <x:c r="L24" s="15" t="n">
        <x:f>('原图数据'!D9/2-6)/SIN(RADIANS('原图数据'!I9))+('原图数据'!D9/2-6)/SIN(RADIANS('原图数据'!J9))+('原图数据'!D9-12)/SIN(RADIANS('原图数据'!E9))+'原图数据'!F9+'原图数据'!G9+12</x:f>
        <x:v>279.7536398982963</x:v>
      </x:c>
      <x:c r="M24" s="15" t="n">
        <x:f>L24-D24</x:f>
        <x:v>-0.046360101703726286</x:v>
      </x:c>
      <x:c r="N24" s="12" t="str">
        <x:f>IF(ABS(M24)&lt;=0.051,"与总长公式相符","需检查")</x:f>
        <x:v>与总长公式相符</x:v>
      </x:c>
      <x:c r="O24" s="15" t="n">
        <x:f>('原图数据'!D9/2-6)/SIN(RADIANS('原图数据'!I9))+('原图数据'!D9/2-6)/SIN(RADIANS('原图数据'!J9))+('原图数据'!D9-12)/SIN(RADIANS('原图数据'!E9))+'原图数据'!F9-9+'原图数据'!G9-9+10+10</x:f>
        <x:v>269.7536398982963</x:v>
      </x:c>
      <x:c r="P24" s="15" t="n">
        <x:f>O24-L24</x:f>
        <x:v>-10</x:v>
      </x:c>
    </x:row>
    <x:row r="25" ht="24" customHeight="1">
      <x:c r="A25" s="2" t="str">
        <x:f>'原图数据'!B45</x:f>
        <x:v>2#墩小里程左侧</x:v>
      </x:c>
      <x:c r="B25" s="2" t="str">
        <x:f>'原图数据'!C45</x:f>
        <x:v>6a</x:v>
      </x:c>
      <x:c r="C25" s="2" t="n">
        <x:f>'原图数据'!D45</x:f>
        <x:v>10</x:v>
      </x:c>
      <x:c r="D25" s="14" t="n">
        <x:f>'原图数据'!E45</x:f>
        <x:v>270.8</x:v>
      </x:c>
      <x:c r="E25" s="2" t="n">
        <x:f>'原图数据'!F45</x:f>
        <x:v>2</x:v>
      </x:c>
      <x:c r="F25" s="14" t="n">
        <x:f>'原图数据'!G45</x:f>
        <x:v>5.4</x:v>
      </x:c>
      <x:c r="G25" s="16" t="n">
        <x:f>D25*E25/100</x:f>
        <x:v>5.416</x:v>
      </x:c>
      <x:c r="H25" s="16" t="n">
        <x:f>G25-F25</x:f>
        <x:v>0.016000000000000014</x:v>
      </x:c>
      <x:c r="I25" s="14" t="n">
        <x:f>'原图数据'!H45</x:f>
        <x:v>3.3</x:v>
      </x:c>
      <x:c r="J25" s="16" t="n">
        <x:f>G25*IF(C25=22,$B$4,$D$4)</x:f>
        <x:v>3.341672</x:v>
      </x:c>
      <x:c r="K25" s="16" t="n">
        <x:f>J25-I25</x:f>
        <x:v>0.04167200000000015</x:v>
      </x:c>
      <x:c r="L25" s="16" t="n">
        <x:f>('原图数据'!D9/2-6)/SIN(RADIANS('原图数据'!I9))+('原图数据'!D9/2-6)/SIN(RADIANS('原图数据'!J9))+('原图数据'!D9-12)/SIN(RADIANS('原图数据'!E9))+'原图数据'!F9+'原图数据'!G9-9/SIN(RADIANS('原图数据'!E9))+12</x:f>
        <x:v>270.7536398982963</x:v>
      </x:c>
      <x:c r="M25" s="16" t="n">
        <x:f>L25-D25</x:f>
        <x:v>-0.046360101703726286</x:v>
      </x:c>
      <x:c r="N25" s="2" t="str">
        <x:f>IF(ABS(M25)&lt;=0.051,"与总长公式相符","需检查")</x:f>
        <x:v>与总长公式相符</x:v>
      </x:c>
      <x:c r="O25" s="16" t="n">
        <x:f>('原图数据'!D9/2-6)/SIN(RADIANS('原图数据'!I9))+('原图数据'!D9/2-6)/SIN(RADIANS('原图数据'!J9))+('原图数据'!D9-12)/SIN(RADIANS('原图数据'!E9))+'原图数据'!F9-9+'原图数据'!G9-9+10+10-9/SIN(RADIANS('原图数据'!E9))</x:f>
        <x:v>260.7536398982963</x:v>
      </x:c>
      <x:c r="P25" s="16" t="n">
        <x:f>O25-L25</x:f>
        <x:v>-10</x:v>
      </x:c>
    </x:row>
    <x:row r="26" ht="24" customHeight="1">
      <x:c r="A26" s="12" t="str">
        <x:f>'原图数据'!B46</x:f>
        <x:v>2#墩大里程左侧</x:v>
      </x:c>
      <x:c r="B26" s="12" t="str">
        <x:f>'原图数据'!C46</x:f>
        <x:v>1a</x:v>
      </x:c>
      <x:c r="C26" s="12" t="n">
        <x:f>'原图数据'!D46</x:f>
        <x:v>22</x:v>
      </x:c>
      <x:c r="D26" s="13" t="n">
        <x:f>'原图数据'!E46</x:f>
        <x:v>270</x:v>
      </x:c>
      <x:c r="E26" s="12" t="n">
        <x:f>'原图数据'!F46</x:f>
        <x:v>10</x:v>
      </x:c>
      <x:c r="F26" s="13" t="n">
        <x:f>'原图数据'!G46</x:f>
        <x:v>27</x:v>
      </x:c>
      <x:c r="G26" s="15" t="n">
        <x:f>D26*E26/100</x:f>
        <x:v>27</x:v>
      </x:c>
      <x:c r="H26" s="15" t="n">
        <x:f>G26-F26</x:f>
        <x:v>0</x:v>
      </x:c>
      <x:c r="I26" s="13" t="n">
        <x:f>'原图数据'!H46</x:f>
        <x:v>80.6</x:v>
      </x:c>
      <x:c r="J26" s="15" t="n">
        <x:f>G26*IF(C26=22,$B$4,$D$4)</x:f>
        <x:v>80.46</x:v>
      </x:c>
      <x:c r="K26" s="15" t="n">
        <x:f>J26-I26</x:f>
        <x:v>-0.14000000000000057</x:v>
      </x:c>
      <x:c r="L26" s="15" t="n">
        <x:f>221-'原图数据'!C10+AVERAGE('原图数据'!F10,'原图数据'!G10,'原图数据'!H10)-9/SIN(RADIANS('原图数据'!E10))+SQRT('原图数据'!C10^2+(9/SIN(RADIANS('原图数据'!E10)))^2)</x:f>
        <x:v>269.97754900637216</x:v>
      </x:c>
      <x:c r="M26" s="15" t="n">
        <x:f>L26-D26</x:f>
        <x:v>-0.02245099362784231</x:v>
      </x:c>
      <x:c r="N26" s="12" t="str">
        <x:f>IF(ABS(M26)&lt;=0.051,"与总长公式相符","需检查")</x:f>
        <x:v>与总长公式相符</x:v>
      </x:c>
      <x:c r="O26" s="15" t="n">
        <x:f>117+(117-'原图数据'!C10)+22+22+(AVERAGE('原图数据'!F10,'原图数据'!G10,'原图数据'!H10)-9/SIN(RADIANS('原图数据'!E10))-12)+SQRT('原图数据'!C10^2+(9/SIN(RADIANS('原图数据'!E10)))^2)</x:f>
        <x:v>314.97754900637216</x:v>
      </x:c>
      <x:c r="P26" s="15" t="n">
        <x:f>O26-L26</x:f>
        <x:v>45</x:v>
      </x:c>
    </x:row>
    <x:row r="27" ht="24" customHeight="1">
      <x:c r="A27" s="2" t="str">
        <x:f>'原图数据'!B47</x:f>
        <x:v>2#墩大里程左侧</x:v>
      </x:c>
      <x:c r="B27" s="2" t="str">
        <x:f>'原图数据'!C47</x:f>
        <x:v>2a</x:v>
      </x:c>
      <x:c r="C27" s="2" t="n">
        <x:f>'原图数据'!D47</x:f>
        <x:v>22</x:v>
      </x:c>
      <x:c r="D27" s="14" t="n">
        <x:f>'原图数据'!E47</x:f>
        <x:v>164</x:v>
      </x:c>
      <x:c r="E27" s="2" t="n">
        <x:f>'原图数据'!F47</x:f>
        <x:v>10</x:v>
      </x:c>
      <x:c r="F27" s="14" t="n">
        <x:f>'原图数据'!G47</x:f>
        <x:v>16.4</x:v>
      </x:c>
      <x:c r="G27" s="16" t="n">
        <x:f>D27*E27/100</x:f>
        <x:v>16.4</x:v>
      </x:c>
      <x:c r="H27" s="16" t="n">
        <x:f>G27-F27</x:f>
        <x:v>0</x:v>
      </x:c>
      <x:c r="I27" s="14" t="n">
        <x:f>'原图数据'!H47</x:f>
        <x:v>49</x:v>
      </x:c>
      <x:c r="J27" s="16" t="n">
        <x:f>G27*IF(C27=22,$B$4,$D$4)</x:f>
        <x:v>48.87199999999999</x:v>
      </x:c>
      <x:c r="K27" s="16" t="n">
        <x:f>J27-I27</x:f>
        <x:v>-0.12800000000000722</x:v>
      </x:c>
      <x:c r="L27" s="16" t="n">
        <x:f>120+22+22</x:f>
        <x:v>164</x:v>
      </x:c>
      <x:c r="M27" s="16" t="n">
        <x:f>L27-D27</x:f>
        <x:v>0</x:v>
      </x:c>
      <x:c r="N27" s="2" t="str">
        <x:f>IF(ABS(M27)&lt;=0.051,"与总长公式相符","需检查")</x:f>
        <x:v>与总长公式相符</x:v>
      </x:c>
      <x:c r="O27" s="16" t="n">
        <x:f>120+22+22</x:f>
        <x:v>164</x:v>
      </x:c>
      <x:c r="P27" s="16" t="n">
        <x:f>O27-L27</x:f>
        <x:v>0</x:v>
      </x:c>
    </x:row>
    <x:row r="28" ht="24" customHeight="1">
      <x:c r="A28" s="12" t="str">
        <x:f>'原图数据'!B48</x:f>
        <x:v>2#墩大里程左侧</x:v>
      </x:c>
      <x:c r="B28" s="12" t="str">
        <x:f>'原图数据'!C48</x:f>
        <x:v>3a</x:v>
      </x:c>
      <x:c r="C28" s="12" t="n">
        <x:f>'原图数据'!D48</x:f>
        <x:v>10</x:v>
      </x:c>
      <x:c r="D28" s="13" t="n">
        <x:f>'原图数据'!E48</x:f>
        <x:v>108</x:v>
      </x:c>
      <x:c r="E28" s="12" t="n">
        <x:f>'原图数据'!F48</x:f>
        <x:v>6</x:v>
      </x:c>
      <x:c r="F28" s="13" t="n">
        <x:f>'原图数据'!G48</x:f>
        <x:v>6.5</x:v>
      </x:c>
      <x:c r="G28" s="15" t="n">
        <x:f>D28*E28/100</x:f>
        <x:v>6.48</x:v>
      </x:c>
      <x:c r="H28" s="15" t="n">
        <x:f>G28-F28</x:f>
        <x:v>-0.019999999999999574</x:v>
      </x:c>
      <x:c r="I28" s="13" t="n">
        <x:f>'原图数据'!H48</x:f>
        <x:v>4</x:v>
      </x:c>
      <x:c r="J28" s="15" t="n">
        <x:f>G28*IF(C28=22,$B$4,$D$4)</x:f>
        <x:v>3.9981600000000004</x:v>
      </x:c>
      <x:c r="K28" s="15" t="n">
        <x:f>J28-I28</x:f>
        <x:v>-0.0018399999999996197</x:v>
      </x:c>
      <x:c r="L28" s="15" t="n">
        <x:f>20+('原图数据'!D10-12)/SIN(RADIANS('原图数据'!E10))</x:f>
        <x:v>108</x:v>
      </x:c>
      <x:c r="M28" s="15" t="n">
        <x:f>L28-D28</x:f>
        <x:v>0</x:v>
      </x:c>
      <x:c r="N28" s="12" t="str">
        <x:f>IF(ABS(M28)&lt;=0.051,"与总长公式相符","需检查")</x:f>
        <x:v>与总长公式相符</x:v>
      </x:c>
      <x:c r="O28" s="15"/>
      <x:c r="P28" s="15"/>
    </x:row>
    <x:row r="29" ht="24" customHeight="1">
      <x:c r="A29" s="2" t="str">
        <x:f>'原图数据'!B49</x:f>
        <x:v>2#墩大里程左侧</x:v>
      </x:c>
      <x:c r="B29" s="2" t="str">
        <x:f>'原图数据'!C49</x:f>
        <x:v>4a</x:v>
      </x:c>
      <x:c r="C29" s="2" t="n">
        <x:f>'原图数据'!D49</x:f>
        <x:v>10</x:v>
      </x:c>
      <x:c r="D29" s="14" t="n">
        <x:f>'原图数据'!E49</x:f>
        <x:v>108.1</x:v>
      </x:c>
      <x:c r="E29" s="2" t="n">
        <x:f>'原图数据'!F49</x:f>
        <x:v>3</x:v>
      </x:c>
      <x:c r="F29" s="14" t="n">
        <x:f>'原图数据'!G49</x:f>
        <x:v>3.2</x:v>
      </x:c>
      <x:c r="G29" s="16" t="n">
        <x:f>D29*E29/100</x:f>
        <x:v>3.2429999999999994</x:v>
      </x:c>
      <x:c r="H29" s="16" t="n">
        <x:f>G29-F29</x:f>
        <x:v>0.04299999999999926</x:v>
      </x:c>
      <x:c r="I29" s="14" t="n">
        <x:f>'原图数据'!H49</x:f>
        <x:v>2</x:v>
      </x:c>
      <x:c r="J29" s="16" t="n">
        <x:f>G29*IF(C29=22,$B$4,$D$4)</x:f>
        <x:v>2.0009309999999996</x:v>
      </x:c>
      <x:c r="K29" s="16" t="n">
        <x:f>J29-I29</x:f>
        <x:v>0.0009309999999995711</x:v>
      </x:c>
      <x:c r="L29" s="16" t="n">
        <x:f>20+('原图数据'!D10/2-6)/SIN(RADIANS('原图数据'!I10))+('原图数据'!D10/2-6)/SIN(RADIANS('原图数据'!J10))</x:f>
        <x:v>108.11284107690608</x:v>
      </x:c>
      <x:c r="M29" s="16" t="n">
        <x:f>L29-D29</x:f>
        <x:v>0.012841076906084936</x:v>
      </x:c>
      <x:c r="N29" s="2" t="str">
        <x:f>IF(ABS(M29)&lt;=0.051,"与总长公式相符","需检查")</x:f>
        <x:v>与总长公式相符</x:v>
      </x:c>
      <x:c r="O29" s="16"/>
      <x:c r="P29" s="16"/>
    </x:row>
    <x:row r="30" ht="24" customHeight="1">
      <x:c r="A30" s="12" t="str">
        <x:f>'原图数据'!B50</x:f>
        <x:v>2#墩大里程左侧</x:v>
      </x:c>
      <x:c r="B30" s="12" t="str">
        <x:f>'原图数据'!C50</x:f>
        <x:v>5a</x:v>
      </x:c>
      <x:c r="C30" s="12" t="n">
        <x:f>'原图数据'!D50</x:f>
        <x:v>10</x:v>
      </x:c>
      <x:c r="D30" s="13" t="n">
        <x:f>'原图数据'!E50</x:f>
        <x:v>298.7</x:v>
      </x:c>
      <x:c r="E30" s="12" t="n">
        <x:f>'原图数据'!F50</x:f>
        <x:v>11</x:v>
      </x:c>
      <x:c r="F30" s="13" t="n">
        <x:f>'原图数据'!G50</x:f>
        <x:v>32.9</x:v>
      </x:c>
      <x:c r="G30" s="15" t="n">
        <x:f>D30*E30/100</x:f>
        <x:v>32.857</x:v>
      </x:c>
      <x:c r="H30" s="15" t="n">
        <x:f>G30-F30</x:f>
        <x:v>-0.04299999999999926</x:v>
      </x:c>
      <x:c r="I30" s="13" t="n">
        <x:f>'原图数据'!H50</x:f>
        <x:v>20.3</x:v>
      </x:c>
      <x:c r="J30" s="15" t="n">
        <x:f>G30*IF(C30=22,$B$4,$D$4)</x:f>
        <x:v>20.272769</x:v>
      </x:c>
      <x:c r="K30" s="15" t="n">
        <x:f>J30-I30</x:f>
        <x:v>-0.02723100000000045</x:v>
      </x:c>
      <x:c r="L30" s="15" t="n">
        <x:f>('原图数据'!D10/2-6)/SIN(RADIANS('原图数据'!I10))+('原图数据'!D10/2-6)/SIN(RADIANS('原图数据'!J10))+('原图数据'!D10-12)/SIN(RADIANS('原图数据'!E10))+'原图数据'!F10+'原图数据'!G10+12</x:f>
        <x:v>298.7128410769061</x:v>
      </x:c>
      <x:c r="M30" s="15" t="n">
        <x:f>L30-D30</x:f>
        <x:v>0.012841076906113358</x:v>
      </x:c>
      <x:c r="N30" s="12" t="str">
        <x:f>IF(ABS(M30)&lt;=0.051,"与总长公式相符","需检查")</x:f>
        <x:v>与总长公式相符</x:v>
      </x:c>
      <x:c r="O30" s="15" t="n">
        <x:f>('原图数据'!D10/2-6)/SIN(RADIANS('原图数据'!I10))+('原图数据'!D10/2-6)/SIN(RADIANS('原图数据'!J10))+('原图数据'!D10-12)/SIN(RADIANS('原图数据'!E10))+'原图数据'!F10-9+'原图数据'!G10-9+10+10</x:f>
        <x:v>288.7128410769061</x:v>
      </x:c>
      <x:c r="P30" s="15" t="n">
        <x:f>O30-L30</x:f>
        <x:v>-10</x:v>
      </x:c>
    </x:row>
    <x:row r="31" ht="24" customHeight="1">
      <x:c r="A31" s="2" t="str">
        <x:f>'原图数据'!B51</x:f>
        <x:v>2#墩大里程左侧</x:v>
      </x:c>
      <x:c r="B31" s="2" t="str">
        <x:f>'原图数据'!C51</x:f>
        <x:v>6a</x:v>
      </x:c>
      <x:c r="C31" s="2" t="n">
        <x:f>'原图数据'!D51</x:f>
        <x:v>10</x:v>
      </x:c>
      <x:c r="D31" s="14" t="n">
        <x:f>'原图数据'!E51</x:f>
        <x:v>289.7</x:v>
      </x:c>
      <x:c r="E31" s="2" t="n">
        <x:f>'原图数据'!F51</x:f>
        <x:v>2</x:v>
      </x:c>
      <x:c r="F31" s="14" t="n">
        <x:f>'原图数据'!G51</x:f>
        <x:v>5.8</x:v>
      </x:c>
      <x:c r="G31" s="16" t="n">
        <x:f>D31*E31/100</x:f>
        <x:v>5.794</x:v>
      </x:c>
      <x:c r="H31" s="16" t="n">
        <x:f>G31-F31</x:f>
        <x:v>-0.006000000000000227</x:v>
      </x:c>
      <x:c r="I31" s="14" t="n">
        <x:f>'原图数据'!H51</x:f>
        <x:v>3.6</x:v>
      </x:c>
      <x:c r="J31" s="16" t="n">
        <x:f>G31*IF(C31=22,$B$4,$D$4)</x:f>
        <x:v>3.5748979999999997</x:v>
      </x:c>
      <x:c r="K31" s="16" t="n">
        <x:f>J31-I31</x:f>
        <x:v>-0.025102000000000402</x:v>
      </x:c>
      <x:c r="L31" s="16" t="n">
        <x:f>('原图数据'!D10/2-6)/SIN(RADIANS('原图数据'!I10))+('原图数据'!D10/2-6)/SIN(RADIANS('原图数据'!J10))+('原图数据'!D10-12)/SIN(RADIANS('原图数据'!E10))+'原图数据'!F10+'原图数据'!G10-9/SIN(RADIANS('原图数据'!E10))+12</x:f>
        <x:v>289.7128410769061</x:v>
      </x:c>
      <x:c r="M31" s="16" t="n">
        <x:f>L31-D31</x:f>
        <x:v>0.012841076906113358</x:v>
      </x:c>
      <x:c r="N31" s="2" t="str">
        <x:f>IF(ABS(M31)&lt;=0.051,"与总长公式相符","需检查")</x:f>
        <x:v>与总长公式相符</x:v>
      </x:c>
      <x:c r="O31" s="16" t="n">
        <x:f>('原图数据'!D10/2-6)/SIN(RADIANS('原图数据'!I10))+('原图数据'!D10/2-6)/SIN(RADIANS('原图数据'!J10))+('原图数据'!D10-12)/SIN(RADIANS('原图数据'!E10))+'原图数据'!F10-9+'原图数据'!G10-9+10+10-9/SIN(RADIANS('原图数据'!E10))</x:f>
        <x:v>279.7128410769061</x:v>
      </x:c>
      <x:c r="P31" s="16" t="n">
        <x:f>O31-L31</x:f>
        <x:v>-10</x:v>
      </x:c>
    </x:row>
    <x:row r="32" ht="24" customHeight="1">
      <x:c r="A32" s="12" t="str">
        <x:f>'原图数据'!B52</x:f>
        <x:v>2#墩右侧</x:v>
      </x:c>
      <x:c r="B32" s="12" t="str">
        <x:f>'原图数据'!C52</x:f>
        <x:v>1a</x:v>
      </x:c>
      <x:c r="C32" s="12" t="n">
        <x:f>'原图数据'!D52</x:f>
        <x:v>22</x:v>
      </x:c>
      <x:c r="D32" s="13" t="n">
        <x:f>'原图数据'!E52</x:f>
        <x:v>261.2</x:v>
      </x:c>
      <x:c r="E32" s="12" t="n">
        <x:f>'原图数据'!F52</x:f>
        <x:v>20</x:v>
      </x:c>
      <x:c r="F32" s="13" t="n">
        <x:f>'原图数据'!G52</x:f>
        <x:v>52.2</x:v>
      </x:c>
      <x:c r="G32" s="15" t="n">
        <x:f>D32*E32/100</x:f>
        <x:v>52.24</x:v>
      </x:c>
      <x:c r="H32" s="15" t="n">
        <x:f>G32-F32</x:f>
        <x:v>0.03999999999999915</x:v>
      </x:c>
      <x:c r="I32" s="13" t="n">
        <x:f>'原图数据'!H52</x:f>
        <x:v>156</x:v>
      </x:c>
      <x:c r="J32" s="15" t="n">
        <x:f>G32*IF(C32=22,$B$4,$D$4)</x:f>
        <x:v>155.67520000000002</x:v>
      </x:c>
      <x:c r="K32" s="15" t="n">
        <x:f>J32-I32</x:f>
        <x:v>-0.324799999999982</x:v>
      </x:c>
      <x:c r="L32" s="15" t="n">
        <x:f>221-'原图数据'!C11+AVERAGE('原图数据'!F11,'原图数据'!G11,'原图数据'!H11)-9/SIN(RADIANS('原图数据'!E11))+SQRT('原图数据'!C11^2+(9/SIN(RADIANS('原图数据'!E11)))^2)</x:f>
        <x:v>261.2442156730388</x:v>
      </x:c>
      <x:c r="M32" s="15" t="n">
        <x:f>L32-D32</x:f>
        <x:v>0.04421567303882057</x:v>
      </x:c>
      <x:c r="N32" s="12" t="str">
        <x:f>IF(ABS(M32)&lt;=0.051,"与总长公式相符","需检查")</x:f>
        <x:v>与总长公式相符</x:v>
      </x:c>
      <x:c r="O32" s="15" t="n">
        <x:f>117+(117-'原图数据'!C11)+22+22+(AVERAGE('原图数据'!F11,'原图数据'!G11,'原图数据'!H11)-9/SIN(RADIANS('原图数据'!E11))-12)+SQRT('原图数据'!C11^2+(9/SIN(RADIANS('原图数据'!E11)))^2)</x:f>
        <x:v>306.2442156730388</x:v>
      </x:c>
      <x:c r="P32" s="15" t="n">
        <x:f>O32-L32</x:f>
        <x:v>45</x:v>
      </x:c>
    </x:row>
    <x:row r="33" ht="24" customHeight="1">
      <x:c r="A33" s="2" t="str">
        <x:f>'原图数据'!B53</x:f>
        <x:v>2#墩右侧</x:v>
      </x:c>
      <x:c r="B33" s="2" t="str">
        <x:f>'原图数据'!C53</x:f>
        <x:v>2a</x:v>
      </x:c>
      <x:c r="C33" s="2" t="n">
        <x:f>'原图数据'!D53</x:f>
        <x:v>22</x:v>
      </x:c>
      <x:c r="D33" s="14" t="n">
        <x:f>'原图数据'!E53</x:f>
        <x:v>164</x:v>
      </x:c>
      <x:c r="E33" s="2" t="n">
        <x:f>'原图数据'!F53</x:f>
        <x:v>20</x:v>
      </x:c>
      <x:c r="F33" s="14" t="n">
        <x:f>'原图数据'!G53</x:f>
        <x:v>32.8</x:v>
      </x:c>
      <x:c r="G33" s="16" t="n">
        <x:f>D33*E33/100</x:f>
        <x:v>32.8</x:v>
      </x:c>
      <x:c r="H33" s="16" t="n">
        <x:f>G33-F33</x:f>
        <x:v>0</x:v>
      </x:c>
      <x:c r="I33" s="14" t="n">
        <x:f>'原图数据'!H53</x:f>
        <x:v>97.9</x:v>
      </x:c>
      <x:c r="J33" s="16" t="n">
        <x:f>G33*IF(C33=22,$B$4,$D$4)</x:f>
        <x:v>97.74399999999999</x:v>
      </x:c>
      <x:c r="K33" s="16" t="n">
        <x:f>J33-I33</x:f>
        <x:v>-0.15600000000002012</x:v>
      </x:c>
      <x:c r="L33" s="16" t="n">
        <x:f>120+22+22</x:f>
        <x:v>164</x:v>
      </x:c>
      <x:c r="M33" s="16" t="n">
        <x:f>L33-D33</x:f>
        <x:v>0</x:v>
      </x:c>
      <x:c r="N33" s="2" t="str">
        <x:f>IF(ABS(M33)&lt;=0.051,"与总长公式相符","需检查")</x:f>
        <x:v>与总长公式相符</x:v>
      </x:c>
      <x:c r="O33" s="16" t="n">
        <x:f>120+22+22</x:f>
        <x:v>164</x:v>
      </x:c>
      <x:c r="P33" s="16" t="n">
        <x:f>O33-L33</x:f>
        <x:v>0</x:v>
      </x:c>
    </x:row>
    <x:row r="34" ht="24" customHeight="1">
      <x:c r="A34" s="12" t="str">
        <x:f>'原图数据'!B54</x:f>
        <x:v>2#墩右侧</x:v>
      </x:c>
      <x:c r="B34" s="12" t="str">
        <x:f>'原图数据'!C54</x:f>
        <x:v>3a</x:v>
      </x:c>
      <x:c r="C34" s="12" t="n">
        <x:f>'原图数据'!D54</x:f>
        <x:v>10</x:v>
      </x:c>
      <x:c r="D34" s="13" t="n">
        <x:f>'原图数据'!E54</x:f>
        <x:v>208</x:v>
      </x:c>
      <x:c r="E34" s="12" t="n">
        <x:f>'原图数据'!F54</x:f>
        <x:v>6</x:v>
      </x:c>
      <x:c r="F34" s="13" t="n">
        <x:f>'原图数据'!G54</x:f>
        <x:v>12.5</x:v>
      </x:c>
      <x:c r="G34" s="15" t="n">
        <x:f>D34*E34/100</x:f>
        <x:v>12.48</x:v>
      </x:c>
      <x:c r="H34" s="15" t="n">
        <x:f>G34-F34</x:f>
        <x:v>-0.019999999999999574</x:v>
      </x:c>
      <x:c r="I34" s="13" t="n">
        <x:f>'原图数据'!H54</x:f>
        <x:v>7.7</x:v>
      </x:c>
      <x:c r="J34" s="15" t="n">
        <x:f>G34*IF(C34=22,$B$4,$D$4)</x:f>
        <x:v>7.70016</x:v>
      </x:c>
      <x:c r="K34" s="15" t="n">
        <x:f>J34-I34</x:f>
        <x:v>0.00016000000000016001</x:v>
      </x:c>
      <x:c r="L34" s="15" t="n">
        <x:f>20+('原图数据'!D11-12)/SIN(RADIANS('原图数据'!E11))</x:f>
        <x:v>208</x:v>
      </x:c>
      <x:c r="M34" s="15" t="n">
        <x:f>L34-D34</x:f>
        <x:v>0</x:v>
      </x:c>
      <x:c r="N34" s="12" t="str">
        <x:f>IF(ABS(M34)&lt;=0.051,"与总长公式相符","需检查")</x:f>
        <x:v>与总长公式相符</x:v>
      </x:c>
      <x:c r="O34" s="15"/>
      <x:c r="P34" s="15"/>
    </x:row>
    <x:row r="35" ht="24" customHeight="1">
      <x:c r="A35" s="2" t="str">
        <x:f>'原图数据'!B55</x:f>
        <x:v>2#墩右侧</x:v>
      </x:c>
      <x:c r="B35" s="2" t="str">
        <x:f>'原图数据'!C55</x:f>
        <x:v>4a</x:v>
      </x:c>
      <x:c r="C35" s="2" t="n">
        <x:f>'原图数据'!D55</x:f>
        <x:v>10</x:v>
      </x:c>
      <x:c r="D35" s="14" t="n">
        <x:f>'原图数据'!E55</x:f>
        <x:v>208.2</x:v>
      </x:c>
      <x:c r="E35" s="2" t="n">
        <x:f>'原图数据'!F55</x:f>
        <x:v>3</x:v>
      </x:c>
      <x:c r="F35" s="14" t="n">
        <x:f>'原图数据'!G55</x:f>
        <x:v>6.2</x:v>
      </x:c>
      <x:c r="G35" s="16" t="n">
        <x:f>D35*E35/100</x:f>
        <x:v>6.245999999999999</x:v>
      </x:c>
      <x:c r="H35" s="16" t="n">
        <x:f>G35-F35</x:f>
        <x:v>0.04599999999999849</x:v>
      </x:c>
      <x:c r="I35" s="14" t="n">
        <x:f>'原图数据'!H55</x:f>
        <x:v>3.9</x:v>
      </x:c>
      <x:c r="J35" s="16" t="n">
        <x:f>G35*IF(C35=22,$B$4,$D$4)</x:f>
        <x:v>3.853781999999999</x:v>
      </x:c>
      <x:c r="K35" s="16" t="n">
        <x:f>J35-I35</x:f>
        <x:v>-0.04621800000000098</x:v>
      </x:c>
      <x:c r="L35" s="16" t="n">
        <x:f>20+('原图数据'!D11/2-6)/SIN(RADIANS('原图数据'!I11))+('原图数据'!D11/2-6)/SIN(RADIANS('原图数据'!J11))</x:f>
        <x:v>208.166203121161</x:v>
      </x:c>
      <x:c r="M35" s="16" t="n">
        <x:f>L35-D35</x:f>
        <x:v>-0.03379687883898441</x:v>
      </x:c>
      <x:c r="N35" s="2" t="str">
        <x:f>IF(ABS(M35)&lt;=0.051,"与总长公式相符","需检查")</x:f>
        <x:v>与总长公式相符</x:v>
      </x:c>
      <x:c r="O35" s="16"/>
      <x:c r="P35" s="16"/>
    </x:row>
    <x:row r="36" ht="24" customHeight="1">
      <x:c r="A36" s="12" t="str">
        <x:f>'原图数据'!B56</x:f>
        <x:v>2#墩右侧</x:v>
      </x:c>
      <x:c r="B36" s="12" t="str">
        <x:f>'原图数据'!C56</x:f>
        <x:v>5a</x:v>
      </x:c>
      <x:c r="C36" s="12" t="n">
        <x:f>'原图数据'!D56</x:f>
        <x:v>10</x:v>
      </x:c>
      <x:c r="D36" s="13" t="n">
        <x:f>'原图数据'!E56</x:f>
        <x:v>482.1</x:v>
      </x:c>
      <x:c r="E36" s="12" t="n">
        <x:f>'原图数据'!F56</x:f>
        <x:v>11</x:v>
      </x:c>
      <x:c r="F36" s="13" t="n">
        <x:f>'原图数据'!G56</x:f>
        <x:v>53</x:v>
      </x:c>
      <x:c r="G36" s="15" t="n">
        <x:f>D36*E36/100</x:f>
        <x:v>53.031000000000006</x:v>
      </x:c>
      <x:c r="H36" s="15" t="n">
        <x:f>G36-F36</x:f>
        <x:v>0.03100000000000591</x:v>
      </x:c>
      <x:c r="I36" s="13" t="n">
        <x:f>'原图数据'!H56</x:f>
        <x:v>32.7</x:v>
      </x:c>
      <x:c r="J36" s="15" t="n">
        <x:f>G36*IF(C36=22,$B$4,$D$4)</x:f>
        <x:v>32.720127000000005</x:v>
      </x:c>
      <x:c r="K36" s="15" t="n">
        <x:f>J36-I36</x:f>
        <x:v>0.020127000000002226</x:v>
      </x:c>
      <x:c r="L36" s="15" t="n">
        <x:f>('原图数据'!D11/2-6)/SIN(RADIANS('原图数据'!I11))+('原图数据'!D11/2-6)/SIN(RADIANS('原图数据'!J11))+('原图数据'!D11-12)/SIN(RADIANS('原图数据'!E11))+'原图数据'!F11+'原图数据'!G11+12</x:f>
        <x:v>482.066203121161</x:v>
      </x:c>
      <x:c r="M36" s="15" t="n">
        <x:f>L36-D36</x:f>
        <x:v>-0.033796878839041256</x:v>
      </x:c>
      <x:c r="N36" s="12" t="str">
        <x:f>IF(ABS(M36)&lt;=0.051,"与总长公式相符","需检查")</x:f>
        <x:v>与总长公式相符</x:v>
      </x:c>
      <x:c r="O36" s="15" t="n">
        <x:f>('原图数据'!D11/2-6)/SIN(RADIANS('原图数据'!I11))+('原图数据'!D11/2-6)/SIN(RADIANS('原图数据'!J11))+('原图数据'!D11-12)/SIN(RADIANS('原图数据'!E11))+'原图数据'!F11-9+'原图数据'!G11-9+10+10</x:f>
        <x:v>472.066203121161</x:v>
      </x:c>
      <x:c r="P36" s="15" t="n">
        <x:f>O36-L36</x:f>
        <x:v>-10</x:v>
      </x:c>
    </x:row>
    <x:row r="37" ht="24" customHeight="1">
      <x:c r="A37" s="2" t="str">
        <x:f>'原图数据'!B57</x:f>
        <x:v>2#墩右侧</x:v>
      </x:c>
      <x:c r="B37" s="2" t="str">
        <x:f>'原图数据'!C57</x:f>
        <x:v>6a</x:v>
      </x:c>
      <x:c r="C37" s="2" t="n">
        <x:f>'原图数据'!D57</x:f>
        <x:v>10</x:v>
      </x:c>
      <x:c r="D37" s="14" t="n">
        <x:f>'原图数据'!E57</x:f>
        <x:v>473.1</x:v>
      </x:c>
      <x:c r="E37" s="2" t="n">
        <x:f>'原图数据'!F57</x:f>
        <x:v>2</x:v>
      </x:c>
      <x:c r="F37" s="14" t="n">
        <x:f>'原图数据'!G57</x:f>
        <x:v>9.5</x:v>
      </x:c>
      <x:c r="G37" s="16" t="n">
        <x:f>D37*E37/100</x:f>
        <x:v>9.462</x:v>
      </x:c>
      <x:c r="H37" s="16" t="n">
        <x:f>G37-F37</x:f>
        <x:v>-0.038000000000000256</x:v>
      </x:c>
      <x:c r="I37" s="14" t="n">
        <x:f>'原图数据'!H57</x:f>
        <x:v>5.8</x:v>
      </x:c>
      <x:c r="J37" s="16" t="n">
        <x:f>G37*IF(C37=22,$B$4,$D$4)</x:f>
        <x:v>5.838054</x:v>
      </x:c>
      <x:c r="K37" s="16" t="n">
        <x:f>J37-I37</x:f>
        <x:v>0.03805399999999981</x:v>
      </x:c>
      <x:c r="L37" s="16" t="n">
        <x:f>('原图数据'!D11/2-6)/SIN(RADIANS('原图数据'!I11))+('原图数据'!D11/2-6)/SIN(RADIANS('原图数据'!J11))+('原图数据'!D11-12)/SIN(RADIANS('原图数据'!E11))+'原图数据'!F11+'原图数据'!G11-9/SIN(RADIANS('原图数据'!E11))+12</x:f>
        <x:v>473.066203121161</x:v>
      </x:c>
      <x:c r="M37" s="16" t="n">
        <x:f>L37-D37</x:f>
        <x:v>-0.033796878839041256</x:v>
      </x:c>
      <x:c r="N37" s="2" t="str">
        <x:f>IF(ABS(M37)&lt;=0.051,"与总长公式相符","需检查")</x:f>
        <x:v>与总长公式相符</x:v>
      </x:c>
      <x:c r="O37" s="16" t="n">
        <x:f>('原图数据'!D11/2-6)/SIN(RADIANS('原图数据'!I11))+('原图数据'!D11/2-6)/SIN(RADIANS('原图数据'!J11))+('原图数据'!D11-12)/SIN(RADIANS('原图数据'!E11))+'原图数据'!F11-9+'原图数据'!G11-9+10+10-9/SIN(RADIANS('原图数据'!E11))</x:f>
        <x:v>463.066203121161</x:v>
      </x:c>
      <x:c r="P37" s="16" t="n">
        <x:f>O37-L37</x:f>
        <x:v>-10</x:v>
      </x:c>
    </x:row>
    <x:row r="38" ht="24" customHeight="1">
      <x:c r="A38" s="12" t="str">
        <x:f>'原图数据'!B58</x:f>
        <x:v>3#墩小里程左侧</x:v>
      </x:c>
      <x:c r="B38" s="12" t="str">
        <x:f>'原图数据'!C58</x:f>
        <x:v>1a</x:v>
      </x:c>
      <x:c r="C38" s="12" t="n">
        <x:f>'原图数据'!D58</x:f>
        <x:v>22</x:v>
      </x:c>
      <x:c r="D38" s="13" t="n">
        <x:f>'原图数据'!E58</x:f>
        <x:v>261.4</x:v>
      </x:c>
      <x:c r="E38" s="12" t="n">
        <x:f>'原图数据'!F58</x:f>
        <x:v>10</x:v>
      </x:c>
      <x:c r="F38" s="13" t="n">
        <x:f>'原图数据'!G58</x:f>
        <x:v>26.1</x:v>
      </x:c>
      <x:c r="G38" s="15" t="n">
        <x:f>D38*E38/100</x:f>
        <x:v>26.14</x:v>
      </x:c>
      <x:c r="H38" s="15" t="n">
        <x:f>G38-F38</x:f>
        <x:v>0.03999999999999915</x:v>
      </x:c>
      <x:c r="I38" s="13" t="n">
        <x:f>'原图数据'!H58</x:f>
        <x:v>78.1</x:v>
      </x:c>
      <x:c r="J38" s="15" t="n">
        <x:f>G38*IF(C38=22,$B$4,$D$4)</x:f>
        <x:v>77.8972</x:v>
      </x:c>
      <x:c r="K38" s="15" t="n">
        <x:f>J38-I38</x:f>
        <x:v>-0.20279999999999632</x:v>
      </x:c>
      <x:c r="L38" s="15" t="n">
        <x:f>221-'原图数据'!C12+AVERAGE('原图数据'!F12,'原图数据'!G12,'原图数据'!H12)-9/SIN(RADIANS('原图数据'!E12))+SQRT('原图数据'!C12^2+(9/SIN(RADIANS('原图数据'!E12)))^2)</x:f>
        <x:v>261.4442156730388</x:v>
      </x:c>
      <x:c r="M38" s="15" t="n">
        <x:f>L38-D38</x:f>
        <x:v>0.04421567303882057</x:v>
      </x:c>
      <x:c r="N38" s="12" t="str">
        <x:f>IF(ABS(M38)&lt;=0.051,"与总长公式相符","需检查")</x:f>
        <x:v>与总长公式相符</x:v>
      </x:c>
      <x:c r="O38" s="15" t="n">
        <x:f>117+(117-'原图数据'!C12)+22+22+(AVERAGE('原图数据'!F12,'原图数据'!G12,'原图数据'!H12)-9/SIN(RADIANS('原图数据'!E12))-12)+SQRT('原图数据'!C12^2+(9/SIN(RADIANS('原图数据'!E12)))^2)</x:f>
        <x:v>306.4442156730388</x:v>
      </x:c>
      <x:c r="P38" s="15" t="n">
        <x:f>O38-L38</x:f>
        <x:v>45</x:v>
      </x:c>
    </x:row>
    <x:row r="39" ht="24" customHeight="1">
      <x:c r="A39" s="2" t="str">
        <x:f>'原图数据'!B59</x:f>
        <x:v>3#墩小里程左侧</x:v>
      </x:c>
      <x:c r="B39" s="2" t="str">
        <x:f>'原图数据'!C59</x:f>
        <x:v>2a</x:v>
      </x:c>
      <x:c r="C39" s="2" t="n">
        <x:f>'原图数据'!D59</x:f>
        <x:v>22</x:v>
      </x:c>
      <x:c r="D39" s="14" t="n">
        <x:f>'原图数据'!E59</x:f>
        <x:v>164</x:v>
      </x:c>
      <x:c r="E39" s="2" t="n">
        <x:f>'原图数据'!F59</x:f>
        <x:v>10</x:v>
      </x:c>
      <x:c r="F39" s="14" t="n">
        <x:f>'原图数据'!G59</x:f>
        <x:v>16.4</x:v>
      </x:c>
      <x:c r="G39" s="16" t="n">
        <x:f>D39*E39/100</x:f>
        <x:v>16.4</x:v>
      </x:c>
      <x:c r="H39" s="16" t="n">
        <x:f>G39-F39</x:f>
        <x:v>0</x:v>
      </x:c>
      <x:c r="I39" s="14" t="n">
        <x:f>'原图数据'!H59</x:f>
        <x:v>49</x:v>
      </x:c>
      <x:c r="J39" s="16" t="n">
        <x:f>G39*IF(C39=22,$B$4,$D$4)</x:f>
        <x:v>48.87199999999999</x:v>
      </x:c>
      <x:c r="K39" s="16" t="n">
        <x:f>J39-I39</x:f>
        <x:v>-0.12800000000000722</x:v>
      </x:c>
      <x:c r="L39" s="16" t="n">
        <x:f>120+22+22</x:f>
        <x:v>164</x:v>
      </x:c>
      <x:c r="M39" s="16" t="n">
        <x:f>L39-D39</x:f>
        <x:v>0</x:v>
      </x:c>
      <x:c r="N39" s="2" t="str">
        <x:f>IF(ABS(M39)&lt;=0.051,"与总长公式相符","需检查")</x:f>
        <x:v>与总长公式相符</x:v>
      </x:c>
      <x:c r="O39" s="16" t="n">
        <x:f>120+22+22</x:f>
        <x:v>164</x:v>
      </x:c>
      <x:c r="P39" s="16" t="n">
        <x:f>O39-L39</x:f>
        <x:v>0</x:v>
      </x:c>
    </x:row>
    <x:row r="40" ht="24" customHeight="1">
      <x:c r="A40" s="12" t="str">
        <x:f>'原图数据'!B60</x:f>
        <x:v>3#墩小里程左侧</x:v>
      </x:c>
      <x:c r="B40" s="12" t="str">
        <x:f>'原图数据'!C60</x:f>
        <x:v>3a</x:v>
      </x:c>
      <x:c r="C40" s="12" t="n">
        <x:f>'原图数据'!D60</x:f>
        <x:v>10</x:v>
      </x:c>
      <x:c r="D40" s="13" t="n">
        <x:f>'原图数据'!E60</x:f>
        <x:v>108</x:v>
      </x:c>
      <x:c r="E40" s="12" t="n">
        <x:f>'原图数据'!F60</x:f>
        <x:v>6</x:v>
      </x:c>
      <x:c r="F40" s="13" t="n">
        <x:f>'原图数据'!G60</x:f>
        <x:v>6.5</x:v>
      </x:c>
      <x:c r="G40" s="15" t="n">
        <x:f>D40*E40/100</x:f>
        <x:v>6.48</x:v>
      </x:c>
      <x:c r="H40" s="15" t="n">
        <x:f>G40-F40</x:f>
        <x:v>-0.019999999999999574</x:v>
      </x:c>
      <x:c r="I40" s="13" t="n">
        <x:f>'原图数据'!H60</x:f>
        <x:v>4</x:v>
      </x:c>
      <x:c r="J40" s="15" t="n">
        <x:f>G40*IF(C40=22,$B$4,$D$4)</x:f>
        <x:v>3.9981600000000004</x:v>
      </x:c>
      <x:c r="K40" s="15" t="n">
        <x:f>J40-I40</x:f>
        <x:v>-0.0018399999999996197</x:v>
      </x:c>
      <x:c r="L40" s="15" t="n">
        <x:f>20+('原图数据'!D12-12)/SIN(RADIANS('原图数据'!E12))</x:f>
        <x:v>108</x:v>
      </x:c>
      <x:c r="M40" s="15" t="n">
        <x:f>L40-D40</x:f>
        <x:v>0</x:v>
      </x:c>
      <x:c r="N40" s="12" t="str">
        <x:f>IF(ABS(M40)&lt;=0.051,"与总长公式相符","需检查")</x:f>
        <x:v>与总长公式相符</x:v>
      </x:c>
      <x:c r="O40" s="15"/>
      <x:c r="P40" s="15"/>
    </x:row>
    <x:row r="41" ht="24" customHeight="1">
      <x:c r="A41" s="2" t="str">
        <x:f>'原图数据'!B61</x:f>
        <x:v>3#墩小里程左侧</x:v>
      </x:c>
      <x:c r="B41" s="2" t="str">
        <x:f>'原图数据'!C61</x:f>
        <x:v>4a</x:v>
      </x:c>
      <x:c r="C41" s="2" t="n">
        <x:f>'原图数据'!D61</x:f>
        <x:v>10</x:v>
      </x:c>
      <x:c r="D41" s="14" t="n">
        <x:f>'原图数据'!E61</x:f>
        <x:v>108.2</x:v>
      </x:c>
      <x:c r="E41" s="2" t="n">
        <x:f>'原图数据'!F61</x:f>
        <x:v>3</x:v>
      </x:c>
      <x:c r="F41" s="14" t="n">
        <x:f>'原图数据'!G61</x:f>
        <x:v>3.2</x:v>
      </x:c>
      <x:c r="G41" s="16" t="n">
        <x:f>D41*E41/100</x:f>
        <x:v>3.2460000000000004</x:v>
      </x:c>
      <x:c r="H41" s="16" t="n">
        <x:f>G41-F41</x:f>
        <x:v>0.04600000000000026</x:v>
      </x:c>
      <x:c r="I41" s="14" t="n">
        <x:f>'原图数据'!H61</x:f>
        <x:v>2</x:v>
      </x:c>
      <x:c r="J41" s="16" t="n">
        <x:f>G41*IF(C41=22,$B$4,$D$4)</x:f>
        <x:v>2.0027820000000003</x:v>
      </x:c>
      <x:c r="K41" s="16" t="n">
        <x:f>J41-I41</x:f>
        <x:v>0.0027820000000002842</x:v>
      </x:c>
      <x:c r="L41" s="16" t="n">
        <x:f>20+('原图数据'!D12/2-6)/SIN(RADIANS('原图数据'!I12))+('原图数据'!D12/2-6)/SIN(RADIANS('原图数据'!J12))</x:f>
        <x:v>108.15516826555682</x:v>
      </x:c>
      <x:c r="M41" s="16" t="n">
        <x:f>L41-D41</x:f>
        <x:v>-0.04483173444317856</x:v>
      </x:c>
      <x:c r="N41" s="2" t="str">
        <x:f>IF(ABS(M41)&lt;=0.051,"与总长公式相符","需检查")</x:f>
        <x:v>与总长公式相符</x:v>
      </x:c>
      <x:c r="O41" s="16"/>
      <x:c r="P41" s="16"/>
    </x:row>
    <x:row r="42" ht="24" customHeight="1">
      <x:c r="A42" s="12" t="str">
        <x:f>'原图数据'!B62</x:f>
        <x:v>3#墩小里程左侧</x:v>
      </x:c>
      <x:c r="B42" s="12" t="str">
        <x:f>'原图数据'!C62</x:f>
        <x:v>5a</x:v>
      </x:c>
      <x:c r="C42" s="12" t="n">
        <x:f>'原图数据'!D62</x:f>
        <x:v>10</x:v>
      </x:c>
      <x:c r="D42" s="13" t="n">
        <x:f>'原图数据'!E62</x:f>
        <x:v>281.3</x:v>
      </x:c>
      <x:c r="E42" s="12" t="n">
        <x:f>'原图数据'!F62</x:f>
        <x:v>11</x:v>
      </x:c>
      <x:c r="F42" s="13" t="n">
        <x:f>'原图数据'!G62</x:f>
        <x:v>30.9</x:v>
      </x:c>
      <x:c r="G42" s="15" t="n">
        <x:f>D42*E42/100</x:f>
        <x:v>30.943</x:v>
      </x:c>
      <x:c r="H42" s="15" t="n">
        <x:f>G42-F42</x:f>
        <x:v>0.043000000000002814</x:v>
      </x:c>
      <x:c r="I42" s="13" t="n">
        <x:f>'原图数据'!H62</x:f>
        <x:v>19.1</x:v>
      </x:c>
      <x:c r="J42" s="15" t="n">
        <x:f>G42*IF(C42=22,$B$4,$D$4)</x:f>
        <x:v>19.091831</x:v>
      </x:c>
      <x:c r="K42" s="15" t="n">
        <x:f>J42-I42</x:f>
        <x:v>-0.008169000000002313</x:v>
      </x:c>
      <x:c r="L42" s="15" t="n">
        <x:f>('原图数据'!D12/2-6)/SIN(RADIANS('原图数据'!I12))+('原图数据'!D12/2-6)/SIN(RADIANS('原图数据'!J12))+('原图数据'!D12-12)/SIN(RADIANS('原图数据'!E12))+'原图数据'!F12+'原图数据'!G12+12</x:f>
        <x:v>281.2551682655568</x:v>
      </x:c>
      <x:c r="M42" s="15" t="n">
        <x:f>L42-D42</x:f>
        <x:v>-0.044831734443221194</x:v>
      </x:c>
      <x:c r="N42" s="12" t="str">
        <x:f>IF(ABS(M42)&lt;=0.051,"与总长公式相符","需检查")</x:f>
        <x:v>与总长公式相符</x:v>
      </x:c>
      <x:c r="O42" s="15" t="n">
        <x:f>('原图数据'!D12/2-6)/SIN(RADIANS('原图数据'!I12))+('原图数据'!D12/2-6)/SIN(RADIANS('原图数据'!J12))+('原图数据'!D12-12)/SIN(RADIANS('原图数据'!E12))+'原图数据'!F12-9+'原图数据'!G12-9+10+10</x:f>
        <x:v>271.2551682655568</x:v>
      </x:c>
      <x:c r="P42" s="15" t="n">
        <x:f>O42-L42</x:f>
        <x:v>-10</x:v>
      </x:c>
    </x:row>
    <x:row r="43" ht="24" customHeight="1">
      <x:c r="A43" s="2" t="str">
        <x:f>'原图数据'!B63</x:f>
        <x:v>3#墩小里程左侧</x:v>
      </x:c>
      <x:c r="B43" s="2" t="str">
        <x:f>'原图数据'!C63</x:f>
        <x:v>6a</x:v>
      </x:c>
      <x:c r="C43" s="2" t="n">
        <x:f>'原图数据'!D63</x:f>
        <x:v>10</x:v>
      </x:c>
      <x:c r="D43" s="14" t="n">
        <x:f>'原图数据'!E63</x:f>
        <x:v>272.3</x:v>
      </x:c>
      <x:c r="E43" s="2" t="n">
        <x:f>'原图数据'!F63</x:f>
        <x:v>2</x:v>
      </x:c>
      <x:c r="F43" s="14" t="n">
        <x:f>'原图数据'!G63</x:f>
        <x:v>5.4</x:v>
      </x:c>
      <x:c r="G43" s="16" t="n">
        <x:f>D43*E43/100</x:f>
        <x:v>5.446000000000001</x:v>
      </x:c>
      <x:c r="H43" s="16" t="n">
        <x:f>G43-F43</x:f>
        <x:v>0.04600000000000026</x:v>
      </x:c>
      <x:c r="I43" s="14" t="n">
        <x:f>'原图数据'!H63</x:f>
        <x:v>3.4</x:v>
      </x:c>
      <x:c r="J43" s="16" t="n">
        <x:f>G43*IF(C43=22,$B$4,$D$4)</x:f>
        <x:v>3.3601820000000004</x:v>
      </x:c>
      <x:c r="K43" s="16" t="n">
        <x:f>J43-I43</x:f>
        <x:v>-0.039817999999999465</x:v>
      </x:c>
      <x:c r="L43" s="16" t="n">
        <x:f>('原图数据'!D12/2-6)/SIN(RADIANS('原图数据'!I12))+('原图数据'!D12/2-6)/SIN(RADIANS('原图数据'!J12))+('原图数据'!D12-12)/SIN(RADIANS('原图数据'!E12))+'原图数据'!F12+'原图数据'!G12-9/SIN(RADIANS('原图数据'!E12))+12</x:f>
        <x:v>272.2551682655568</x:v>
      </x:c>
      <x:c r="M43" s="16" t="n">
        <x:f>L43-D43</x:f>
        <x:v>-0.044831734443221194</x:v>
      </x:c>
      <x:c r="N43" s="2" t="str">
        <x:f>IF(ABS(M43)&lt;=0.051,"与总长公式相符","需检查")</x:f>
        <x:v>与总长公式相符</x:v>
      </x:c>
      <x:c r="O43" s="16" t="n">
        <x:f>('原图数据'!D12/2-6)/SIN(RADIANS('原图数据'!I12))+('原图数据'!D12/2-6)/SIN(RADIANS('原图数据'!J12))+('原图数据'!D12-12)/SIN(RADIANS('原图数据'!E12))+'原图数据'!F12-9+'原图数据'!G12-9+10+10-9/SIN(RADIANS('原图数据'!E12))</x:f>
        <x:v>262.2551682655568</x:v>
      </x:c>
      <x:c r="P43" s="16" t="n">
        <x:f>O43-L43</x:f>
        <x:v>-10</x:v>
      </x:c>
    </x:row>
    <x:row r="44" ht="24" customHeight="1">
      <x:c r="A44" s="12" t="str">
        <x:f>'原图数据'!B64</x:f>
        <x:v>3#墩大里程左侧</x:v>
      </x:c>
      <x:c r="B44" s="12" t="str">
        <x:f>'原图数据'!C64</x:f>
        <x:v>1a</x:v>
      </x:c>
      <x:c r="C44" s="12" t="n">
        <x:f>'原图数据'!D64</x:f>
        <x:v>22</x:v>
      </x:c>
      <x:c r="D44" s="13" t="n">
        <x:f>'原图数据'!E64</x:f>
        <x:v>270.5</x:v>
      </x:c>
      <x:c r="E44" s="12" t="n">
        <x:f>'原图数据'!F64</x:f>
        <x:v>10</x:v>
      </x:c>
      <x:c r="F44" s="13" t="n">
        <x:f>'原图数据'!G64</x:f>
        <x:v>27.1</x:v>
      </x:c>
      <x:c r="G44" s="15" t="n">
        <x:f>D44*E44/100</x:f>
        <x:v>27.05</x:v>
      </x:c>
      <x:c r="H44" s="15" t="n">
        <x:f>G44-F44</x:f>
        <x:v>-0.05000000000000071</x:v>
      </x:c>
      <x:c r="I44" s="13" t="n">
        <x:f>'原图数据'!H64</x:f>
        <x:v>80.8</x:v>
      </x:c>
      <x:c r="J44" s="15" t="n">
        <x:f>G44*IF(C44=22,$B$4,$D$4)</x:f>
        <x:v>80.609</x:v>
      </x:c>
      <x:c r="K44" s="15" t="n">
        <x:f>J44-I44</x:f>
        <x:v>-0.1910000000000025</x:v>
      </x:c>
      <x:c r="L44" s="15" t="n">
        <x:f>221-'原图数据'!C13+AVERAGE('原图数据'!F13,'原图数据'!G13,'原图数据'!H13)-9/SIN(RADIANS('原图数据'!E13))+SQRT('原图数据'!C13^2+(9/SIN(RADIANS('原图数据'!E13)))^2)</x:f>
        <x:v>270.51088233970546</x:v>
      </x:c>
      <x:c r="M44" s="15" t="n">
        <x:f>L44-D44</x:f>
        <x:v>0.010882339705460709</x:v>
      </x:c>
      <x:c r="N44" s="12" t="str">
        <x:f>IF(ABS(M44)&lt;=0.051,"与总长公式相符","需检查")</x:f>
        <x:v>与总长公式相符</x:v>
      </x:c>
      <x:c r="O44" s="15" t="n">
        <x:f>117+(117-'原图数据'!C13)+22+22+(AVERAGE('原图数据'!F13,'原图数据'!G13,'原图数据'!H13)-9/SIN(RADIANS('原图数据'!E13))-12)+SQRT('原图数据'!C13^2+(9/SIN(RADIANS('原图数据'!E13)))^2)</x:f>
        <x:v>315.5108823397055</x:v>
      </x:c>
      <x:c r="P44" s="15" t="n">
        <x:f>O44-L44</x:f>
        <x:v>45.00000000000006</x:v>
      </x:c>
    </x:row>
    <x:row r="45" ht="24" customHeight="1">
      <x:c r="A45" s="2" t="str">
        <x:f>'原图数据'!B65</x:f>
        <x:v>3#墩大里程左侧</x:v>
      </x:c>
      <x:c r="B45" s="2" t="str">
        <x:f>'原图数据'!C65</x:f>
        <x:v>2a</x:v>
      </x:c>
      <x:c r="C45" s="2" t="n">
        <x:f>'原图数据'!D65</x:f>
        <x:v>22</x:v>
      </x:c>
      <x:c r="D45" s="14" t="n">
        <x:f>'原图数据'!E65</x:f>
        <x:v>164</x:v>
      </x:c>
      <x:c r="E45" s="2" t="n">
        <x:f>'原图数据'!F65</x:f>
        <x:v>10</x:v>
      </x:c>
      <x:c r="F45" s="14" t="n">
        <x:f>'原图数据'!G65</x:f>
        <x:v>16.4</x:v>
      </x:c>
      <x:c r="G45" s="16" t="n">
        <x:f>D45*E45/100</x:f>
        <x:v>16.4</x:v>
      </x:c>
      <x:c r="H45" s="16" t="n">
        <x:f>G45-F45</x:f>
        <x:v>0</x:v>
      </x:c>
      <x:c r="I45" s="14" t="n">
        <x:f>'原图数据'!H65</x:f>
        <x:v>49</x:v>
      </x:c>
      <x:c r="J45" s="16" t="n">
        <x:f>G45*IF(C45=22,$B$4,$D$4)</x:f>
        <x:v>48.87199999999999</x:v>
      </x:c>
      <x:c r="K45" s="16" t="n">
        <x:f>J45-I45</x:f>
        <x:v>-0.12800000000000722</x:v>
      </x:c>
      <x:c r="L45" s="16" t="n">
        <x:f>120+22+22</x:f>
        <x:v>164</x:v>
      </x:c>
      <x:c r="M45" s="16" t="n">
        <x:f>L45-D45</x:f>
        <x:v>0</x:v>
      </x:c>
      <x:c r="N45" s="2" t="str">
        <x:f>IF(ABS(M45)&lt;=0.051,"与总长公式相符","需检查")</x:f>
        <x:v>与总长公式相符</x:v>
      </x:c>
      <x:c r="O45" s="16" t="n">
        <x:f>120+22+22</x:f>
        <x:v>164</x:v>
      </x:c>
      <x:c r="P45" s="16" t="n">
        <x:f>O45-L45</x:f>
        <x:v>0</x:v>
      </x:c>
    </x:row>
    <x:row r="46" ht="24" customHeight="1">
      <x:c r="A46" s="12" t="str">
        <x:f>'原图数据'!B66</x:f>
        <x:v>3#墩大里程左侧</x:v>
      </x:c>
      <x:c r="B46" s="12" t="str">
        <x:f>'原图数据'!C66</x:f>
        <x:v>3a</x:v>
      </x:c>
      <x:c r="C46" s="12" t="n">
        <x:f>'原图数据'!D66</x:f>
        <x:v>10</x:v>
      </x:c>
      <x:c r="D46" s="13" t="n">
        <x:f>'原图数据'!E66</x:f>
        <x:v>108</x:v>
      </x:c>
      <x:c r="E46" s="12" t="n">
        <x:f>'原图数据'!F66</x:f>
        <x:v>6</x:v>
      </x:c>
      <x:c r="F46" s="13" t="n">
        <x:f>'原图数据'!G66</x:f>
        <x:v>6.5</x:v>
      </x:c>
      <x:c r="G46" s="15" t="n">
        <x:f>D46*E46/100</x:f>
        <x:v>6.48</x:v>
      </x:c>
      <x:c r="H46" s="15" t="n">
        <x:f>G46-F46</x:f>
        <x:v>-0.019999999999999574</x:v>
      </x:c>
      <x:c r="I46" s="13" t="n">
        <x:f>'原图数据'!H66</x:f>
        <x:v>4</x:v>
      </x:c>
      <x:c r="J46" s="15" t="n">
        <x:f>G46*IF(C46=22,$B$4,$D$4)</x:f>
        <x:v>3.9981600000000004</x:v>
      </x:c>
      <x:c r="K46" s="15" t="n">
        <x:f>J46-I46</x:f>
        <x:v>-0.0018399999999996197</x:v>
      </x:c>
      <x:c r="L46" s="15" t="n">
        <x:f>20+('原图数据'!D13-12)/SIN(RADIANS('原图数据'!E13))</x:f>
        <x:v>108</x:v>
      </x:c>
      <x:c r="M46" s="15" t="n">
        <x:f>L46-D46</x:f>
        <x:v>0</x:v>
      </x:c>
      <x:c r="N46" s="12" t="str">
        <x:f>IF(ABS(M46)&lt;=0.051,"与总长公式相符","需检查")</x:f>
        <x:v>与总长公式相符</x:v>
      </x:c>
      <x:c r="O46" s="15"/>
      <x:c r="P46" s="15"/>
    </x:row>
    <x:row r="47" ht="24" customHeight="1">
      <x:c r="A47" s="2" t="str">
        <x:f>'原图数据'!B67</x:f>
        <x:v>3#墩大里程左侧</x:v>
      </x:c>
      <x:c r="B47" s="2" t="str">
        <x:f>'原图数据'!C67</x:f>
        <x:v>4a</x:v>
      </x:c>
      <x:c r="C47" s="2" t="n">
        <x:f>'原图数据'!D67</x:f>
        <x:v>10</x:v>
      </x:c>
      <x:c r="D47" s="14" t="n">
        <x:f>'原图数据'!E67</x:f>
        <x:v>108.2</x:v>
      </x:c>
      <x:c r="E47" s="2" t="n">
        <x:f>'原图数据'!F67</x:f>
        <x:v>3</x:v>
      </x:c>
      <x:c r="F47" s="14" t="n">
        <x:f>'原图数据'!G67</x:f>
        <x:v>3.2</x:v>
      </x:c>
      <x:c r="G47" s="16" t="n">
        <x:f>D47*E47/100</x:f>
        <x:v>3.2460000000000004</x:v>
      </x:c>
      <x:c r="H47" s="16" t="n">
        <x:f>G47-F47</x:f>
        <x:v>0.04600000000000026</x:v>
      </x:c>
      <x:c r="I47" s="14" t="n">
        <x:f>'原图数据'!H67</x:f>
        <x:v>2</x:v>
      </x:c>
      <x:c r="J47" s="16" t="n">
        <x:f>G47*IF(C47=22,$B$4,$D$4)</x:f>
        <x:v>2.0027820000000003</x:v>
      </x:c>
      <x:c r="K47" s="16" t="n">
        <x:f>J47-I47</x:f>
        <x:v>0.0027820000000002842</x:v>
      </x:c>
      <x:c r="L47" s="16" t="n">
        <x:f>20+('原图数据'!D13/2-6)/SIN(RADIANS('原图数据'!I13))+('原图数据'!D13/2-6)/SIN(RADIANS('原图数据'!J13))</x:f>
        <x:v>108.24840748368774</x:v>
      </x:c>
      <x:c r="M47" s="16" t="n">
        <x:f>L47-D47</x:f>
        <x:v>0.04840748368773973</x:v>
      </x:c>
      <x:c r="N47" s="2" t="str">
        <x:f>IF(ABS(M47)&lt;=0.051,"与总长公式相符","需检查")</x:f>
        <x:v>与总长公式相符</x:v>
      </x:c>
      <x:c r="O47" s="16"/>
      <x:c r="P47" s="16"/>
    </x:row>
    <x:row r="48" ht="24" customHeight="1">
      <x:c r="A48" s="12" t="str">
        <x:f>'原图数据'!B68</x:f>
        <x:v>3#墩大里程左侧</x:v>
      </x:c>
      <x:c r="B48" s="12" t="str">
        <x:f>'原图数据'!C68</x:f>
        <x:v>5a</x:v>
      </x:c>
      <x:c r="C48" s="12" t="n">
        <x:f>'原图数据'!D68</x:f>
        <x:v>10</x:v>
      </x:c>
      <x:c r="D48" s="13" t="n">
        <x:f>'原图数据'!E68</x:f>
        <x:v>298.7</x:v>
      </x:c>
      <x:c r="E48" s="12" t="n">
        <x:f>'原图数据'!F68</x:f>
        <x:v>11</x:v>
      </x:c>
      <x:c r="F48" s="13" t="n">
        <x:f>'原图数据'!G68</x:f>
        <x:v>32.9</x:v>
      </x:c>
      <x:c r="G48" s="15" t="n">
        <x:f>D48*E48/100</x:f>
        <x:v>32.857</x:v>
      </x:c>
      <x:c r="H48" s="15" t="n">
        <x:f>G48-F48</x:f>
        <x:v>-0.04299999999999926</x:v>
      </x:c>
      <x:c r="I48" s="13" t="n">
        <x:f>'原图数据'!H68</x:f>
        <x:v>20.3</x:v>
      </x:c>
      <x:c r="J48" s="15" t="n">
        <x:f>G48*IF(C48=22,$B$4,$D$4)</x:f>
        <x:v>20.272769</x:v>
      </x:c>
      <x:c r="K48" s="15" t="n">
        <x:f>J48-I48</x:f>
        <x:v>-0.02723100000000045</x:v>
      </x:c>
      <x:c r="L48" s="15" t="n">
        <x:f>('原图数据'!D13/2-6)/SIN(RADIANS('原图数据'!I13))+('原图数据'!D13/2-6)/SIN(RADIANS('原图数据'!J13))+('原图数据'!D13-12)/SIN(RADIANS('原图数据'!E13))+'原图数据'!F13+'原图数据'!G13+12</x:f>
        <x:v>298.74840748368774</x:v>
      </x:c>
      <x:c r="M48" s="15" t="n">
        <x:f>L48-D48</x:f>
        <x:v>0.04840748368775394</x:v>
      </x:c>
      <x:c r="N48" s="12" t="str">
        <x:f>IF(ABS(M48)&lt;=0.051,"与总长公式相符","需检查")</x:f>
        <x:v>与总长公式相符</x:v>
      </x:c>
      <x:c r="O48" s="15" t="n">
        <x:f>('原图数据'!D13/2-6)/SIN(RADIANS('原图数据'!I13))+('原图数据'!D13/2-6)/SIN(RADIANS('原图数据'!J13))+('原图数据'!D13-12)/SIN(RADIANS('原图数据'!E13))+'原图数据'!F13-9+'原图数据'!G13-9+10+10</x:f>
        <x:v>288.74840748368774</x:v>
      </x:c>
      <x:c r="P48" s="15" t="n">
        <x:f>O48-L48</x:f>
        <x:v>-10</x:v>
      </x:c>
    </x:row>
    <x:row r="49" ht="24" customHeight="1">
      <x:c r="A49" s="2" t="str">
        <x:f>'原图数据'!B69</x:f>
        <x:v>3#墩大里程左侧</x:v>
      </x:c>
      <x:c r="B49" s="2" t="str">
        <x:f>'原图数据'!C69</x:f>
        <x:v>6a</x:v>
      </x:c>
      <x:c r="C49" s="2" t="n">
        <x:f>'原图数据'!D69</x:f>
        <x:v>10</x:v>
      </x:c>
      <x:c r="D49" s="14" t="n">
        <x:f>'原图数据'!E69</x:f>
        <x:v>289.7</x:v>
      </x:c>
      <x:c r="E49" s="2" t="n">
        <x:f>'原图数据'!F69</x:f>
        <x:v>2</x:v>
      </x:c>
      <x:c r="F49" s="14" t="n">
        <x:f>'原图数据'!G69</x:f>
        <x:v>5.8</x:v>
      </x:c>
      <x:c r="G49" s="16" t="n">
        <x:f>D49*E49/100</x:f>
        <x:v>5.794</x:v>
      </x:c>
      <x:c r="H49" s="16" t="n">
        <x:f>G49-F49</x:f>
        <x:v>-0.006000000000000227</x:v>
      </x:c>
      <x:c r="I49" s="14" t="n">
        <x:f>'原图数据'!H69</x:f>
        <x:v>3.6</x:v>
      </x:c>
      <x:c r="J49" s="16" t="n">
        <x:f>G49*IF(C49=22,$B$4,$D$4)</x:f>
        <x:v>3.5748979999999997</x:v>
      </x:c>
      <x:c r="K49" s="16" t="n">
        <x:f>J49-I49</x:f>
        <x:v>-0.025102000000000402</x:v>
      </x:c>
      <x:c r="L49" s="16" t="n">
        <x:f>('原图数据'!D13/2-6)/SIN(RADIANS('原图数据'!I13))+('原图数据'!D13/2-6)/SIN(RADIANS('原图数据'!J13))+('原图数据'!D13-12)/SIN(RADIANS('原图数据'!E13))+'原图数据'!F13+'原图数据'!G13-9/SIN(RADIANS('原图数据'!E13))+12</x:f>
        <x:v>289.74840748368774</x:v>
      </x:c>
      <x:c r="M49" s="16" t="n">
        <x:f>L49-D49</x:f>
        <x:v>0.04840748368775394</x:v>
      </x:c>
      <x:c r="N49" s="2" t="str">
        <x:f>IF(ABS(M49)&lt;=0.051,"与总长公式相符","需检查")</x:f>
        <x:v>与总长公式相符</x:v>
      </x:c>
      <x:c r="O49" s="16" t="n">
        <x:f>('原图数据'!D13/2-6)/SIN(RADIANS('原图数据'!I13))+('原图数据'!D13/2-6)/SIN(RADIANS('原图数据'!J13))+('原图数据'!D13-12)/SIN(RADIANS('原图数据'!E13))+'原图数据'!F13-9+'原图数据'!G13-9+10+10-9/SIN(RADIANS('原图数据'!E13))</x:f>
        <x:v>279.74840748368774</x:v>
      </x:c>
      <x:c r="P49" s="16" t="n">
        <x:f>O49-L49</x:f>
        <x:v>-10</x:v>
      </x:c>
    </x:row>
    <x:row r="50" ht="24" customHeight="1">
      <x:c r="A50" s="12" t="str">
        <x:f>'原图数据'!B70</x:f>
        <x:v>3#墩右侧</x:v>
      </x:c>
      <x:c r="B50" s="12" t="str">
        <x:f>'原图数据'!C70</x:f>
        <x:v>1a</x:v>
      </x:c>
      <x:c r="C50" s="12" t="n">
        <x:f>'原图数据'!D70</x:f>
        <x:v>22</x:v>
      </x:c>
      <x:c r="D50" s="13" t="n">
        <x:f>'原图数据'!E70</x:f>
        <x:v>263.1</x:v>
      </x:c>
      <x:c r="E50" s="12" t="n">
        <x:f>'原图数据'!F70</x:f>
        <x:v>20</x:v>
      </x:c>
      <x:c r="F50" s="13" t="n">
        <x:f>'原图数据'!G70</x:f>
        <x:v>52.6</x:v>
      </x:c>
      <x:c r="G50" s="15" t="n">
        <x:f>D50*E50/100</x:f>
        <x:v>52.62</x:v>
      </x:c>
      <x:c r="H50" s="15" t="n">
        <x:f>G50-F50</x:f>
        <x:v>0.01999999999999602</x:v>
      </x:c>
      <x:c r="I50" s="13" t="n">
        <x:f>'原图数据'!H70</x:f>
        <x:v>157.1</x:v>
      </x:c>
      <x:c r="J50" s="15" t="n">
        <x:f>G50*IF(C50=22,$B$4,$D$4)</x:f>
        <x:v>156.80759999999998</x:v>
      </x:c>
      <x:c r="K50" s="15" t="n">
        <x:f>J50-I50</x:f>
        <x:v>-0.29240000000001487</x:v>
      </x:c>
      <x:c r="L50" s="15" t="n">
        <x:f>221-'原图数据'!C14+AVERAGE('原图数据'!F14,'原图数据'!G14,'原图数据'!H14)-9/SIN(RADIANS('原图数据'!E14))+SQRT('原图数据'!C14^2+(9/SIN(RADIANS('原图数据'!E14)))^2)</x:f>
        <x:v>263.0775490063721</x:v>
      </x:c>
      <x:c r="M50" s="15" t="n">
        <x:f>L50-D50</x:f>
        <x:v>-0.022450993627899152</x:v>
      </x:c>
      <x:c r="N50" s="12" t="str">
        <x:f>IF(ABS(M50)&lt;=0.051,"与总长公式相符","需检查")</x:f>
        <x:v>与总长公式相符</x:v>
      </x:c>
      <x:c r="O50" s="15" t="n">
        <x:f>117+(117-'原图数据'!C14)+22+22+(AVERAGE('原图数据'!F14,'原图数据'!G14,'原图数据'!H14)-9/SIN(RADIANS('原图数据'!E14))-12)+SQRT('原图数据'!C14^2+(9/SIN(RADIANS('原图数据'!E14)))^2)</x:f>
        <x:v>308.0775490063722</x:v>
      </x:c>
      <x:c r="P50" s="15" t="n">
        <x:f>O50-L50</x:f>
        <x:v>45.00000000000006</x:v>
      </x:c>
    </x:row>
    <x:row r="51" ht="24" customHeight="1">
      <x:c r="A51" s="2" t="str">
        <x:f>'原图数据'!B71</x:f>
        <x:v>3#墩右侧</x:v>
      </x:c>
      <x:c r="B51" s="2" t="str">
        <x:f>'原图数据'!C71</x:f>
        <x:v>2a</x:v>
      </x:c>
      <x:c r="C51" s="2" t="n">
        <x:f>'原图数据'!D71</x:f>
        <x:v>22</x:v>
      </x:c>
      <x:c r="D51" s="14" t="n">
        <x:f>'原图数据'!E71</x:f>
        <x:v>164</x:v>
      </x:c>
      <x:c r="E51" s="2" t="n">
        <x:f>'原图数据'!F71</x:f>
        <x:v>20</x:v>
      </x:c>
      <x:c r="F51" s="14" t="n">
        <x:f>'原图数据'!G71</x:f>
        <x:v>32.8</x:v>
      </x:c>
      <x:c r="G51" s="16" t="n">
        <x:f>D51*E51/100</x:f>
        <x:v>32.8</x:v>
      </x:c>
      <x:c r="H51" s="16" t="n">
        <x:f>G51-F51</x:f>
        <x:v>0</x:v>
      </x:c>
      <x:c r="I51" s="14" t="n">
        <x:f>'原图数据'!H71</x:f>
        <x:v>97.9</x:v>
      </x:c>
      <x:c r="J51" s="16" t="n">
        <x:f>G51*IF(C51=22,$B$4,$D$4)</x:f>
        <x:v>97.74399999999999</x:v>
      </x:c>
      <x:c r="K51" s="16" t="n">
        <x:f>J51-I51</x:f>
        <x:v>-0.15600000000002012</x:v>
      </x:c>
      <x:c r="L51" s="16" t="n">
        <x:f>120+22+22</x:f>
        <x:v>164</x:v>
      </x:c>
      <x:c r="M51" s="16" t="n">
        <x:f>L51-D51</x:f>
        <x:v>0</x:v>
      </x:c>
      <x:c r="N51" s="2" t="str">
        <x:f>IF(ABS(M51)&lt;=0.051,"与总长公式相符","需检查")</x:f>
        <x:v>与总长公式相符</x:v>
      </x:c>
      <x:c r="O51" s="16" t="n">
        <x:f>120+22+22</x:f>
        <x:v>164</x:v>
      </x:c>
      <x:c r="P51" s="16" t="n">
        <x:f>O51-L51</x:f>
        <x:v>0</x:v>
      </x:c>
    </x:row>
    <x:row r="52" ht="24" customHeight="1">
      <x:c r="A52" s="12" t="str">
        <x:f>'原图数据'!B72</x:f>
        <x:v>3#墩右侧</x:v>
      </x:c>
      <x:c r="B52" s="12" t="str">
        <x:f>'原图数据'!C72</x:f>
        <x:v>3a</x:v>
      </x:c>
      <x:c r="C52" s="12" t="n">
        <x:f>'原图数据'!D72</x:f>
        <x:v>10</x:v>
      </x:c>
      <x:c r="D52" s="13" t="n">
        <x:f>'原图数据'!E72</x:f>
        <x:v>208</x:v>
      </x:c>
      <x:c r="E52" s="12" t="n">
        <x:f>'原图数据'!F72</x:f>
        <x:v>6</x:v>
      </x:c>
      <x:c r="F52" s="13" t="n">
        <x:f>'原图数据'!G72</x:f>
        <x:v>12.5</x:v>
      </x:c>
      <x:c r="G52" s="15" t="n">
        <x:f>D52*E52/100</x:f>
        <x:v>12.48</x:v>
      </x:c>
      <x:c r="H52" s="15" t="n">
        <x:f>G52-F52</x:f>
        <x:v>-0.019999999999999574</x:v>
      </x:c>
      <x:c r="I52" s="13" t="n">
        <x:f>'原图数据'!H72</x:f>
        <x:v>7.7</x:v>
      </x:c>
      <x:c r="J52" s="15" t="n">
        <x:f>G52*IF(C52=22,$B$4,$D$4)</x:f>
        <x:v>7.70016</x:v>
      </x:c>
      <x:c r="K52" s="15" t="n">
        <x:f>J52-I52</x:f>
        <x:v>0.00016000000000016001</x:v>
      </x:c>
      <x:c r="L52" s="15" t="n">
        <x:f>20+('原图数据'!D14-12)/SIN(RADIANS('原图数据'!E14))</x:f>
        <x:v>208</x:v>
      </x:c>
      <x:c r="M52" s="15" t="n">
        <x:f>L52-D52</x:f>
        <x:v>0</x:v>
      </x:c>
      <x:c r="N52" s="12" t="str">
        <x:f>IF(ABS(M52)&lt;=0.051,"与总长公式相符","需检查")</x:f>
        <x:v>与总长公式相符</x:v>
      </x:c>
      <x:c r="O52" s="15"/>
      <x:c r="P52" s="15"/>
    </x:row>
    <x:row r="53" ht="24" customHeight="1">
      <x:c r="A53" s="2" t="str">
        <x:f>'原图数据'!B73</x:f>
        <x:v>3#墩右侧</x:v>
      </x:c>
      <x:c r="B53" s="2" t="str">
        <x:f>'原图数据'!C73</x:f>
        <x:v>4a</x:v>
      </x:c>
      <x:c r="C53" s="2" t="n">
        <x:f>'原图数据'!D73</x:f>
        <x:v>10</x:v>
      </x:c>
      <x:c r="D53" s="14" t="n">
        <x:f>'原图数据'!E73</x:f>
        <x:v>208.5</x:v>
      </x:c>
      <x:c r="E53" s="2" t="n">
        <x:f>'原图数据'!F73</x:f>
        <x:v>3</x:v>
      </x:c>
      <x:c r="F53" s="14" t="n">
        <x:f>'原图数据'!G73</x:f>
        <x:v>6.3</x:v>
      </x:c>
      <x:c r="G53" s="16" t="n">
        <x:f>D53*E53/100</x:f>
        <x:v>6.255</x:v>
      </x:c>
      <x:c r="H53" s="16" t="n">
        <x:f>G53-F53</x:f>
        <x:v>-0.04499999999999993</x:v>
      </x:c>
      <x:c r="I53" s="14" t="n">
        <x:f>'原图数据'!H73</x:f>
        <x:v>3.9</x:v>
      </x:c>
      <x:c r="J53" s="16" t="n">
        <x:f>G53*IF(C53=22,$B$4,$D$4)</x:f>
        <x:v>3.8593349999999997</x:v>
      </x:c>
      <x:c r="K53" s="16" t="n">
        <x:f>J53-I53</x:f>
        <x:v>-0.04066500000000017</x:v>
      </x:c>
      <x:c r="L53" s="16" t="n">
        <x:f>20+('原图数据'!D14/2-6)/SIN(RADIANS('原图数据'!I14))+('原图数据'!D14/2-6)/SIN(RADIANS('原图数据'!J14))</x:f>
        <x:v>208.4511986262629</x:v>
      </x:c>
      <x:c r="M53" s="16" t="n">
        <x:f>L53-D53</x:f>
        <x:v>-0.048801373737092035</x:v>
      </x:c>
      <x:c r="N53" s="2" t="str">
        <x:f>IF(ABS(M53)&lt;=0.051,"与总长公式相符","需检查")</x:f>
        <x:v>与总长公式相符</x:v>
      </x:c>
      <x:c r="O53" s="16"/>
      <x:c r="P53" s="16"/>
    </x:row>
    <x:row r="54" ht="24" customHeight="1">
      <x:c r="A54" s="12" t="str">
        <x:f>'原图数据'!B74</x:f>
        <x:v>3#墩右侧</x:v>
      </x:c>
      <x:c r="B54" s="12" t="str">
        <x:f>'原图数据'!C74</x:f>
        <x:v>5a</x:v>
      </x:c>
      <x:c r="C54" s="12" t="n">
        <x:f>'原图数据'!D74</x:f>
        <x:v>10</x:v>
      </x:c>
      <x:c r="D54" s="13" t="n">
        <x:f>'原图数据'!E74</x:f>
        <x:v>484.9</x:v>
      </x:c>
      <x:c r="E54" s="12" t="n">
        <x:f>'原图数据'!F74</x:f>
        <x:v>11</x:v>
      </x:c>
      <x:c r="F54" s="13" t="n">
        <x:f>'原图数据'!G74</x:f>
        <x:v>53.3</x:v>
      </x:c>
      <x:c r="G54" s="15" t="n">
        <x:f>D54*E54/100</x:f>
        <x:v>53.339</x:v>
      </x:c>
      <x:c r="H54" s="15" t="n">
        <x:f>G54-F54</x:f>
        <x:v>0.03900000000000148</x:v>
      </x:c>
      <x:c r="I54" s="13" t="n">
        <x:f>'原图数据'!H74</x:f>
        <x:v>32.9</x:v>
      </x:c>
      <x:c r="J54" s="15" t="n">
        <x:f>G54*IF(C54=22,$B$4,$D$4)</x:f>
        <x:v>32.910163</x:v>
      </x:c>
      <x:c r="K54" s="15" t="n">
        <x:f>J54-I54</x:f>
        <x:v>0.01016299999999859</x:v>
      </x:c>
      <x:c r="L54" s="15" t="n">
        <x:f>('原图数据'!D14/2-6)/SIN(RADIANS('原图数据'!I14))+('原图数据'!D14/2-6)/SIN(RADIANS('原图数据'!J14))+('原图数据'!D14-12)/SIN(RADIANS('原图数据'!E14))+'原图数据'!F14+'原图数据'!G14+12</x:f>
        <x:v>484.8511986262629</x:v>
      </x:c>
      <x:c r="M54" s="15" t="n">
        <x:f>L54-D54</x:f>
        <x:v>-0.048801373737092035</x:v>
      </x:c>
      <x:c r="N54" s="12" t="str">
        <x:f>IF(ABS(M54)&lt;=0.051,"与总长公式相符","需检查")</x:f>
        <x:v>与总长公式相符</x:v>
      </x:c>
      <x:c r="O54" s="15" t="n">
        <x:f>('原图数据'!D14/2-6)/SIN(RADIANS('原图数据'!I14))+('原图数据'!D14/2-6)/SIN(RADIANS('原图数据'!J14))+('原图数据'!D14-12)/SIN(RADIANS('原图数据'!E14))+'原图数据'!F14-9+'原图数据'!G14-9+10+10</x:f>
        <x:v>474.8511986262629</x:v>
      </x:c>
      <x:c r="P54" s="15" t="n">
        <x:f>O54-L54</x:f>
        <x:v>-10</x:v>
      </x:c>
    </x:row>
    <x:row r="55" ht="24" customHeight="1">
      <x:c r="A55" s="2" t="str">
        <x:f>'原图数据'!B75</x:f>
        <x:v>3#墩右侧</x:v>
      </x:c>
      <x:c r="B55" s="2" t="str">
        <x:f>'原图数据'!C75</x:f>
        <x:v>6a</x:v>
      </x:c>
      <x:c r="C55" s="2" t="n">
        <x:f>'原图数据'!D75</x:f>
        <x:v>10</x:v>
      </x:c>
      <x:c r="D55" s="14" t="n">
        <x:f>'原图数据'!E75</x:f>
        <x:v>475.9</x:v>
      </x:c>
      <x:c r="E55" s="2" t="n">
        <x:f>'原图数据'!F75</x:f>
        <x:v>2</x:v>
      </x:c>
      <x:c r="F55" s="14" t="n">
        <x:f>'原图数据'!G75</x:f>
        <x:v>9.5</x:v>
      </x:c>
      <x:c r="G55" s="16" t="n">
        <x:f>D55*E55/100</x:f>
        <x:v>9.517999999999999</x:v>
      </x:c>
      <x:c r="H55" s="16" t="n">
        <x:f>G55-F55</x:f>
        <x:v>0.017999999999998906</x:v>
      </x:c>
      <x:c r="I55" s="14" t="n">
        <x:f>'原图数据'!H75</x:f>
        <x:v>5.9</x:v>
      </x:c>
      <x:c r="J55" s="16" t="n">
        <x:f>G55*IF(C55=22,$B$4,$D$4)</x:f>
        <x:v>5.872605999999999</x:v>
      </x:c>
      <x:c r="K55" s="16" t="n">
        <x:f>J55-I55</x:f>
        <x:v>-0.02739400000000103</x:v>
      </x:c>
      <x:c r="L55" s="16" t="n">
        <x:f>('原图数据'!D14/2-6)/SIN(RADIANS('原图数据'!I14))+('原图数据'!D14/2-6)/SIN(RADIANS('原图数据'!J14))+('原图数据'!D14-12)/SIN(RADIANS('原图数据'!E14))+'原图数据'!F14+'原图数据'!G14-9/SIN(RADIANS('原图数据'!E14))+12</x:f>
        <x:v>475.8511986262629</x:v>
      </x:c>
      <x:c r="M55" s="16" t="n">
        <x:f>L55-D55</x:f>
        <x:v>-0.048801373737092035</x:v>
      </x:c>
      <x:c r="N55" s="2" t="str">
        <x:f>IF(ABS(M55)&lt;=0.051,"与总长公式相符","需检查")</x:f>
        <x:v>与总长公式相符</x:v>
      </x:c>
      <x:c r="O55" s="16" t="n">
        <x:f>('原图数据'!D14/2-6)/SIN(RADIANS('原图数据'!I14))+('原图数据'!D14/2-6)/SIN(RADIANS('原图数据'!J14))+('原图数据'!D14-12)/SIN(RADIANS('原图数据'!E14))+'原图数据'!F14-9+'原图数据'!G14-9+10+10-9/SIN(RADIANS('原图数据'!E14))</x:f>
        <x:v>465.8511986262629</x:v>
      </x:c>
      <x:c r="P55" s="16" t="n">
        <x:f>O55-L55</x:f>
        <x:v>-10</x:v>
      </x:c>
    </x:row>
    <x:row r="56" ht="24" customHeight="1">
      <x:c r="A56" s="12" t="str">
        <x:f>'原图数据'!B76</x:f>
        <x:v>4#墩左侧</x:v>
      </x:c>
      <x:c r="B56" s="12" t="str">
        <x:f>'原图数据'!C76</x:f>
        <x:v>1a</x:v>
      </x:c>
      <x:c r="C56" s="12" t="n">
        <x:f>'原图数据'!D76</x:f>
        <x:v>22</x:v>
      </x:c>
      <x:c r="D56" s="13" t="n">
        <x:f>'原图数据'!E76</x:f>
        <x:v>260.9</x:v>
      </x:c>
      <x:c r="E56" s="12" t="n">
        <x:f>'原图数据'!F76</x:f>
        <x:v>20</x:v>
      </x:c>
      <x:c r="F56" s="13" t="n">
        <x:f>'原图数据'!G76</x:f>
        <x:v>52.2</x:v>
      </x:c>
      <x:c r="G56" s="15" t="n">
        <x:f>D56*E56/100</x:f>
        <x:v>52.18</x:v>
      </x:c>
      <x:c r="H56" s="15" t="n">
        <x:f>G56-F56</x:f>
        <x:v>-0.020000000000003126</x:v>
      </x:c>
      <x:c r="I56" s="13" t="n">
        <x:f>'原图数据'!H76</x:f>
        <x:v>155.9</x:v>
      </x:c>
      <x:c r="J56" s="15" t="n">
        <x:f>G56*IF(C56=22,$B$4,$D$4)</x:f>
        <x:v>155.4964</x:v>
      </x:c>
      <x:c r="K56" s="15" t="n">
        <x:f>J56-I56</x:f>
        <x:v>-0.4036000000000115</x:v>
      </x:c>
      <x:c r="L56" s="15" t="n">
        <x:f>221-'原图数据'!C15+AVERAGE('原图数据'!F15,'原图数据'!G15,'原图数据'!H15)-9/SIN(RADIANS('原图数据'!E15))+SQRT('原图数据'!C15^2+(9/SIN(RADIANS('原图数据'!E15)))^2)</x:f>
        <x:v>260.9442156730388</x:v>
      </x:c>
      <x:c r="M56" s="15" t="n">
        <x:f>L56-D56</x:f>
        <x:v>0.04421567303882057</x:v>
      </x:c>
      <x:c r="N56" s="12" t="str">
        <x:f>IF(ABS(M56)&lt;=0.051,"与总长公式相符","需检查")</x:f>
        <x:v>与总长公式相符</x:v>
      </x:c>
      <x:c r="O56" s="15" t="n">
        <x:f>117+(117-'原图数据'!C15)+22+22+(AVERAGE('原图数据'!F15,'原图数据'!G15,'原图数据'!H15)-9/SIN(RADIANS('原图数据'!E15))-12)+SQRT('原图数据'!C15^2+(9/SIN(RADIANS('原图数据'!E15)))^2)</x:f>
        <x:v>305.9442156730388</x:v>
      </x:c>
      <x:c r="P56" s="15" t="n">
        <x:f>O56-L56</x:f>
        <x:v>45</x:v>
      </x:c>
    </x:row>
    <x:row r="57" ht="24" customHeight="1">
      <x:c r="A57" s="2" t="str">
        <x:f>'原图数据'!B77</x:f>
        <x:v>4#墩左侧</x:v>
      </x:c>
      <x:c r="B57" s="2" t="str">
        <x:f>'原图数据'!C77</x:f>
        <x:v>2a</x:v>
      </x:c>
      <x:c r="C57" s="2" t="n">
        <x:f>'原图数据'!D77</x:f>
        <x:v>22</x:v>
      </x:c>
      <x:c r="D57" s="14" t="n">
        <x:f>'原图数据'!E77</x:f>
        <x:v>164</x:v>
      </x:c>
      <x:c r="E57" s="2" t="n">
        <x:f>'原图数据'!F77</x:f>
        <x:v>20</x:v>
      </x:c>
      <x:c r="F57" s="14" t="n">
        <x:f>'原图数据'!G77</x:f>
        <x:v>32.8</x:v>
      </x:c>
      <x:c r="G57" s="16" t="n">
        <x:f>D57*E57/100</x:f>
        <x:v>32.8</x:v>
      </x:c>
      <x:c r="H57" s="16" t="n">
        <x:f>G57-F57</x:f>
        <x:v>0</x:v>
      </x:c>
      <x:c r="I57" s="14" t="n">
        <x:f>'原图数据'!H77</x:f>
        <x:v>97.9</x:v>
      </x:c>
      <x:c r="J57" s="16" t="n">
        <x:f>G57*IF(C57=22,$B$4,$D$4)</x:f>
        <x:v>97.74399999999999</x:v>
      </x:c>
      <x:c r="K57" s="16" t="n">
        <x:f>J57-I57</x:f>
        <x:v>-0.15600000000002012</x:v>
      </x:c>
      <x:c r="L57" s="16" t="n">
        <x:f>120+22+22</x:f>
        <x:v>164</x:v>
      </x:c>
      <x:c r="M57" s="16" t="n">
        <x:f>L57-D57</x:f>
        <x:v>0</x:v>
      </x:c>
      <x:c r="N57" s="2" t="str">
        <x:f>IF(ABS(M57)&lt;=0.051,"与总长公式相符","需检查")</x:f>
        <x:v>与总长公式相符</x:v>
      </x:c>
      <x:c r="O57" s="16" t="n">
        <x:f>120+22+22</x:f>
        <x:v>164</x:v>
      </x:c>
      <x:c r="P57" s="16" t="n">
        <x:f>O57-L57</x:f>
        <x:v>0</x:v>
      </x:c>
    </x:row>
    <x:row r="58" ht="24" customHeight="1">
      <x:c r="A58" s="12" t="str">
        <x:f>'原图数据'!B78</x:f>
        <x:v>4#墩左侧</x:v>
      </x:c>
      <x:c r="B58" s="12" t="str">
        <x:f>'原图数据'!C78</x:f>
        <x:v>3a</x:v>
      </x:c>
      <x:c r="C58" s="12" t="n">
        <x:f>'原图数据'!D78</x:f>
        <x:v>10</x:v>
      </x:c>
      <x:c r="D58" s="13" t="n">
        <x:f>'原图数据'!E78</x:f>
        <x:v>208</x:v>
      </x:c>
      <x:c r="E58" s="12" t="n">
        <x:f>'原图数据'!F78</x:f>
        <x:v>6</x:v>
      </x:c>
      <x:c r="F58" s="13" t="n">
        <x:f>'原图数据'!G78</x:f>
        <x:v>12.5</x:v>
      </x:c>
      <x:c r="G58" s="15" t="n">
        <x:f>D58*E58/100</x:f>
        <x:v>12.48</x:v>
      </x:c>
      <x:c r="H58" s="15" t="n">
        <x:f>G58-F58</x:f>
        <x:v>-0.019999999999999574</x:v>
      </x:c>
      <x:c r="I58" s="13" t="n">
        <x:f>'原图数据'!H78</x:f>
        <x:v>7.7</x:v>
      </x:c>
      <x:c r="J58" s="15" t="n">
        <x:f>G58*IF(C58=22,$B$4,$D$4)</x:f>
        <x:v>7.70016</x:v>
      </x:c>
      <x:c r="K58" s="15" t="n">
        <x:f>J58-I58</x:f>
        <x:v>0.00016000000000016001</x:v>
      </x:c>
      <x:c r="L58" s="15" t="n">
        <x:f>20+('原图数据'!D15-12)/SIN(RADIANS('原图数据'!E15))</x:f>
        <x:v>208</x:v>
      </x:c>
      <x:c r="M58" s="15" t="n">
        <x:f>L58-D58</x:f>
        <x:v>0</x:v>
      </x:c>
      <x:c r="N58" s="12" t="str">
        <x:f>IF(ABS(M58)&lt;=0.051,"与总长公式相符","需检查")</x:f>
        <x:v>与总长公式相符</x:v>
      </x:c>
      <x:c r="O58" s="15"/>
      <x:c r="P58" s="15"/>
    </x:row>
    <x:row r="59" ht="24" customHeight="1">
      <x:c r="A59" s="2" t="str">
        <x:f>'原图数据'!B79</x:f>
        <x:v>4#墩左侧</x:v>
      </x:c>
      <x:c r="B59" s="2" t="str">
        <x:f>'原图数据'!C79</x:f>
        <x:v>4a</x:v>
      </x:c>
      <x:c r="C59" s="2" t="n">
        <x:f>'原图数据'!D79</x:f>
        <x:v>10</x:v>
      </x:c>
      <x:c r="D59" s="14" t="n">
        <x:f>'原图数据'!E79</x:f>
        <x:v>208.7</x:v>
      </x:c>
      <x:c r="E59" s="2" t="n">
        <x:f>'原图数据'!F79</x:f>
        <x:v>3</x:v>
      </x:c>
      <x:c r="F59" s="14" t="n">
        <x:f>'原图数据'!G79</x:f>
        <x:v>6.3</x:v>
      </x:c>
      <x:c r="G59" s="16" t="n">
        <x:f>D59*E59/100</x:f>
        <x:v>6.260999999999999</x:v>
      </x:c>
      <x:c r="H59" s="16" t="n">
        <x:f>G59-F59</x:f>
        <x:v>-0.03900000000000059</x:v>
      </x:c>
      <x:c r="I59" s="14" t="n">
        <x:f>'原图数据'!H79</x:f>
        <x:v>3.9</x:v>
      </x:c>
      <x:c r="J59" s="16" t="n">
        <x:f>G59*IF(C59=22,$B$4,$D$4)</x:f>
        <x:v>3.8630369999999994</x:v>
      </x:c>
      <x:c r="K59" s="16" t="n">
        <x:f>J59-I59</x:f>
        <x:v>-0.03696300000000052</x:v>
      </x:c>
      <x:c r="L59" s="16" t="n">
        <x:f>20+('原图数据'!D15/2-6)/SIN(RADIANS('原图数据'!I15))+('原图数据'!D15/2-6)/SIN(RADIANS('原图数据'!J15))</x:f>
        <x:v>208.72075599806507</x:v>
      </x:c>
      <x:c r="M59" s="16" t="n">
        <x:f>L59-D59</x:f>
        <x:v>0.020755998065084214</x:v>
      </x:c>
      <x:c r="N59" s="2" t="str">
        <x:f>IF(ABS(M59)&lt;=0.051,"与总长公式相符","需检查")</x:f>
        <x:v>与总长公式相符</x:v>
      </x:c>
      <x:c r="O59" s="16"/>
      <x:c r="P59" s="16"/>
    </x:row>
    <x:row r="60" ht="24" customHeight="1">
      <x:c r="A60" s="12" t="str">
        <x:f>'原图数据'!B80</x:f>
        <x:v>4#墩左侧</x:v>
      </x:c>
      <x:c r="B60" s="12" t="str">
        <x:f>'原图数据'!C80</x:f>
        <x:v>5a</x:v>
      </x:c>
      <x:c r="C60" s="12" t="n">
        <x:f>'原图数据'!D80</x:f>
        <x:v>10</x:v>
      </x:c>
      <x:c r="D60" s="13" t="n">
        <x:f>'原图数据'!E80</x:f>
        <x:v>487.2</x:v>
      </x:c>
      <x:c r="E60" s="12" t="n">
        <x:f>'原图数据'!F80</x:f>
        <x:v>11</x:v>
      </x:c>
      <x:c r="F60" s="13" t="n">
        <x:f>'原图数据'!G80</x:f>
        <x:v>53.6</x:v>
      </x:c>
      <x:c r="G60" s="15" t="n">
        <x:f>D60*E60/100</x:f>
        <x:v>53.592</x:v>
      </x:c>
      <x:c r="H60" s="15" t="n">
        <x:f>G60-F60</x:f>
        <x:v>-0.008000000000002672</x:v>
      </x:c>
      <x:c r="I60" s="13" t="n">
        <x:f>'原图数据'!H80</x:f>
        <x:v>33.1</x:v>
      </x:c>
      <x:c r="J60" s="15" t="n">
        <x:f>G60*IF(C60=22,$B$4,$D$4)</x:f>
        <x:v>33.066264</x:v>
      </x:c>
      <x:c r="K60" s="15" t="n">
        <x:f>J60-I60</x:f>
        <x:v>-0.03373600000000465</x:v>
      </x:c>
      <x:c r="L60" s="15" t="n">
        <x:f>('原图数据'!D15/2-6)/SIN(RADIANS('原图数据'!I15))+('原图数据'!D15/2-6)/SIN(RADIANS('原图数据'!J15))+('原图数据'!D15-12)/SIN(RADIANS('原图数据'!E15))+'原图数据'!F15+'原图数据'!G15+12</x:f>
        <x:v>487.2207559980651</x:v>
      </x:c>
      <x:c r="M60" s="15" t="n">
        <x:f>L60-D60</x:f>
        <x:v>0.020755998065112635</x:v>
      </x:c>
      <x:c r="N60" s="12" t="str">
        <x:f>IF(ABS(M60)&lt;=0.051,"与总长公式相符","需检查")</x:f>
        <x:v>与总长公式相符</x:v>
      </x:c>
      <x:c r="O60" s="15" t="n">
        <x:f>('原图数据'!D15/2-6)/SIN(RADIANS('原图数据'!I15))+('原图数据'!D15/2-6)/SIN(RADIANS('原图数据'!J15))+('原图数据'!D15-12)/SIN(RADIANS('原图数据'!E15))+'原图数据'!F15-9+'原图数据'!G15-9+10+10</x:f>
        <x:v>477.2207559980651</x:v>
      </x:c>
      <x:c r="P60" s="15" t="n">
        <x:f>O60-L60</x:f>
        <x:v>-10</x:v>
      </x:c>
    </x:row>
    <x:row r="61" ht="24" customHeight="1">
      <x:c r="A61" s="2" t="str">
        <x:f>'原图数据'!B81</x:f>
        <x:v>4#墩左侧</x:v>
      </x:c>
      <x:c r="B61" s="2" t="str">
        <x:f>'原图数据'!C81</x:f>
        <x:v>6a</x:v>
      </x:c>
      <x:c r="C61" s="2" t="n">
        <x:f>'原图数据'!D81</x:f>
        <x:v>10</x:v>
      </x:c>
      <x:c r="D61" s="14" t="n">
        <x:f>'原图数据'!E81</x:f>
        <x:v>478.2</x:v>
      </x:c>
      <x:c r="E61" s="2" t="n">
        <x:f>'原图数据'!F81</x:f>
        <x:v>2</x:v>
      </x:c>
      <x:c r="F61" s="14" t="n">
        <x:f>'原图数据'!G81</x:f>
        <x:v>9.6</x:v>
      </x:c>
      <x:c r="G61" s="16" t="n">
        <x:f>D61*E61/100</x:f>
        <x:v>9.564</x:v>
      </x:c>
      <x:c r="H61" s="16" t="n">
        <x:f>G61-F61</x:f>
        <x:v>-0.03599999999999959</x:v>
      </x:c>
      <x:c r="I61" s="14" t="n">
        <x:f>'原图数据'!H81</x:f>
        <x:v>5.9</x:v>
      </x:c>
      <x:c r="J61" s="16" t="n">
        <x:f>G61*IF(C61=22,$B$4,$D$4)</x:f>
        <x:v>5.900988</x:v>
      </x:c>
      <x:c r="K61" s="16" t="n">
        <x:f>J61-I61</x:f>
        <x:v>0.0009879999999995448</x:v>
      </x:c>
      <x:c r="L61" s="16" t="n">
        <x:f>('原图数据'!D15/2-6)/SIN(RADIANS('原图数据'!I15))+('原图数据'!D15/2-6)/SIN(RADIANS('原图数据'!J15))+('原图数据'!D15-12)/SIN(RADIANS('原图数据'!E15))+'原图数据'!F15+'原图数据'!G15-9/SIN(RADIANS('原图数据'!E15))+12</x:f>
        <x:v>478.2207559980651</x:v>
      </x:c>
      <x:c r="M61" s="16" t="n">
        <x:f>L61-D61</x:f>
        <x:v>0.020755998065112635</x:v>
      </x:c>
      <x:c r="N61" s="2" t="str">
        <x:f>IF(ABS(M61)&lt;=0.051,"与总长公式相符","需检查")</x:f>
        <x:v>与总长公式相符</x:v>
      </x:c>
      <x:c r="O61" s="16" t="n">
        <x:f>('原图数据'!D15/2-6)/SIN(RADIANS('原图数据'!I15))+('原图数据'!D15/2-6)/SIN(RADIANS('原图数据'!J15))+('原图数据'!D15-12)/SIN(RADIANS('原图数据'!E15))+'原图数据'!F15-9+'原图数据'!G15-9+10+10-9/SIN(RADIANS('原图数据'!E15))</x:f>
        <x:v>468.2207559980651</x:v>
      </x:c>
      <x:c r="P61" s="16" t="n">
        <x:f>O61-L61</x:f>
        <x:v>-10</x:v>
      </x:c>
    </x:row>
    <x:row r="62" ht="24" customHeight="1">
      <x:c r="A62" s="12" t="str">
        <x:f>'原图数据'!B82</x:f>
        <x:v>4#墩右侧</x:v>
      </x:c>
      <x:c r="B62" s="12" t="str">
        <x:f>'原图数据'!C82</x:f>
        <x:v>1a</x:v>
      </x:c>
      <x:c r="C62" s="12" t="n">
        <x:f>'原图数据'!D82</x:f>
        <x:v>22</x:v>
      </x:c>
      <x:c r="D62" s="13" t="n">
        <x:f>'原图数据'!E82</x:f>
        <x:v>264.2</x:v>
      </x:c>
      <x:c r="E62" s="12" t="n">
        <x:f>'原图数据'!F82</x:f>
        <x:v>20</x:v>
      </x:c>
      <x:c r="F62" s="13" t="n">
        <x:f>'原图数据'!G82</x:f>
        <x:v>52.8</x:v>
      </x:c>
      <x:c r="G62" s="15" t="n">
        <x:f>D62*E62/100</x:f>
        <x:v>52.84</x:v>
      </x:c>
      <x:c r="H62" s="15" t="n">
        <x:f>G62-F62</x:f>
        <x:v>0.04000000000000625</x:v>
      </x:c>
      <x:c r="I62" s="13" t="n">
        <x:f>'原图数据'!H82</x:f>
        <x:v>157.8</x:v>
      </x:c>
      <x:c r="J62" s="15" t="n">
        <x:f>G62*IF(C62=22,$B$4,$D$4)</x:f>
        <x:v>157.4632</x:v>
      </x:c>
      <x:c r="K62" s="15" t="n">
        <x:f>J62-I62</x:f>
        <x:v>-0.33680000000001087</x:v>
      </x:c>
      <x:c r="L62" s="15" t="n">
        <x:f>221-'原图数据'!C16+AVERAGE('原图数据'!F16,'原图数据'!G16,'原图数据'!H16)-9/SIN(RADIANS('原图数据'!E16))+SQRT('原图数据'!C16^2+(9/SIN(RADIANS('原图数据'!E16)))^2)</x:f>
        <x:v>264.2442156730388</x:v>
      </x:c>
      <x:c r="M62" s="15" t="n">
        <x:f>L62-D62</x:f>
        <x:v>0.04421567303882057</x:v>
      </x:c>
      <x:c r="N62" s="12" t="str">
        <x:f>IF(ABS(M62)&lt;=0.051,"与总长公式相符","需检查")</x:f>
        <x:v>与总长公式相符</x:v>
      </x:c>
      <x:c r="O62" s="15" t="n">
        <x:f>117+(117-'原图数据'!C16)+22+22+(AVERAGE('原图数据'!F16,'原图数据'!G16,'原图数据'!H16)-9/SIN(RADIANS('原图数据'!E16))-12)+SQRT('原图数据'!C16^2+(9/SIN(RADIANS('原图数据'!E16)))^2)</x:f>
        <x:v>309.2442156730388</x:v>
      </x:c>
      <x:c r="P62" s="15" t="n">
        <x:f>O62-L62</x:f>
        <x:v>45</x:v>
      </x:c>
    </x:row>
    <x:row r="63" ht="24" customHeight="1">
      <x:c r="A63" s="2" t="str">
        <x:f>'原图数据'!B83</x:f>
        <x:v>4#墩右侧</x:v>
      </x:c>
      <x:c r="B63" s="2" t="str">
        <x:f>'原图数据'!C83</x:f>
        <x:v>2a</x:v>
      </x:c>
      <x:c r="C63" s="2" t="n">
        <x:f>'原图数据'!D83</x:f>
        <x:v>22</x:v>
      </x:c>
      <x:c r="D63" s="14" t="n">
        <x:f>'原图数据'!E83</x:f>
        <x:v>164</x:v>
      </x:c>
      <x:c r="E63" s="2" t="n">
        <x:f>'原图数据'!F83</x:f>
        <x:v>20</x:v>
      </x:c>
      <x:c r="F63" s="14" t="n">
        <x:f>'原图数据'!G83</x:f>
        <x:v>32.8</x:v>
      </x:c>
      <x:c r="G63" s="16" t="n">
        <x:f>D63*E63/100</x:f>
        <x:v>32.8</x:v>
      </x:c>
      <x:c r="H63" s="16" t="n">
        <x:f>G63-F63</x:f>
        <x:v>0</x:v>
      </x:c>
      <x:c r="I63" s="14" t="n">
        <x:f>'原图数据'!H83</x:f>
        <x:v>97.9</x:v>
      </x:c>
      <x:c r="J63" s="16" t="n">
        <x:f>G63*IF(C63=22,$B$4,$D$4)</x:f>
        <x:v>97.74399999999999</x:v>
      </x:c>
      <x:c r="K63" s="16" t="n">
        <x:f>J63-I63</x:f>
        <x:v>-0.15600000000002012</x:v>
      </x:c>
      <x:c r="L63" s="16" t="n">
        <x:f>120+22+22</x:f>
        <x:v>164</x:v>
      </x:c>
      <x:c r="M63" s="16" t="n">
        <x:f>L63-D63</x:f>
        <x:v>0</x:v>
      </x:c>
      <x:c r="N63" s="2" t="str">
        <x:f>IF(ABS(M63)&lt;=0.051,"与总长公式相符","需检查")</x:f>
        <x:v>与总长公式相符</x:v>
      </x:c>
      <x:c r="O63" s="16" t="n">
        <x:f>120+22+22</x:f>
        <x:v>164</x:v>
      </x:c>
      <x:c r="P63" s="16" t="n">
        <x:f>O63-L63</x:f>
        <x:v>0</x:v>
      </x:c>
    </x:row>
    <x:row r="64" ht="24" customHeight="1">
      <x:c r="A64" s="12" t="str">
        <x:f>'原图数据'!B84</x:f>
        <x:v>4#墩右侧</x:v>
      </x:c>
      <x:c r="B64" s="12" t="str">
        <x:f>'原图数据'!C84</x:f>
        <x:v>3a</x:v>
      </x:c>
      <x:c r="C64" s="12" t="n">
        <x:f>'原图数据'!D84</x:f>
        <x:v>10</x:v>
      </x:c>
      <x:c r="D64" s="13" t="n">
        <x:f>'原图数据'!E84</x:f>
        <x:v>208</x:v>
      </x:c>
      <x:c r="E64" s="12" t="n">
        <x:f>'原图数据'!F84</x:f>
        <x:v>6</x:v>
      </x:c>
      <x:c r="F64" s="13" t="n">
        <x:f>'原图数据'!G84</x:f>
        <x:v>12.5</x:v>
      </x:c>
      <x:c r="G64" s="15" t="n">
        <x:f>D64*E64/100</x:f>
        <x:v>12.48</x:v>
      </x:c>
      <x:c r="H64" s="15" t="n">
        <x:f>G64-F64</x:f>
        <x:v>-0.019999999999999574</x:v>
      </x:c>
      <x:c r="I64" s="13" t="n">
        <x:f>'原图数据'!H84</x:f>
        <x:v>7.7</x:v>
      </x:c>
      <x:c r="J64" s="15" t="n">
        <x:f>G64*IF(C64=22,$B$4,$D$4)</x:f>
        <x:v>7.70016</x:v>
      </x:c>
      <x:c r="K64" s="15" t="n">
        <x:f>J64-I64</x:f>
        <x:v>0.00016000000000016001</x:v>
      </x:c>
      <x:c r="L64" s="15" t="n">
        <x:f>20+('原图数据'!D16-12)/SIN(RADIANS('原图数据'!E16))</x:f>
        <x:v>208</x:v>
      </x:c>
      <x:c r="M64" s="15" t="n">
        <x:f>L64-D64</x:f>
        <x:v>0</x:v>
      </x:c>
      <x:c r="N64" s="12" t="str">
        <x:f>IF(ABS(M64)&lt;=0.051,"与总长公式相符","需检查")</x:f>
        <x:v>与总长公式相符</x:v>
      </x:c>
      <x:c r="O64" s="15"/>
      <x:c r="P64" s="15"/>
    </x:row>
    <x:row r="65" ht="24" customHeight="1">
      <x:c r="A65" s="2" t="str">
        <x:f>'原图数据'!B85</x:f>
        <x:v>4#墩右侧</x:v>
      </x:c>
      <x:c r="B65" s="2" t="str">
        <x:f>'原图数据'!C85</x:f>
        <x:v>4a</x:v>
      </x:c>
      <x:c r="C65" s="2" t="n">
        <x:f>'原图数据'!D85</x:f>
        <x:v>10</x:v>
      </x:c>
      <x:c r="D65" s="14" t="n">
        <x:f>'原图数据'!E85</x:f>
        <x:v>208.7</x:v>
      </x:c>
      <x:c r="E65" s="2" t="n">
        <x:f>'原图数据'!F85</x:f>
        <x:v>3</x:v>
      </x:c>
      <x:c r="F65" s="14" t="n">
        <x:f>'原图数据'!G85</x:f>
        <x:v>6.3</x:v>
      </x:c>
      <x:c r="G65" s="16" t="n">
        <x:f>D65*E65/100</x:f>
        <x:v>6.260999999999999</x:v>
      </x:c>
      <x:c r="H65" s="16" t="n">
        <x:f>G65-F65</x:f>
        <x:v>-0.03900000000000059</x:v>
      </x:c>
      <x:c r="I65" s="14" t="n">
        <x:f>'原图数据'!H85</x:f>
        <x:v>3.9</x:v>
      </x:c>
      <x:c r="J65" s="16" t="n">
        <x:f>G65*IF(C65=22,$B$4,$D$4)</x:f>
        <x:v>3.8630369999999994</x:v>
      </x:c>
      <x:c r="K65" s="16" t="n">
        <x:f>J65-I65</x:f>
        <x:v>-0.03696300000000052</x:v>
      </x:c>
      <x:c r="L65" s="16" t="n">
        <x:f>20+('原图数据'!D16/2-6)/SIN(RADIANS('原图数据'!I16))+('原图数据'!D16/2-6)/SIN(RADIANS('原图数据'!J16))</x:f>
        <x:v>208.72075599806507</x:v>
      </x:c>
      <x:c r="M65" s="16" t="n">
        <x:f>L65-D65</x:f>
        <x:v>0.020755998065084214</x:v>
      </x:c>
      <x:c r="N65" s="2" t="str">
        <x:f>IF(ABS(M65)&lt;=0.051,"与总长公式相符","需检查")</x:f>
        <x:v>与总长公式相符</x:v>
      </x:c>
      <x:c r="O65" s="16"/>
      <x:c r="P65" s="16"/>
    </x:row>
    <x:row r="66" ht="24" customHeight="1">
      <x:c r="A66" s="12" t="str">
        <x:f>'原图数据'!B86</x:f>
        <x:v>4#墩右侧</x:v>
      </x:c>
      <x:c r="B66" s="12" t="str">
        <x:f>'原图数据'!C86</x:f>
        <x:v>5a</x:v>
      </x:c>
      <x:c r="C66" s="12" t="n">
        <x:f>'原图数据'!D86</x:f>
        <x:v>10</x:v>
      </x:c>
      <x:c r="D66" s="13" t="n">
        <x:f>'原图数据'!E86</x:f>
        <x:v>486.9</x:v>
      </x:c>
      <x:c r="E66" s="12" t="n">
        <x:f>'原图数据'!F86</x:f>
        <x:v>11</x:v>
      </x:c>
      <x:c r="F66" s="13" t="n">
        <x:f>'原图数据'!G86</x:f>
        <x:v>53.6</x:v>
      </x:c>
      <x:c r="G66" s="15" t="n">
        <x:f>D66*E66/100</x:f>
        <x:v>53.559</x:v>
      </x:c>
      <x:c r="H66" s="15" t="n">
        <x:f>G66-F66</x:f>
        <x:v>-0.04100000000000392</x:v>
      </x:c>
      <x:c r="I66" s="13" t="n">
        <x:f>'原图数据'!H86</x:f>
        <x:v>33</x:v>
      </x:c>
      <x:c r="J66" s="15" t="n">
        <x:f>G66*IF(C66=22,$B$4,$D$4)</x:f>
        <x:v>33.045902999999996</x:v>
      </x:c>
      <x:c r="K66" s="15" t="n">
        <x:f>J66-I66</x:f>
        <x:v>0.045902999999995586</x:v>
      </x:c>
      <x:c r="L66" s="15" t="n">
        <x:f>('原图数据'!D16/2-6)/SIN(RADIANS('原图数据'!I16))+('原图数据'!D16/2-6)/SIN(RADIANS('原图数据'!J16))+('原图数据'!D16-12)/SIN(RADIANS('原图数据'!E16))+'原图数据'!F16+'原图数据'!G16+12</x:f>
        <x:v>486.9207559980651</x:v>
      </x:c>
      <x:c r="M66" s="15" t="n">
        <x:f>L66-D66</x:f>
        <x:v>0.020755998065112635</x:v>
      </x:c>
      <x:c r="N66" s="12" t="str">
        <x:f>IF(ABS(M66)&lt;=0.051,"与总长公式相符","需检查")</x:f>
        <x:v>与总长公式相符</x:v>
      </x:c>
      <x:c r="O66" s="15" t="n">
        <x:f>('原图数据'!D16/2-6)/SIN(RADIANS('原图数据'!I16))+('原图数据'!D16/2-6)/SIN(RADIANS('原图数据'!J16))+('原图数据'!D16-12)/SIN(RADIANS('原图数据'!E16))+'原图数据'!F16-9+'原图数据'!G16-9+10+10</x:f>
        <x:v>476.9207559980651</x:v>
      </x:c>
      <x:c r="P66" s="15" t="n">
        <x:f>O66-L66</x:f>
        <x:v>-10</x:v>
      </x:c>
    </x:row>
    <x:row r="67" ht="24" customHeight="1">
      <x:c r="A67" s="2" t="str">
        <x:f>'原图数据'!B87</x:f>
        <x:v>4#墩右侧</x:v>
      </x:c>
      <x:c r="B67" s="2" t="str">
        <x:f>'原图数据'!C87</x:f>
        <x:v>6a</x:v>
      </x:c>
      <x:c r="C67" s="2" t="n">
        <x:f>'原图数据'!D87</x:f>
        <x:v>10</x:v>
      </x:c>
      <x:c r="D67" s="14" t="n">
        <x:f>'原图数据'!E87</x:f>
        <x:v>477.9</x:v>
      </x:c>
      <x:c r="E67" s="2" t="n">
        <x:f>'原图数据'!F87</x:f>
        <x:v>2</x:v>
      </x:c>
      <x:c r="F67" s="14" t="n">
        <x:f>'原图数据'!G87</x:f>
        <x:v>9.6</x:v>
      </x:c>
      <x:c r="G67" s="16" t="n">
        <x:f>D67*E67/100</x:f>
        <x:v>9.558</x:v>
      </x:c>
      <x:c r="H67" s="16" t="n">
        <x:f>G67-F67</x:f>
        <x:v>-0.041999999999999815</x:v>
      </x:c>
      <x:c r="I67" s="14" t="n">
        <x:f>'原图数据'!H87</x:f>
        <x:v>5.9</x:v>
      </x:c>
      <x:c r="J67" s="16" t="n">
        <x:f>G67*IF(C67=22,$B$4,$D$4)</x:f>
        <x:v>5.897286</x:v>
      </x:c>
      <x:c r="K67" s="16" t="n">
        <x:f>J67-I67</x:f>
        <x:v>-0.0027140000000001052</x:v>
      </x:c>
      <x:c r="L67" s="16" t="n">
        <x:f>('原图数据'!D16/2-6)/SIN(RADIANS('原图数据'!I16))+('原图数据'!D16/2-6)/SIN(RADIANS('原图数据'!J16))+('原图数据'!D16-12)/SIN(RADIANS('原图数据'!E16))+'原图数据'!F16+'原图数据'!G16-9/SIN(RADIANS('原图数据'!E16))+12</x:f>
        <x:v>477.9207559980651</x:v>
      </x:c>
      <x:c r="M67" s="16" t="n">
        <x:f>L67-D67</x:f>
        <x:v>0.020755998065112635</x:v>
      </x:c>
      <x:c r="N67" s="2" t="str">
        <x:f>IF(ABS(M67)&lt;=0.051,"与总长公式相符","需检查")</x:f>
        <x:v>与总长公式相符</x:v>
      </x:c>
      <x:c r="O67" s="16" t="n">
        <x:f>('原图数据'!D16/2-6)/SIN(RADIANS('原图数据'!I16))+('原图数据'!D16/2-6)/SIN(RADIANS('原图数据'!J16))+('原图数据'!D16-12)/SIN(RADIANS('原图数据'!E16))+'原图数据'!F16-9+'原图数据'!G16-9+10+10-9/SIN(RADIANS('原图数据'!E16))</x:f>
        <x:v>467.9207559980651</x:v>
      </x:c>
      <x:c r="P67" s="16" t="n">
        <x:f>O67-L67</x:f>
        <x:v>-10</x:v>
      </x:c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</x:row>
    <x:row r="70" ht="24" customHeight="1">
      <x:c r="A70" s="4" t="str">
        <x:v>1a分段：117＋(117－h)＋22＋22＋[均(B1+B2+B3)/3－9/sinβ－12]＋斜段。其常数项266与总长公式221相差45cm。</x:v>
      </x:c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</x:row>
    <x:row r="71" ht="24" customHeight="1">
      <x:c r="A71" s="4" t="str">
        <x:v>5a/6a分段：图示端边扣9+9，两个钩各10，合计常数应为+2；总长公式写+12，差10cm。若另含搭接/弯曲规则，需注明。</x:v>
      </x:c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</x:row>
  </x:sheetData>
  <x:conditionalFormatting sqref="P8:P67">
    <x:cfRule type="expression" dxfId="0" priority="1">
      <x:formula>ABS(P8)&gt;0.051</x:formula>
    </x:cfRule>
  </x:conditionalFormatting>
  <x:conditionalFormatting sqref="N8:N67">
    <x:cfRule type="containsText" dxfId="1" priority="2" operator="containsText" text="需检查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03B5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1" hidden="0" customWidth="1"/>
    <x:col min="8" max="8" width="18" hidden="0" customWidth="1"/>
    <x:col min="9" max="9" width="17" hidden="0" customWidth="1"/>
    <x:col min="10" max="10" width="17" hidden="0" customWidth="1"/>
    <x:col min="11" max="11" width="24" hidden="0" customWidth="1"/>
    <x:col min="12" max="12" width="18" hidden="0" customWidth="1"/>
    <x:col min="13" max="13" width="6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2" customHeight="1">
      <x:c r="A2" s="3" t="str">
        <x:v>尺寸与角度闭合复核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4" customHeight="1">
      <x:c r="A3" s="4" t="str">
        <x:v>按β=90°、图示两段各B0/2推导。中点宽=B1+(B0/2)cotα；终点宽=中点宽－(B0/2)cotγ。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4" customHeight="1">
      <x:c r="A4" s="4" t="str">
        <x:v>对照B2/B3两种位置口径；角度、尺寸均为显示值，约0.1～0.2cm小差不直接判错。数厘米差需回查放样定义。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40" customHeight="1">
      <x:c r="A6" s="8" t="str">
        <x:v>部位</x:v>
      </x:c>
      <x:c r="B6" s="8" t="str">
        <x:v>B1 cm</x:v>
      </x:c>
      <x:c r="C6" s="8" t="str">
        <x:v>B2 cm</x:v>
      </x:c>
      <x:c r="D6" s="8" t="str">
        <x:v>B3 cm</x:v>
      </x:c>
      <x:c r="E6" s="8" t="str">
        <x:v>α°</x:v>
      </x:c>
      <x:c r="F6" s="8" t="str">
        <x:v>γ°</x:v>
      </x:c>
      <x:c r="G6" s="8" t="str">
        <x:v>B0 cm</x:v>
      </x:c>
      <x:c r="H6" s="8" t="str">
        <x:v>α推中点宽cm</x:v>
      </x:c>
      <x:c r="I6" s="8" t="str">
        <x:v>中点－B2 cm</x:v>
      </x:c>
      <x:c r="J6" s="8" t="str">
        <x:v>中点－B3 cm</x:v>
      </x:c>
      <x:c r="K6" s="8" t="str">
        <x:v>以B2为中点推终点cm</x:v>
      </x:c>
      <x:c r="L6" s="8" t="str">
        <x:v>终点－B3 cm</x:v>
      </x:c>
      <x:c r="M6" s="8" t="str">
        <x:v>判读</x:v>
      </x:c>
    </x:row>
    <x:row r="7" ht="55" customHeight="1">
      <x:c r="A7" s="2" t="str">
        <x:f>'原图数据'!A7</x:f>
        <x:v>1#墩左侧</x:v>
      </x:c>
      <x:c r="B7" s="14" t="n">
        <x:f>'原图数据'!F7</x:f>
        <x:v>47.5</x:v>
      </x:c>
      <x:c r="C7" s="14" t="n">
        <x:f>'原图数据'!G7</x:f>
        <x:v>48.7</x:v>
      </x:c>
      <x:c r="D7" s="14" t="n">
        <x:f>'原图数据'!H7</x:f>
        <x:v>46</x:v>
      </x:c>
      <x:c r="E7" s="14" t="n">
        <x:f>'原图数据'!I7</x:f>
        <x:v>89.3</x:v>
      </x:c>
      <x:c r="F7" s="14" t="n">
        <x:f>'原图数据'!J7</x:f>
        <x:v>88.5</x:v>
      </x:c>
      <x:c r="G7" s="14" t="n">
        <x:f>'原图数据'!D7</x:f>
        <x:v>200</x:v>
      </x:c>
      <x:c r="H7" s="16" t="n">
        <x:f>B7+G7/2/TAN(RADIANS(E7))</x:f>
        <x:v>48.72179126622179</x:v>
      </x:c>
      <x:c r="I7" s="16" t="n">
        <x:f>H7-C7</x:f>
        <x:v>0.02179126622178984</x:v>
      </x:c>
      <x:c r="J7" s="16" t="n">
        <x:f>H7-D7</x:f>
        <x:v>2.7217912662217927</x:v>
      </x:c>
      <x:c r="K7" s="16" t="n">
        <x:f>C7-G7/2/TAN(RADIANS(F7))</x:f>
        <x:v>46.08140784308131</x:v>
      </x:c>
      <x:c r="L7" s="16" t="n">
        <x:f>K7-D7</x:f>
        <x:v>0.08140784308130833</x:v>
      </x:c>
      <x:c r="M7" s="17" t="str">
        <x:v>主平面将B3标在中点、B2标在终点；角度反推却对应B2中点、B3终点，存在矛盾。</x:v>
      </x:c>
    </x:row>
    <x:row r="8" ht="55" customHeight="1">
      <x:c r="A8" s="12" t="str">
        <x:f>'原图数据'!A8</x:f>
        <x:v>1#墩右侧</x:v>
      </x:c>
      <x:c r="B8" s="13" t="n">
        <x:f>'原图数据'!F8</x:f>
        <x:v>46.1</x:v>
      </x:c>
      <x:c r="C8" s="13" t="n">
        <x:f>'原图数据'!G8</x:f>
        <x:v>45</x:v>
      </x:c>
      <x:c r="D8" s="13" t="n">
        <x:f>'原图数据'!H8</x:f>
        <x:v>47.2</x:v>
      </x:c>
      <x:c r="E8" s="13" t="n">
        <x:f>'原图数据'!I8</x:f>
        <x:v>90.7</x:v>
      </x:c>
      <x:c r="F8" s="13" t="n">
        <x:f>'原图数据'!J8</x:f>
        <x:v>91.2</x:v>
      </x:c>
      <x:c r="G8" s="13" t="n">
        <x:f>'原图数据'!D8</x:f>
        <x:v>200</x:v>
      </x:c>
      <x:c r="H8" s="15" t="n">
        <x:f>B8+G8/2/TAN(RADIANS(E8))</x:f>
        <x:v>44.87820873377822</x:v>
      </x:c>
      <x:c r="I8" s="15" t="n">
        <x:f>H8-C8</x:f>
        <x:v>-0.12179126622177705</x:v>
      </x:c>
      <x:c r="J8" s="15" t="n">
        <x:f>H8-D8</x:f>
        <x:v>-2.32179126622178</x:v>
      </x:c>
      <x:c r="K8" s="15" t="n">
        <x:f>C8-G8/2/TAN(RADIANS(F8))</x:f>
        <x:v>47.094701390966016</x:v>
      </x:c>
      <x:c r="L8" s="15" t="n">
        <x:f>K8-D8</x:f>
        <x:v>-0.10529860903398713</x:v>
      </x:c>
      <x:c r="M8" s="18" t="str">
        <x:v>主平面将B3标在中点、B2标在终点；角度反推却对应B2中点、B3终点，存在矛盾。</x:v>
      </x:c>
    </x:row>
    <x:row r="9" ht="55" customHeight="1">
      <x:c r="A9" s="2" t="str">
        <x:f>'原图数据'!A9</x:f>
        <x:v>2#墩小里程左侧</x:v>
      </x:c>
      <x:c r="B9" s="14" t="n">
        <x:f>'原图数据'!F9</x:f>
        <x:v>45</x:v>
      </x:c>
      <x:c r="C9" s="14" t="n">
        <x:f>'原图数据'!G9</x:f>
        <x:v>46.7</x:v>
      </x:c>
      <x:c r="D9" s="14" t="n">
        <x:f>'原图数据'!H9</x:f>
        <x:v>48.4</x:v>
      </x:c>
      <x:c r="E9" s="14" t="n">
        <x:f>'原图数据'!I9</x:f>
        <x:v>88</x:v>
      </x:c>
      <x:c r="F9" s="14" t="n">
        <x:f>'原图数据'!J9</x:f>
        <x:v>92</x:v>
      </x:c>
      <x:c r="G9" s="14" t="n">
        <x:f>'原图数据'!D9</x:f>
        <x:v>100</x:v>
      </x:c>
      <x:c r="H9" s="16" t="n">
        <x:f>B9+G9/2/TAN(RADIANS(E9))</x:f>
        <x:v>46.746038474587394</x:v>
      </x:c>
      <x:c r="I9" s="16" t="n">
        <x:f>H9-C9</x:f>
        <x:v>0.046038474587390965</x:v>
      </x:c>
      <x:c r="J9" s="16" t="n">
        <x:f>H9-D9</x:f>
        <x:v>-1.6539615254126048</x:v>
      </x:c>
      <x:c r="K9" s="16" t="n">
        <x:f>C9-G9/2/TAN(RADIANS(F9))</x:f>
        <x:v>48.446038474587375</x:v>
      </x:c>
      <x:c r="L9" s="16" t="n">
        <x:f>K9-D9</x:f>
        <x:v>0.046038474587376754</x:v>
      </x:c>
      <x:c r="M9" s="17" t="str">
        <x:v>分段左侧平面将B2标在段内、B3标在内端；通用详图却以B3为中点，需专门定义。</x:v>
      </x:c>
    </x:row>
    <x:row r="10" ht="55" customHeight="1">
      <x:c r="A10" s="12" t="str">
        <x:f>'原图数据'!A10</x:f>
        <x:v>2#墩大里程左侧</x:v>
      </x:c>
      <x:c r="B10" s="13" t="n">
        <x:f>'原图数据'!F10</x:f>
        <x:v>54</x:v>
      </x:c>
      <x:c r="C10" s="13" t="n">
        <x:f>'原图数据'!G10</x:f>
        <x:v>56.6</x:v>
      </x:c>
      <x:c r="D10" s="13" t="n">
        <x:f>'原图数据'!H10</x:f>
        <x:v>59.1</x:v>
      </x:c>
      <x:c r="E10" s="13" t="n">
        <x:f>'原图数据'!I10</x:f>
        <x:v>87.1</x:v>
      </x:c>
      <x:c r="F10" s="13" t="n">
        <x:f>'原图数据'!J10</x:f>
        <x:v>92.9</x:v>
      </x:c>
      <x:c r="G10" s="13" t="n">
        <x:f>'原图数据'!D10</x:f>
        <x:v>100</x:v>
      </x:c>
      <x:c r="H10" s="15" t="n">
        <x:f>B10+G10/2/TAN(RADIANS(E10))</x:f>
        <x:v>56.53289073215505</x:v>
      </x:c>
      <x:c r="I10" s="15" t="n">
        <x:f>H10-C10</x:f>
        <x:v>-0.0671092678449483</x:v>
      </x:c>
      <x:c r="J10" s="15" t="n">
        <x:f>H10-D10</x:f>
        <x:v>-2.5671092678449483</x:v>
      </x:c>
      <x:c r="K10" s="15" t="n">
        <x:f>C10-G10/2/TAN(RADIANS(F10))</x:f>
        <x:v>59.13289073215505</x:v>
      </x:c>
      <x:c r="L10" s="15" t="n">
        <x:f>K10-D10</x:f>
        <x:v>0.03289073215504601</x:v>
      </x:c>
      <x:c r="M10" s="18" t="str">
        <x:v>分段左侧平面将B2标在段内、B3标在内端；通用详图却以B3为中点，需专门定义。</x:v>
      </x:c>
    </x:row>
    <x:row r="11" ht="55" customHeight="1">
      <x:c r="A11" s="2" t="str">
        <x:f>'原图数据'!A11</x:f>
        <x:v>2#墩右侧</x:v>
      </x:c>
      <x:c r="B11" s="14" t="n">
        <x:f>'原图数据'!F11</x:f>
        <x:v>48.9</x:v>
      </x:c>
      <x:c r="C11" s="14" t="n">
        <x:f>'原图数据'!G11</x:f>
        <x:v>45</x:v>
      </x:c>
      <x:c r="D11" s="14" t="n">
        <x:f>'原图数据'!H11</x:f>
        <x:v>49.6</x:v>
      </x:c>
      <x:c r="E11" s="14" t="n">
        <x:f>'原图数据'!I11</x:f>
        <x:v>92.2</x:v>
      </x:c>
      <x:c r="F11" s="14" t="n">
        <x:f>'原图数据'!J11</x:f>
        <x:v>92.6</x:v>
      </x:c>
      <x:c r="G11" s="14" t="n">
        <x:f>'原图数据'!D11</x:f>
        <x:v>200</x:v>
      </x:c>
      <x:c r="H11" s="16" t="n">
        <x:f>B11+G11/2/TAN(RADIANS(E11))</x:f>
        <x:v>45.05838750171877</x:v>
      </x:c>
      <x:c r="I11" s="16" t="n">
        <x:f>H11-C11</x:f>
        <x:v>0.058387501718769386</x:v>
      </x:c>
      <x:c r="J11" s="16" t="n">
        <x:f>H11-D11</x:f>
        <x:v>-4.541612498281232</x:v>
      </x:c>
      <x:c r="K11" s="16" t="n">
        <x:f>C11-G11/2/TAN(RADIANS(F11))</x:f>
        <x:v>49.54097342815186</x:v>
      </x:c>
      <x:c r="L11" s="16" t="n">
        <x:f>K11-D11</x:f>
        <x:v>-0.059026571848143305</x:v>
      </x:c>
      <x:c r="M11" s="17" t="str">
        <x:v>主平面将B3标在中点、B2标在终点；角度反推却对应B2中点、B3终点，存在矛盾。</x:v>
      </x:c>
    </x:row>
    <x:row r="12" ht="55" customHeight="1">
      <x:c r="A12" s="12" t="str">
        <x:f>'原图数据'!A12</x:f>
        <x:v>3#墩小里程左侧</x:v>
      </x:c>
      <x:c r="B12" s="13" t="n">
        <x:f>'原图数据'!F12</x:f>
        <x:v>45.1</x:v>
      </x:c>
      <x:c r="C12" s="13" t="n">
        <x:f>'原图数据'!G12</x:f>
        <x:v>48</x:v>
      </x:c>
      <x:c r="D12" s="13" t="n">
        <x:f>'原图数据'!H12</x:f>
        <x:v>51</x:v>
      </x:c>
      <x:c r="E12" s="13" t="n">
        <x:f>'原图数据'!I12</x:f>
        <x:v>86.6</x:v>
      </x:c>
      <x:c r="F12" s="13" t="n">
        <x:f>'原图数据'!J12</x:f>
        <x:v>93.4</x:v>
      </x:c>
      <x:c r="G12" s="13" t="n">
        <x:f>'原图数据'!D12</x:f>
        <x:v>100</x:v>
      </x:c>
      <x:c r="H12" s="15" t="n">
        <x:f>B12+G12/2/TAN(RADIANS(E12))</x:f>
        <x:v>48.070547353300505</x:v>
      </x:c>
      <x:c r="I12" s="15" t="n">
        <x:f>H12-C12</x:f>
        <x:v>0.07054735330050477</x:v>
      </x:c>
      <x:c r="J12" s="15" t="n">
        <x:f>H12-D12</x:f>
        <x:v>-2.9294526466994952</x:v>
      </x:c>
      <x:c r="K12" s="15" t="n">
        <x:f>C12-G12/2/TAN(RADIANS(F12))</x:f>
        <x:v>50.9705473533005</x:v>
      </x:c>
      <x:c r="L12" s="15" t="n">
        <x:f>K12-D12</x:f>
        <x:v>-0.029452646699496654</x:v>
      </x:c>
      <x:c r="M12" s="18" t="str">
        <x:v>分段左侧平面将B2标在段内、B3标在内端；通用详图却以B3为中点，需专门定义。</x:v>
      </x:c>
    </x:row>
    <x:row r="13" ht="55" customHeight="1">
      <x:c r="A13" s="2" t="str">
        <x:f>'原图数据'!A13</x:f>
        <x:v>3#墩大里程左侧</x:v>
      </x:c>
      <x:c r="B13" s="14" t="n">
        <x:f>'原图数据'!F13</x:f>
        <x:v>53.4</x:v>
      </x:c>
      <x:c r="C13" s="14" t="n">
        <x:f>'原图数据'!G13</x:f>
        <x:v>57.1</x:v>
      </x:c>
      <x:c r="D13" s="14" t="n">
        <x:f>'原图数据'!H13</x:f>
        <x:v>60.8</x:v>
      </x:c>
      <x:c r="E13" s="14" t="n">
        <x:f>'原图数据'!I13</x:f>
        <x:v>85.7</x:v>
      </x:c>
      <x:c r="F13" s="14" t="n">
        <x:f>'原图数据'!J13</x:f>
        <x:v>94.3</x:v>
      </x:c>
      <x:c r="G13" s="14" t="n">
        <x:f>'原图数据'!D13</x:f>
        <x:v>100</x:v>
      </x:c>
      <x:c r="H13" s="16" t="n">
        <x:f>B13+G13/2/TAN(RADIANS(E13))</x:f>
        <x:v>57.15951888498742</x:v>
      </x:c>
      <x:c r="I13" s="16" t="n">
        <x:f>H13-C13</x:f>
        <x:v>0.059518884987419085</x:v>
      </x:c>
      <x:c r="J13" s="16" t="n">
        <x:f>H13-D13</x:f>
        <x:v>-3.6404811150125767</x:v>
      </x:c>
      <x:c r="K13" s="16" t="n">
        <x:f>C13-G13/2/TAN(RADIANS(F13))</x:f>
        <x:v>60.85951888498743</x:v>
      </x:c>
      <x:c r="L13" s="16" t="n">
        <x:f>K13-D13</x:f>
        <x:v>0.059518884987433296</x:v>
      </x:c>
      <x:c r="M13" s="17" t="str">
        <x:v>分段左侧平面将B2标在段内、B3标在内端；通用详图却以B3为中点，需专门定义。</x:v>
      </x:c>
    </x:row>
    <x:row r="14" ht="55" customHeight="1">
      <x:c r="A14" s="12" t="str">
        <x:f>'原图数据'!A14</x:f>
        <x:v>3#墩右侧</x:v>
      </x:c>
      <x:c r="B14" s="13" t="n">
        <x:f>'原图数据'!F14</x:f>
        <x:v>51.4</x:v>
      </x:c>
      <x:c r="C14" s="13" t="n">
        <x:f>'原图数据'!G14</x:f>
        <x:v>45</x:v>
      </x:c>
      <x:c r="D14" s="13" t="n">
        <x:f>'原图数据'!H14</x:f>
        <x:v>52.6</x:v>
      </x:c>
      <x:c r="E14" s="13" t="n">
        <x:f>'原图数据'!I14</x:f>
        <x:v>93.6</x:v>
      </x:c>
      <x:c r="F14" s="13" t="n">
        <x:f>'原图数据'!J14</x:f>
        <x:v>94.3</x:v>
      </x:c>
      <x:c r="G14" s="13" t="n">
        <x:f>'原图数据'!D14</x:f>
        <x:v>200</x:v>
      </x:c>
      <x:c r="H14" s="15" t="n">
        <x:f>B14+G14/2/TAN(RADIANS(E14))</x:f>
        <x:v>45.10853327463504</x:v>
      </x:c>
      <x:c r="I14" s="15" t="n">
        <x:f>H14-C14</x:f>
        <x:v>0.10853327463504314</x:v>
      </x:c>
      <x:c r="J14" s="15" t="n">
        <x:f>H14-D14</x:f>
        <x:v>-7.491466725364958</x:v>
      </x:c>
      <x:c r="K14" s="15" t="n">
        <x:f>C14-G14/2/TAN(RADIANS(F14))</x:f>
        <x:v>52.51903776997485</x:v>
      </x:c>
      <x:c r="L14" s="15" t="n">
        <x:f>K14-D14</x:f>
        <x:v>-0.08096223002515046</x:v>
      </x:c>
      <x:c r="M14" s="18" t="str">
        <x:v>主平面将B3标在中点、B2标在终点；角度反推却对应B2中点、B3终点，存在矛盾。</x:v>
      </x:c>
    </x:row>
    <x:row r="15" ht="55" customHeight="1">
      <x:c r="A15" s="2" t="str">
        <x:f>'原图数据'!A15</x:f>
        <x:v>4#墩左侧</x:v>
      </x:c>
      <x:c r="B15" s="14" t="n">
        <x:f>'原图数据'!F15</x:f>
        <x:v>45.1</x:v>
      </x:c>
      <x:c r="C15" s="14" t="n">
        <x:f>'原图数据'!G15</x:f>
        <x:v>53.4</x:v>
      </x:c>
      <x:c r="D15" s="14" t="n">
        <x:f>'原图数据'!H15</x:f>
        <x:v>44.1</x:v>
      </x:c>
      <x:c r="E15" s="14" t="n">
        <x:f>'原图数据'!I15</x:f>
        <x:v>85.3</x:v>
      </x:c>
      <x:c r="F15" s="14" t="n">
        <x:f>'原图数据'!J15</x:f>
        <x:v>84.7</x:v>
      </x:c>
      <x:c r="G15" s="14" t="n">
        <x:f>'原图数据'!D15</x:f>
        <x:v>200</x:v>
      </x:c>
      <x:c r="H15" s="16" t="n">
        <x:f>B15+G15/2/TAN(RADIANS(E15))</x:f>
        <x:v>53.32149657576526</x:v>
      </x:c>
      <x:c r="I15" s="16" t="n">
        <x:f>H15-C15</x:f>
        <x:v>-0.07850342423473933</x:v>
      </x:c>
      <x:c r="J15" s="16" t="n">
        <x:f>H15-D15</x:f>
        <x:v>9.221496575765258</x:v>
      </x:c>
      <x:c r="K15" s="16" t="n">
        <x:f>C15-G15/2/TAN(RADIANS(F15))</x:f>
        <x:v>44.123280479536874</x:v>
      </x:c>
      <x:c r="L15" s="16" t="n">
        <x:f>K15-D15</x:f>
        <x:v>0.02328047953687218</x:v>
      </x:c>
      <x:c r="M15" s="17" t="str">
        <x:v>主平面将B3标在中点、B2标在终点；角度反推却对应B2中点、B3终点，存在矛盾。</x:v>
      </x:c>
    </x:row>
    <x:row r="16" ht="55" customHeight="1">
      <x:c r="A16" s="12" t="str">
        <x:f>'原图数据'!A16</x:f>
        <x:v>4#墩右侧</x:v>
      </x:c>
      <x:c r="B16" s="13" t="n">
        <x:f>'原图数据'!F16</x:f>
        <x:v>53.2</x:v>
      </x:c>
      <x:c r="C16" s="13" t="n">
        <x:f>'原图数据'!G16</x:f>
        <x:v>45</x:v>
      </x:c>
      <x:c r="D16" s="13" t="n">
        <x:f>'原图数据'!H16</x:f>
        <x:v>54.3</x:v>
      </x:c>
      <x:c r="E16" s="13" t="n">
        <x:f>'原图数据'!I16</x:f>
        <x:v>94.7</x:v>
      </x:c>
      <x:c r="F16" s="13" t="n">
        <x:f>'原图数据'!J16</x:f>
        <x:v>95.3</x:v>
      </x:c>
      <x:c r="G16" s="13" t="n">
        <x:f>'原图数据'!D16</x:f>
        <x:v>200</x:v>
      </x:c>
      <x:c r="H16" s="15" t="n">
        <x:f>B16+G16/2/TAN(RADIANS(E16))</x:f>
        <x:v>44.97850342423478</x:v>
      </x:c>
      <x:c r="I16" s="15" t="n">
        <x:f>H16-C16</x:f>
        <x:v>-0.02149657576521946</x:v>
      </x:c>
      <x:c r="J16" s="15" t="n">
        <x:f>H16-D16</x:f>
        <x:v>-9.321496575765217</x:v>
      </x:c>
      <x:c r="K16" s="15" t="n">
        <x:f>C16-G16/2/TAN(RADIANS(F16))</x:f>
        <x:v>54.27671952046309</x:v>
      </x:c>
      <x:c r="L16" s="15" t="n">
        <x:f>K16-D16</x:f>
        <x:v>-0.023280479536907706</x:v>
      </x:c>
      <x:c r="M16" s="18" t="str">
        <x:v>主平面将B3标在中点、B2标在终点；角度反推却对应B2中点、B3终点，存在矛盾。</x:v>
      </x:c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24" customHeight="1">
      <x:c r="A19" s="4" t="str">
        <x:v>重点例：4#墩左侧。图示中点B3=44.1cm，但B1=45.1、α=85.3°推中点53.321cm；与44.1差9.221cm。</x:v>
      </x:c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24" customHeight="1">
      <x:c r="A20" s="4" t="str">
        <x:v>改以B2=53.4cm为中点，再由γ=84.7°推终点44.123cm，接近表列B3=44.1。说明B2/B3定义或角度存在错配。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 ht="24" customHeight="1">
      <x:c r="A21" s="4" t="str">
        <x:v>上述证据确定图内不能同时成立，但不能单凭本图决定是交换B2/B3、修改角度，还是修改轮廓。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03B56"/>
  </x:sheetPr>
  <x:sheetViews>
    <x:sheetView showGridLines="0" workbookViewId="0">
      <x:pane ySplit="27" topLeftCell="A28" activePane="bottomLeft" state="frozen"/>
    </x:sheetView>
  </x:sheetViews>
  <x:sheetFormatPr defaultRowHeight="15"/>
  <x:cols>
    <x:col min="1" max="1" width="25" hidden="0" customWidth="1"/>
    <x:col min="2" max="2" width="2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4" hidden="0" customWidth="1"/>
    <x:col min="8" max="8" width="15" hidden="0" customWidth="1"/>
    <x:col min="9" max="9" width="42" hidden="0" customWidth="1"/>
    <x:col min="10" max="10" width="10" hidden="0" customWidth="1"/>
    <x:col min="11" max="11" width="12" hidden="0" customWidth="1"/>
    <x:col min="12" max="12" width="11" hidden="0" customWidth="1"/>
    <x:col min="13" max="13" width="10" hidden="0" customWidth="1"/>
    <x:col min="14" max="14" width="14" hidden="0" customWidth="1"/>
    <x:col min="15" max="15" width="14" hidden="0" customWidth="1"/>
    <x:col min="16" max="16" width="1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32" customHeight="1">
      <x:c r="A2" s="3" t="str">
        <x:v>原图数据与复核口径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4" t="str">
        <x:v>唯一图纸来源：D:/MG/program/AI对比/ep1 识图/桥墩挡块.pdf；图号 S5-5(7)-15，共3页（印刷页码45—47），2026-10-17审查。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4" customHeight="1">
      <x:c r="A4" s="4" t="str">
        <x:v>图名：差干互通立交及服务区D匝道桥 桥墩防震挡块钢筋构造图。以下按原图录入，保留原值。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40" customHeight="1">
      <x:c r="A6" s="8" t="str">
        <x:v>部位</x:v>
      </x:c>
      <x:c r="B6" s="8" t="str">
        <x:v>H(cm)</x:v>
      </x:c>
      <x:c r="C6" s="8" t="str">
        <x:v>h(cm)</x:v>
      </x:c>
      <x:c r="D6" s="8" t="str">
        <x:v>B0(cm)</x:v>
      </x:c>
      <x:c r="E6" s="8" t="str">
        <x:v>β(°)</x:v>
      </x:c>
      <x:c r="F6" s="8" t="str">
        <x:v>B1(cm)</x:v>
      </x:c>
      <x:c r="G6" s="8" t="str">
        <x:v>B2(cm)</x:v>
      </x:c>
      <x:c r="H6" s="8" t="str">
        <x:v>B3(cm)</x:v>
      </x:c>
      <x:c r="I6" s="8" t="str">
        <x:v>α(°)</x:v>
      </x:c>
      <x:c r="J6" s="8" t="str">
        <x:v>γ(°)</x:v>
      </x:c>
      <x:c r="K6" s="8" t="str">
        <x:v>n0(原标根)</x:v>
      </x:c>
      <x:c r="L6" s="8" t="str">
        <x:v>m0(cm)</x:v>
      </x:c>
      <x:c r="M6" s="8" t="str">
        <x:v>数量(个)</x:v>
      </x:c>
      <x:c r="N6" s="8" t="str">
        <x:v>Φ22小计kg</x:v>
      </x:c>
      <x:c r="O6" s="8" t="str">
        <x:v>Φ10小计kg</x:v>
      </x:c>
      <x:c r="P6" s="8" t="str">
        <x:v>C35(m³)</x:v>
      </x:c>
    </x:row>
    <x:row r="7" ht="24" customHeight="1">
      <x:c r="A7" s="2" t="str">
        <x:v>1#墩左侧</x:v>
      </x:c>
      <x:c r="B7" s="10" t="n">
        <x:v>50</x:v>
      </x:c>
      <x:c r="C7" s="10" t="n">
        <x:v>28</x:v>
      </x:c>
      <x:c r="D7" s="10" t="n">
        <x:v>200</x:v>
      </x:c>
      <x:c r="E7" s="10" t="n">
        <x:v>90</x:v>
      </x:c>
      <x:c r="F7" s="10" t="n">
        <x:v>47.5</x:v>
      </x:c>
      <x:c r="G7" s="10" t="n">
        <x:v>48.7</x:v>
      </x:c>
      <x:c r="H7" s="10" t="n">
        <x:v>46</x:v>
      </x:c>
      <x:c r="I7" s="10" t="n">
        <x:v>89.3</x:v>
      </x:c>
      <x:c r="J7" s="10" t="n">
        <x:v>88.5</x:v>
      </x:c>
      <x:c r="K7" s="9" t="n">
        <x:v>17</x:v>
      </x:c>
      <x:c r="L7" s="9" t="n">
        <x:v>9</x:v>
      </x:c>
      <x:c r="M7" s="9" t="n">
        <x:v>1</x:v>
      </x:c>
      <x:c r="N7" s="10" t="n">
        <x:v>253.7</x:v>
      </x:c>
      <x:c r="O7" s="10" t="n">
        <x:v>50.3</x:v>
      </x:c>
      <x:c r="P7" s="11" t="n">
        <x:v>0.45</x:v>
      </x:c>
    </x:row>
    <x:row r="8" ht="24" customHeight="1">
      <x:c r="A8" s="2" t="str">
        <x:v>1#墩右侧</x:v>
      </x:c>
      <x:c r="B8" s="10" t="n">
        <x:v>50</x:v>
      </x:c>
      <x:c r="C8" s="10" t="n">
        <x:v>28</x:v>
      </x:c>
      <x:c r="D8" s="10" t="n">
        <x:v>200</x:v>
      </x:c>
      <x:c r="E8" s="10" t="n">
        <x:v>90</x:v>
      </x:c>
      <x:c r="F8" s="10" t="n">
        <x:v>46.1</x:v>
      </x:c>
      <x:c r="G8" s="10" t="n">
        <x:v>45</x:v>
      </x:c>
      <x:c r="H8" s="10" t="n">
        <x:v>47.2</x:v>
      </x:c>
      <x:c r="I8" s="10" t="n">
        <x:v>90.7</x:v>
      </x:c>
      <x:c r="J8" s="10" t="n">
        <x:v>91.2</x:v>
      </x:c>
      <x:c r="K8" s="9" t="n">
        <x:v>17</x:v>
      </x:c>
      <x:c r="L8" s="9" t="n">
        <x:v>9</x:v>
      </x:c>
      <x:c r="M8" s="9" t="n">
        <x:v>1</x:v>
      </x:c>
      <x:c r="N8" s="10" t="n">
        <x:v>252.9</x:v>
      </x:c>
      <x:c r="O8" s="10" t="n">
        <x:v>49.9</x:v>
      </x:c>
      <x:c r="P8" s="11" t="n">
        <x:v>0.44</x:v>
      </x:c>
    </x:row>
    <x:row r="9" ht="24" customHeight="1">
      <x:c r="A9" s="2" t="str">
        <x:v>2#墩小里程左侧</x:v>
      </x:c>
      <x:c r="B9" s="10" t="n">
        <x:v>50</x:v>
      </x:c>
      <x:c r="C9" s="10" t="n">
        <x:v>28</x:v>
      </x:c>
      <x:c r="D9" s="10" t="n">
        <x:v>100</x:v>
      </x:c>
      <x:c r="E9" s="10" t="n">
        <x:v>90</x:v>
      </x:c>
      <x:c r="F9" s="10" t="n">
        <x:v>45</x:v>
      </x:c>
      <x:c r="G9" s="10" t="n">
        <x:v>46.7</x:v>
      </x:c>
      <x:c r="H9" s="10" t="n">
        <x:v>48.4</x:v>
      </x:c>
      <x:c r="I9" s="10" t="n">
        <x:v>88</x:v>
      </x:c>
      <x:c r="J9" s="10" t="n">
        <x:v>92</x:v>
      </x:c>
      <x:c r="K9" s="9" t="n">
        <x:v>7</x:v>
      </x:c>
      <x:c r="L9" s="9" t="n">
        <x:v>9</x:v>
      </x:c>
      <x:c r="M9" s="9" t="n">
        <x:v>1</x:v>
      </x:c>
      <x:c r="N9" s="10" t="n">
        <x:v>126.7</x:v>
      </x:c>
      <x:c r="O9" s="10" t="n">
        <x:v>28.3</x:v>
      </x:c>
      <x:c r="P9" s="11" t="n">
        <x:v>0.22</x:v>
      </x:c>
    </x:row>
    <x:row r="10" ht="24" customHeight="1">
      <x:c r="A10" s="2" t="str">
        <x:v>2#墩大里程左侧</x:v>
      </x:c>
      <x:c r="B10" s="10" t="n">
        <x:v>50</x:v>
      </x:c>
      <x:c r="C10" s="10" t="n">
        <x:v>28</x:v>
      </x:c>
      <x:c r="D10" s="10" t="n">
        <x:v>100</x:v>
      </x:c>
      <x:c r="E10" s="10" t="n">
        <x:v>90</x:v>
      </x:c>
      <x:c r="F10" s="10" t="n">
        <x:v>54</x:v>
      </x:c>
      <x:c r="G10" s="10" t="n">
        <x:v>56.6</x:v>
      </x:c>
      <x:c r="H10" s="10" t="n">
        <x:v>59.1</x:v>
      </x:c>
      <x:c r="I10" s="10" t="n">
        <x:v>87.1</x:v>
      </x:c>
      <x:c r="J10" s="10" t="n">
        <x:v>92.9</x:v>
      </x:c>
      <x:c r="K10" s="9" t="n">
        <x:v>7</x:v>
      </x:c>
      <x:c r="L10" s="9" t="n">
        <x:v>9</x:v>
      </x:c>
      <x:c r="M10" s="9" t="n">
        <x:v>1</x:v>
      </x:c>
      <x:c r="N10" s="10" t="n">
        <x:v>129.6</x:v>
      </x:c>
      <x:c r="O10" s="10" t="n">
        <x:v>29.8</x:v>
      </x:c>
      <x:c r="P10" s="11" t="n">
        <x:v>0.27</x:v>
      </x:c>
    </x:row>
    <x:row r="11" ht="24" customHeight="1">
      <x:c r="A11" s="2" t="str">
        <x:v>2#墩右侧</x:v>
      </x:c>
      <x:c r="B11" s="10" t="n">
        <x:v>50</x:v>
      </x:c>
      <x:c r="C11" s="10" t="n">
        <x:v>28</x:v>
      </x:c>
      <x:c r="D11" s="10" t="n">
        <x:v>200</x:v>
      </x:c>
      <x:c r="E11" s="10" t="n">
        <x:v>90</x:v>
      </x:c>
      <x:c r="F11" s="10" t="n">
        <x:v>48.9</x:v>
      </x:c>
      <x:c r="G11" s="10" t="n">
        <x:v>45</x:v>
      </x:c>
      <x:c r="H11" s="10" t="n">
        <x:v>49.6</x:v>
      </x:c>
      <x:c r="I11" s="10" t="n">
        <x:v>92.2</x:v>
      </x:c>
      <x:c r="J11" s="10" t="n">
        <x:v>92.6</x:v>
      </x:c>
      <x:c r="K11" s="9" t="n">
        <x:v>17</x:v>
      </x:c>
      <x:c r="L11" s="9" t="n">
        <x:v>9</x:v>
      </x:c>
      <x:c r="M11" s="9" t="n">
        <x:v>1</x:v>
      </x:c>
      <x:c r="N11" s="10" t="n">
        <x:v>254</x:v>
      </x:c>
      <x:c r="O11" s="10" t="n">
        <x:v>50.1</x:v>
      </x:c>
      <x:c r="P11" s="11" t="n">
        <x:v>0.46</x:v>
      </x:c>
    </x:row>
    <x:row r="12" ht="24" customHeight="1">
      <x:c r="A12" s="2" t="str">
        <x:v>3#墩小里程左侧</x:v>
      </x:c>
      <x:c r="B12" s="10" t="n">
        <x:v>50</x:v>
      </x:c>
      <x:c r="C12" s="10" t="n">
        <x:v>28</x:v>
      </x:c>
      <x:c r="D12" s="10" t="n">
        <x:v>100</x:v>
      </x:c>
      <x:c r="E12" s="10" t="n">
        <x:v>90</x:v>
      </x:c>
      <x:c r="F12" s="10" t="n">
        <x:v>45.1</x:v>
      </x:c>
      <x:c r="G12" s="10" t="n">
        <x:v>48</x:v>
      </x:c>
      <x:c r="H12" s="10" t="n">
        <x:v>51</x:v>
      </x:c>
      <x:c r="I12" s="10" t="n">
        <x:v>86.6</x:v>
      </x:c>
      <x:c r="J12" s="10" t="n">
        <x:v>93.4</x:v>
      </x:c>
      <x:c r="K12" s="9" t="n">
        <x:v>7</x:v>
      </x:c>
      <x:c r="L12" s="9" t="n">
        <x:v>9</x:v>
      </x:c>
      <x:c r="M12" s="9" t="n">
        <x:v>1</x:v>
      </x:c>
      <x:c r="N12" s="10" t="n">
        <x:v>127</x:v>
      </x:c>
      <x:c r="O12" s="10" t="n">
        <x:v>28.4</x:v>
      </x:c>
      <x:c r="P12" s="11" t="n">
        <x:v>0.23</x:v>
      </x:c>
    </x:row>
    <x:row r="13" ht="24" customHeight="1">
      <x:c r="A13" s="2" t="str">
        <x:v>3#墩大里程左侧</x:v>
      </x:c>
      <x:c r="B13" s="10" t="n">
        <x:v>50</x:v>
      </x:c>
      <x:c r="C13" s="10" t="n">
        <x:v>28</x:v>
      </x:c>
      <x:c r="D13" s="10" t="n">
        <x:v>100</x:v>
      </x:c>
      <x:c r="E13" s="10" t="n">
        <x:v>90</x:v>
      </x:c>
      <x:c r="F13" s="10" t="n">
        <x:v>53.4</x:v>
      </x:c>
      <x:c r="G13" s="10" t="n">
        <x:v>57.1</x:v>
      </x:c>
      <x:c r="H13" s="10" t="n">
        <x:v>60.8</x:v>
      </x:c>
      <x:c r="I13" s="10" t="n">
        <x:v>85.7</x:v>
      </x:c>
      <x:c r="J13" s="10" t="n">
        <x:v>94.3</x:v>
      </x:c>
      <x:c r="K13" s="9" t="n">
        <x:v>7</x:v>
      </x:c>
      <x:c r="L13" s="9" t="n">
        <x:v>9</x:v>
      </x:c>
      <x:c r="M13" s="9" t="n">
        <x:v>1</x:v>
      </x:c>
      <x:c r="N13" s="10" t="n">
        <x:v>129.8</x:v>
      </x:c>
      <x:c r="O13" s="10" t="n">
        <x:v>29.9</x:v>
      </x:c>
      <x:c r="P13" s="11" t="n">
        <x:v>0.28</x:v>
      </x:c>
    </x:row>
    <x:row r="14" ht="24" customHeight="1">
      <x:c r="A14" s="2" t="str">
        <x:v>3#墩右侧</x:v>
      </x:c>
      <x:c r="B14" s="10" t="n">
        <x:v>50</x:v>
      </x:c>
      <x:c r="C14" s="10" t="n">
        <x:v>28</x:v>
      </x:c>
      <x:c r="D14" s="10" t="n">
        <x:v>200</x:v>
      </x:c>
      <x:c r="E14" s="10" t="n">
        <x:v>90</x:v>
      </x:c>
      <x:c r="F14" s="10" t="n">
        <x:v>51.4</x:v>
      </x:c>
      <x:c r="G14" s="10" t="n">
        <x:v>45</x:v>
      </x:c>
      <x:c r="H14" s="10" t="n">
        <x:v>52.6</x:v>
      </x:c>
      <x:c r="I14" s="10" t="n">
        <x:v>93.6</x:v>
      </x:c>
      <x:c r="J14" s="10" t="n">
        <x:v>94.3</x:v>
      </x:c>
      <x:c r="K14" s="9" t="n">
        <x:v>17</x:v>
      </x:c>
      <x:c r="L14" s="9" t="n">
        <x:v>9</x:v>
      </x:c>
      <x:c r="M14" s="9" t="n">
        <x:v>1</x:v>
      </x:c>
      <x:c r="N14" s="10" t="n">
        <x:v>255.1</x:v>
      </x:c>
      <x:c r="O14" s="10" t="n">
        <x:v>50.3</x:v>
      </x:c>
      <x:c r="P14" s="11" t="n">
        <x:v>0.48</x:v>
      </x:c>
    </x:row>
    <x:row r="15" ht="24" customHeight="1">
      <x:c r="A15" s="2" t="str">
        <x:v>4#墩左侧</x:v>
      </x:c>
      <x:c r="B15" s="10" t="n">
        <x:v>50</x:v>
      </x:c>
      <x:c r="C15" s="10" t="n">
        <x:v>28</x:v>
      </x:c>
      <x:c r="D15" s="10" t="n">
        <x:v>200</x:v>
      </x:c>
      <x:c r="E15" s="10" t="n">
        <x:v>90</x:v>
      </x:c>
      <x:c r="F15" s="10" t="n">
        <x:v>45.1</x:v>
      </x:c>
      <x:c r="G15" s="10" t="n">
        <x:v>53.4</x:v>
      </x:c>
      <x:c r="H15" s="10" t="n">
        <x:v>44.1</x:v>
      </x:c>
      <x:c r="I15" s="10" t="n">
        <x:v>85.3</x:v>
      </x:c>
      <x:c r="J15" s="10" t="n">
        <x:v>84.7</x:v>
      </x:c>
      <x:c r="K15" s="9" t="n">
        <x:v>17</x:v>
      </x:c>
      <x:c r="L15" s="9" t="n">
        <x:v>9</x:v>
      </x:c>
      <x:c r="M15" s="9" t="n">
        <x:v>1</x:v>
      </x:c>
      <x:c r="N15" s="10" t="n">
        <x:v>253.8</x:v>
      </x:c>
      <x:c r="O15" s="10" t="n">
        <x:v>50.5</x:v>
      </x:c>
      <x:c r="P15" s="11" t="n">
        <x:v>0.44</x:v>
      </x:c>
    </x:row>
    <x:row r="16" ht="24" customHeight="1">
      <x:c r="A16" s="2" t="str">
        <x:v>4#墩右侧</x:v>
      </x:c>
      <x:c r="B16" s="10" t="n">
        <x:v>50</x:v>
      </x:c>
      <x:c r="C16" s="10" t="n">
        <x:v>28</x:v>
      </x:c>
      <x:c r="D16" s="10" t="n">
        <x:v>200</x:v>
      </x:c>
      <x:c r="E16" s="10" t="n">
        <x:v>90</x:v>
      </x:c>
      <x:c r="F16" s="10" t="n">
        <x:v>53.2</x:v>
      </x:c>
      <x:c r="G16" s="10" t="n">
        <x:v>45</x:v>
      </x:c>
      <x:c r="H16" s="10" t="n">
        <x:v>54.3</x:v>
      </x:c>
      <x:c r="I16" s="10" t="n">
        <x:v>94.7</x:v>
      </x:c>
      <x:c r="J16" s="10" t="n">
        <x:v>95.3</x:v>
      </x:c>
      <x:c r="K16" s="9" t="n">
        <x:v>17</x:v>
      </x:c>
      <x:c r="L16" s="9" t="n">
        <x:v>9</x:v>
      </x:c>
      <x:c r="M16" s="9" t="n">
        <x:v>1</x:v>
      </x:c>
      <x:c r="N16" s="10" t="n">
        <x:v>255.8</x:v>
      </x:c>
      <x:c r="O16" s="10" t="n">
        <x:v>50.5</x:v>
      </x:c>
      <x:c r="P16" s="11" t="n">
        <x:v>0.49</x:v>
      </x:c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24" customHeight="1">
      <x:c r="A18" s="4" t="str">
        <x:v>参数来源：PDF第2页左右类型参数表及第3页上部布设参数表。10组参数、部位与数量经逐项对照一致。</x:v>
      </x:c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24" customHeight="1">
      <x:c r="A20" s="12" t="str">
        <x:v>第3页全桥数量原值</x:v>
      </x:c>
      <x:c r="B20" s="12" t="str">
        <x:v>数量</x:v>
      </x:c>
      <x:c r="C20" s="12" t="str">
        <x:v>单位</x:v>
      </x:c>
      <x:c r="D20" s="12" t="str">
        <x:v>来源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24" customHeight="1">
      <x:c r="A21" s="2" t="str">
        <x:v>Φ22钢筋</x:v>
      </x:c>
      <x:c r="B21" s="10" t="n">
        <x:v>2038.3</x:v>
      </x:c>
      <x:c r="C21" s="2" t="str">
        <x:v>kg</x:v>
      </x:c>
      <x:c r="D21" s="2" t="str">
        <x:v>PDF第3页下表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24" customHeight="1">
      <x:c r="A22" s="2" t="str">
        <x:v>Φ10钢筋</x:v>
      </x:c>
      <x:c r="B22" s="10" t="n">
        <x:v>418.1</x:v>
      </x:c>
      <x:c r="C22" s="2" t="str">
        <x:v>kg</x:v>
      </x:c>
      <x:c r="D22" s="2" t="str">
        <x:v>PDF第3页下表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24" customHeight="1">
      <x:c r="A23" s="2" t="str">
        <x:v>C35混凝土</x:v>
      </x:c>
      <x:c r="B23" s="10" t="n">
        <x:v>3.8</x:v>
      </x:c>
      <x:c r="C23" s="2" t="str">
        <x:v>m³</x:v>
      </x:c>
      <x:c r="D23" s="2" t="str">
        <x:v>PDF第3页下表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24" customHeight="1">
      <x:c r="A24" s="2" t="str">
        <x:v>挡块总数</x:v>
      </x:c>
      <x:c r="B24" s="9" t="n">
        <x:v>10</x:v>
      </x:c>
      <x:c r="C24" s="2" t="str">
        <x:v>个</x:v>
      </x:c>
      <x:c r="D24" s="2" t="str">
        <x:v>PDF第3页上表10行，各1个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40" customHeight="1">
      <x:c r="A27" s="8" t="str">
        <x:v>记录号</x:v>
      </x:c>
      <x:c r="B27" s="8" t="str">
        <x:v>部位</x:v>
      </x:c>
      <x:c r="C27" s="8" t="str">
        <x:v>钢筋编号</x:v>
      </x:c>
      <x:c r="D27" s="8" t="str">
        <x:v>直径mm</x:v>
      </x:c>
      <x:c r="E27" s="8" t="str">
        <x:v>单长cm</x:v>
      </x:c>
      <x:c r="F27" s="8" t="str">
        <x:v>根数</x:v>
      </x:c>
      <x:c r="G27" s="8" t="str">
        <x:v>图示共长m</x:v>
      </x:c>
      <x:c r="H27" s="8" t="str">
        <x:v>图示共重kg</x:v>
      </x:c>
      <x:c r="I27" s="8" t="str">
        <x:v>来源位置</x:v>
      </x:c>
      <x:c r="J27" s="2"/>
      <x:c r="K27" s="2"/>
      <x:c r="L27" s="2"/>
      <x:c r="M27" s="2"/>
      <x:c r="N27" s="2"/>
      <x:c r="O27" s="2"/>
      <x:c r="P27" s="2"/>
    </x:row>
    <x:row r="28" ht="24" customHeight="1">
      <x:c r="A28" s="2" t="str">
        <x:v>B01</x:v>
      </x:c>
      <x:c r="B28" s="2" t="str">
        <x:v>1#墩左侧</x:v>
      </x:c>
      <x:c r="C28" s="2" t="str">
        <x:v>1a</x:v>
      </x:c>
      <x:c r="D28" s="9" t="n">
        <x:v>22</x:v>
      </x:c>
      <x:c r="E28" s="10" t="n">
        <x:v>260.8</x:v>
      </x:c>
      <x:c r="F28" s="9" t="n">
        <x:v>20</x:v>
      </x:c>
      <x:c r="G28" s="10" t="n">
        <x:v>52.2</x:v>
      </x:c>
      <x:c r="H28" s="10" t="n">
        <x:v>155.8</x:v>
      </x:c>
      <x:c r="I28" s="2" t="str">
        <x:v>PDF第2页左表第1组，1a行</x:v>
      </x:c>
      <x:c r="J28" s="2"/>
      <x:c r="K28" s="2"/>
      <x:c r="L28" s="2"/>
      <x:c r="M28" s="2"/>
      <x:c r="N28" s="2"/>
      <x:c r="O28" s="2"/>
      <x:c r="P28" s="2"/>
    </x:row>
    <x:row r="29" ht="24" customHeight="1">
      <x:c r="A29" s="2" t="str">
        <x:v>B02</x:v>
      </x:c>
      <x:c r="B29" s="2" t="str">
        <x:v>1#墩左侧</x:v>
      </x:c>
      <x:c r="C29" s="2" t="str">
        <x:v>2a</x:v>
      </x:c>
      <x:c r="D29" s="9" t="n">
        <x:v>22</x:v>
      </x:c>
      <x:c r="E29" s="10" t="n">
        <x:v>164</x:v>
      </x:c>
      <x:c r="F29" s="9" t="n">
        <x:v>20</x:v>
      </x:c>
      <x:c r="G29" s="10" t="n">
        <x:v>32.8</x:v>
      </x:c>
      <x:c r="H29" s="10" t="n">
        <x:v>97.9</x:v>
      </x:c>
      <x:c r="I29" s="2" t="str">
        <x:v>PDF第2页左表第1组，2a行</x:v>
      </x:c>
      <x:c r="J29" s="2"/>
      <x:c r="K29" s="2"/>
      <x:c r="L29" s="2"/>
      <x:c r="M29" s="2"/>
      <x:c r="N29" s="2"/>
      <x:c r="O29" s="2"/>
      <x:c r="P29" s="2"/>
    </x:row>
    <x:row r="30" ht="24" customHeight="1">
      <x:c r="A30" s="2" t="str">
        <x:v>B03</x:v>
      </x:c>
      <x:c r="B30" s="2" t="str">
        <x:v>1#墩左侧</x:v>
      </x:c>
      <x:c r="C30" s="2" t="str">
        <x:v>3a</x:v>
      </x:c>
      <x:c r="D30" s="9" t="n">
        <x:v>10</x:v>
      </x:c>
      <x:c r="E30" s="10" t="n">
        <x:v>208</x:v>
      </x:c>
      <x:c r="F30" s="9" t="n">
        <x:v>6</x:v>
      </x:c>
      <x:c r="G30" s="10" t="n">
        <x:v>12.5</x:v>
      </x:c>
      <x:c r="H30" s="10" t="n">
        <x:v>7.7</x:v>
      </x:c>
      <x:c r="I30" s="2" t="str">
        <x:v>PDF第2页左表第1组，3a行</x:v>
      </x:c>
      <x:c r="J30" s="2"/>
      <x:c r="K30" s="2"/>
      <x:c r="L30" s="2"/>
      <x:c r="M30" s="2"/>
      <x:c r="N30" s="2"/>
      <x:c r="O30" s="2"/>
      <x:c r="P30" s="2"/>
    </x:row>
    <x:row r="31" ht="24" customHeight="1">
      <x:c r="A31" s="2" t="str">
        <x:v>B04</x:v>
      </x:c>
      <x:c r="B31" s="2" t="str">
        <x:v>1#墩左侧</x:v>
      </x:c>
      <x:c r="C31" s="2" t="str">
        <x:v>4a</x:v>
      </x:c>
      <x:c r="D31" s="9" t="n">
        <x:v>10</x:v>
      </x:c>
      <x:c r="E31" s="10" t="n">
        <x:v>208</x:v>
      </x:c>
      <x:c r="F31" s="9" t="n">
        <x:v>3</x:v>
      </x:c>
      <x:c r="G31" s="10" t="n">
        <x:v>6.2</x:v>
      </x:c>
      <x:c r="H31" s="10" t="n">
        <x:v>3.9</x:v>
      </x:c>
      <x:c r="I31" s="2" t="str">
        <x:v>PDF第2页左表第1组，4a行</x:v>
      </x:c>
      <x:c r="J31" s="2"/>
      <x:c r="K31" s="2"/>
      <x:c r="L31" s="2"/>
      <x:c r="M31" s="2"/>
      <x:c r="N31" s="2"/>
      <x:c r="O31" s="2"/>
      <x:c r="P31" s="2"/>
    </x:row>
    <x:row r="32" ht="24" customHeight="1">
      <x:c r="A32" s="2" t="str">
        <x:v>B05</x:v>
      </x:c>
      <x:c r="B32" s="2" t="str">
        <x:v>1#墩左侧</x:v>
      </x:c>
      <x:c r="C32" s="2" t="str">
        <x:v>5a</x:v>
      </x:c>
      <x:c r="D32" s="9" t="n">
        <x:v>10</x:v>
      </x:c>
      <x:c r="E32" s="10" t="n">
        <x:v>484.2</x:v>
      </x:c>
      <x:c r="F32" s="9" t="n">
        <x:v>11</x:v>
      </x:c>
      <x:c r="G32" s="10" t="n">
        <x:v>53.3</x:v>
      </x:c>
      <x:c r="H32" s="10" t="n">
        <x:v>32.9</x:v>
      </x:c>
      <x:c r="I32" s="2" t="str">
        <x:v>PDF第2页左表第1组，5a行</x:v>
      </x:c>
      <x:c r="J32" s="2"/>
      <x:c r="K32" s="2"/>
      <x:c r="L32" s="2"/>
      <x:c r="M32" s="2"/>
      <x:c r="N32" s="2"/>
      <x:c r="O32" s="2"/>
      <x:c r="P32" s="2"/>
    </x:row>
    <x:row r="33" ht="24" customHeight="1">
      <x:c r="A33" s="2" t="str">
        <x:v>B06</x:v>
      </x:c>
      <x:c r="B33" s="2" t="str">
        <x:v>1#墩左侧</x:v>
      </x:c>
      <x:c r="C33" s="2" t="str">
        <x:v>6a</x:v>
      </x:c>
      <x:c r="D33" s="9" t="n">
        <x:v>10</x:v>
      </x:c>
      <x:c r="E33" s="10" t="n">
        <x:v>475.2</x:v>
      </x:c>
      <x:c r="F33" s="9" t="n">
        <x:v>2</x:v>
      </x:c>
      <x:c r="G33" s="10" t="n">
        <x:v>9.5</x:v>
      </x:c>
      <x:c r="H33" s="10" t="n">
        <x:v>5.9</x:v>
      </x:c>
      <x:c r="I33" s="2" t="str">
        <x:v>PDF第2页左表第1组，6a行</x:v>
      </x:c>
      <x:c r="J33" s="2"/>
      <x:c r="K33" s="2"/>
      <x:c r="L33" s="2"/>
      <x:c r="M33" s="2"/>
      <x:c r="N33" s="2"/>
      <x:c r="O33" s="2"/>
      <x:c r="P33" s="2"/>
    </x:row>
    <x:row r="34" ht="24" customHeight="1">
      <x:c r="A34" s="2" t="str">
        <x:v>B07</x:v>
      </x:c>
      <x:c r="B34" s="2" t="str">
        <x:v>1#墩右侧</x:v>
      </x:c>
      <x:c r="C34" s="2" t="str">
        <x:v>1a</x:v>
      </x:c>
      <x:c r="D34" s="9" t="n">
        <x:v>22</x:v>
      </x:c>
      <x:c r="E34" s="10" t="n">
        <x:v>259.5</x:v>
      </x:c>
      <x:c r="F34" s="9" t="n">
        <x:v>20</x:v>
      </x:c>
      <x:c r="G34" s="10" t="n">
        <x:v>51.9</x:v>
      </x:c>
      <x:c r="H34" s="10" t="n">
        <x:v>155</x:v>
      </x:c>
      <x:c r="I34" s="2" t="str">
        <x:v>PDF第2页左表第2组，1a行</x:v>
      </x:c>
      <x:c r="J34" s="2"/>
      <x:c r="K34" s="2"/>
      <x:c r="L34" s="2"/>
      <x:c r="M34" s="2"/>
      <x:c r="N34" s="2"/>
      <x:c r="O34" s="2"/>
      <x:c r="P34" s="2"/>
    </x:row>
    <x:row r="35" ht="24" customHeight="1">
      <x:c r="A35" s="2" t="str">
        <x:v>B08</x:v>
      </x:c>
      <x:c r="B35" s="2" t="str">
        <x:v>1#墩右侧</x:v>
      </x:c>
      <x:c r="C35" s="2" t="str">
        <x:v>2a</x:v>
      </x:c>
      <x:c r="D35" s="9" t="n">
        <x:v>22</x:v>
      </x:c>
      <x:c r="E35" s="10" t="n">
        <x:v>164</x:v>
      </x:c>
      <x:c r="F35" s="9" t="n">
        <x:v>20</x:v>
      </x:c>
      <x:c r="G35" s="10" t="n">
        <x:v>32.8</x:v>
      </x:c>
      <x:c r="H35" s="10" t="n">
        <x:v>97.9</x:v>
      </x:c>
      <x:c r="I35" s="2" t="str">
        <x:v>PDF第2页左表第2组，2a行</x:v>
      </x:c>
      <x:c r="J35" s="2"/>
      <x:c r="K35" s="2"/>
      <x:c r="L35" s="2"/>
      <x:c r="M35" s="2"/>
      <x:c r="N35" s="2"/>
      <x:c r="O35" s="2"/>
      <x:c r="P35" s="2"/>
    </x:row>
    <x:row r="36" ht="24" customHeight="1">
      <x:c r="A36" s="2" t="str">
        <x:v>B09</x:v>
      </x:c>
      <x:c r="B36" s="2" t="str">
        <x:v>1#墩右侧</x:v>
      </x:c>
      <x:c r="C36" s="2" t="str">
        <x:v>3a</x:v>
      </x:c>
      <x:c r="D36" s="9" t="n">
        <x:v>10</x:v>
      </x:c>
      <x:c r="E36" s="10" t="n">
        <x:v>208</x:v>
      </x:c>
      <x:c r="F36" s="9" t="n">
        <x:v>6</x:v>
      </x:c>
      <x:c r="G36" s="10" t="n">
        <x:v>12.5</x:v>
      </x:c>
      <x:c r="H36" s="10" t="n">
        <x:v>7.7</x:v>
      </x:c>
      <x:c r="I36" s="2" t="str">
        <x:v>PDF第2页左表第2组，3a行</x:v>
      </x:c>
      <x:c r="J36" s="2"/>
      <x:c r="K36" s="2"/>
      <x:c r="L36" s="2"/>
      <x:c r="M36" s="2"/>
      <x:c r="N36" s="2"/>
      <x:c r="O36" s="2"/>
      <x:c r="P36" s="2"/>
    </x:row>
    <x:row r="37" ht="24" customHeight="1">
      <x:c r="A37" s="2" t="str">
        <x:v>B10</x:v>
      </x:c>
      <x:c r="B37" s="2" t="str">
        <x:v>1#墩右侧</x:v>
      </x:c>
      <x:c r="C37" s="2" t="str">
        <x:v>4a</x:v>
      </x:c>
      <x:c r="D37" s="9" t="n">
        <x:v>10</x:v>
      </x:c>
      <x:c r="E37" s="10" t="n">
        <x:v>208</x:v>
      </x:c>
      <x:c r="F37" s="9" t="n">
        <x:v>3</x:v>
      </x:c>
      <x:c r="G37" s="10" t="n">
        <x:v>6.2</x:v>
      </x:c>
      <x:c r="H37" s="10" t="n">
        <x:v>3.9</x:v>
      </x:c>
      <x:c r="I37" s="2" t="str">
        <x:v>PDF第2页左表第2组，4a行</x:v>
      </x:c>
      <x:c r="J37" s="2"/>
      <x:c r="K37" s="2"/>
      <x:c r="L37" s="2"/>
      <x:c r="M37" s="2"/>
      <x:c r="N37" s="2"/>
      <x:c r="O37" s="2"/>
      <x:c r="P37" s="2"/>
    </x:row>
    <x:row r="38" ht="24" customHeight="1">
      <x:c r="A38" s="2" t="str">
        <x:v>B11</x:v>
      </x:c>
      <x:c r="B38" s="2" t="str">
        <x:v>1#墩右侧</x:v>
      </x:c>
      <x:c r="C38" s="2" t="str">
        <x:v>5a</x:v>
      </x:c>
      <x:c r="D38" s="9" t="n">
        <x:v>10</x:v>
      </x:c>
      <x:c r="E38" s="10" t="n">
        <x:v>479.1</x:v>
      </x:c>
      <x:c r="F38" s="9" t="n">
        <x:v>11</x:v>
      </x:c>
      <x:c r="G38" s="10" t="n">
        <x:v>52.7</x:v>
      </x:c>
      <x:c r="H38" s="10" t="n">
        <x:v>32.5</x:v>
      </x:c>
      <x:c r="I38" s="2" t="str">
        <x:v>PDF第2页左表第2组，5a行</x:v>
      </x:c>
      <x:c r="J38" s="2"/>
      <x:c r="K38" s="2"/>
      <x:c r="L38" s="2"/>
      <x:c r="M38" s="2"/>
      <x:c r="N38" s="2"/>
      <x:c r="O38" s="2"/>
      <x:c r="P38" s="2"/>
    </x:row>
    <x:row r="39" ht="24" customHeight="1">
      <x:c r="A39" s="2" t="str">
        <x:v>B12</x:v>
      </x:c>
      <x:c r="B39" s="2" t="str">
        <x:v>1#墩右侧</x:v>
      </x:c>
      <x:c r="C39" s="2" t="str">
        <x:v>6a</x:v>
      </x:c>
      <x:c r="D39" s="9" t="n">
        <x:v>10</x:v>
      </x:c>
      <x:c r="E39" s="10" t="n">
        <x:v>470.1</x:v>
      </x:c>
      <x:c r="F39" s="9" t="n">
        <x:v>2</x:v>
      </x:c>
      <x:c r="G39" s="10" t="n">
        <x:v>9.4</x:v>
      </x:c>
      <x:c r="H39" s="10" t="n">
        <x:v>5.8</x:v>
      </x:c>
      <x:c r="I39" s="2" t="str">
        <x:v>PDF第2页左表第2组，6a行</x:v>
      </x:c>
      <x:c r="J39" s="2"/>
      <x:c r="K39" s="2"/>
      <x:c r="L39" s="2"/>
      <x:c r="M39" s="2"/>
      <x:c r="N39" s="2"/>
      <x:c r="O39" s="2"/>
      <x:c r="P39" s="2"/>
    </x:row>
    <x:row r="40" ht="24" customHeight="1">
      <x:c r="A40" s="2" t="str">
        <x:v>B13</x:v>
      </x:c>
      <x:c r="B40" s="2" t="str">
        <x:v>2#墩小里程左侧</x:v>
      </x:c>
      <x:c r="C40" s="2" t="str">
        <x:v>1a</x:v>
      </x:c>
      <x:c r="D40" s="9" t="n">
        <x:v>22</x:v>
      </x:c>
      <x:c r="E40" s="10" t="n">
        <x:v>260.1</x:v>
      </x:c>
      <x:c r="F40" s="9" t="n">
        <x:v>10</x:v>
      </x:c>
      <x:c r="G40" s="10" t="n">
        <x:v>26</x:v>
      </x:c>
      <x:c r="H40" s="10" t="n">
        <x:v>77.7</x:v>
      </x:c>
      <x:c r="I40" s="2" t="str">
        <x:v>PDF第2页左表第3组，1a行</x:v>
      </x:c>
      <x:c r="J40" s="2"/>
      <x:c r="K40" s="2"/>
      <x:c r="L40" s="2"/>
      <x:c r="M40" s="2"/>
      <x:c r="N40" s="2"/>
      <x:c r="O40" s="2"/>
      <x:c r="P40" s="2"/>
    </x:row>
    <x:row r="41" ht="24" customHeight="1">
      <x:c r="A41" s="2" t="str">
        <x:v>B14</x:v>
      </x:c>
      <x:c r="B41" s="2" t="str">
        <x:v>2#墩小里程左侧</x:v>
      </x:c>
      <x:c r="C41" s="2" t="str">
        <x:v>2a</x:v>
      </x:c>
      <x:c r="D41" s="9" t="n">
        <x:v>22</x:v>
      </x:c>
      <x:c r="E41" s="10" t="n">
        <x:v>164</x:v>
      </x:c>
      <x:c r="F41" s="9" t="n">
        <x:v>10</x:v>
      </x:c>
      <x:c r="G41" s="10" t="n">
        <x:v>16.4</x:v>
      </x:c>
      <x:c r="H41" s="10" t="n">
        <x:v>49</x:v>
      </x:c>
      <x:c r="I41" s="2" t="str">
        <x:v>PDF第2页左表第3组，2a行</x:v>
      </x:c>
      <x:c r="J41" s="2"/>
      <x:c r="K41" s="2"/>
      <x:c r="L41" s="2"/>
      <x:c r="M41" s="2"/>
      <x:c r="N41" s="2"/>
      <x:c r="O41" s="2"/>
      <x:c r="P41" s="2"/>
    </x:row>
    <x:row r="42" ht="24" customHeight="1">
      <x:c r="A42" s="2" t="str">
        <x:v>B15</x:v>
      </x:c>
      <x:c r="B42" s="2" t="str">
        <x:v>2#墩小里程左侧</x:v>
      </x:c>
      <x:c r="C42" s="2" t="str">
        <x:v>3a</x:v>
      </x:c>
      <x:c r="D42" s="9" t="n">
        <x:v>10</x:v>
      </x:c>
      <x:c r="E42" s="10" t="n">
        <x:v>108</x:v>
      </x:c>
      <x:c r="F42" s="9" t="n">
        <x:v>6</x:v>
      </x:c>
      <x:c r="G42" s="10" t="n">
        <x:v>6.5</x:v>
      </x:c>
      <x:c r="H42" s="10" t="n">
        <x:v>4</x:v>
      </x:c>
      <x:c r="I42" s="2" t="str">
        <x:v>PDF第2页左表第3组，3a行</x:v>
      </x:c>
      <x:c r="J42" s="2"/>
      <x:c r="K42" s="2"/>
      <x:c r="L42" s="2"/>
      <x:c r="M42" s="2"/>
      <x:c r="N42" s="2"/>
      <x:c r="O42" s="2"/>
      <x:c r="P42" s="2"/>
    </x:row>
    <x:row r="43" ht="24" customHeight="1">
      <x:c r="A43" s="2" t="str">
        <x:v>B16</x:v>
      </x:c>
      <x:c r="B43" s="2" t="str">
        <x:v>2#墩小里程左侧</x:v>
      </x:c>
      <x:c r="C43" s="2" t="str">
        <x:v>4a</x:v>
      </x:c>
      <x:c r="D43" s="9" t="n">
        <x:v>10</x:v>
      </x:c>
      <x:c r="E43" s="10" t="n">
        <x:v>108.1</x:v>
      </x:c>
      <x:c r="F43" s="9" t="n">
        <x:v>3</x:v>
      </x:c>
      <x:c r="G43" s="10" t="n">
        <x:v>3.2</x:v>
      </x:c>
      <x:c r="H43" s="10" t="n">
        <x:v>2</x:v>
      </x:c>
      <x:c r="I43" s="2" t="str">
        <x:v>PDF第2页左表第3组，4a行</x:v>
      </x:c>
      <x:c r="J43" s="2"/>
      <x:c r="K43" s="2"/>
      <x:c r="L43" s="2"/>
      <x:c r="M43" s="2"/>
      <x:c r="N43" s="2"/>
      <x:c r="O43" s="2"/>
      <x:c r="P43" s="2"/>
    </x:row>
    <x:row r="44" ht="24" customHeight="1">
      <x:c r="A44" s="2" t="str">
        <x:v>B17</x:v>
      </x:c>
      <x:c r="B44" s="2" t="str">
        <x:v>2#墩小里程左侧</x:v>
      </x:c>
      <x:c r="C44" s="2" t="str">
        <x:v>5a</x:v>
      </x:c>
      <x:c r="D44" s="9" t="n">
        <x:v>10</x:v>
      </x:c>
      <x:c r="E44" s="10" t="n">
        <x:v>279.8</x:v>
      </x:c>
      <x:c r="F44" s="9" t="n">
        <x:v>11</x:v>
      </x:c>
      <x:c r="G44" s="10" t="n">
        <x:v>30.8</x:v>
      </x:c>
      <x:c r="H44" s="10" t="n">
        <x:v>19</x:v>
      </x:c>
      <x:c r="I44" s="2" t="str">
        <x:v>PDF第2页左表第3组，5a行</x:v>
      </x:c>
      <x:c r="J44" s="2"/>
      <x:c r="K44" s="2"/>
      <x:c r="L44" s="2"/>
      <x:c r="M44" s="2"/>
      <x:c r="N44" s="2"/>
      <x:c r="O44" s="2"/>
      <x:c r="P44" s="2"/>
    </x:row>
    <x:row r="45" ht="24" customHeight="1">
      <x:c r="A45" s="2" t="str">
        <x:v>B18</x:v>
      </x:c>
      <x:c r="B45" s="2" t="str">
        <x:v>2#墩小里程左侧</x:v>
      </x:c>
      <x:c r="C45" s="2" t="str">
        <x:v>6a</x:v>
      </x:c>
      <x:c r="D45" s="9" t="n">
        <x:v>10</x:v>
      </x:c>
      <x:c r="E45" s="10" t="n">
        <x:v>270.8</x:v>
      </x:c>
      <x:c r="F45" s="9" t="n">
        <x:v>2</x:v>
      </x:c>
      <x:c r="G45" s="10" t="n">
        <x:v>5.4</x:v>
      </x:c>
      <x:c r="H45" s="10" t="n">
        <x:v>3.3</x:v>
      </x:c>
      <x:c r="I45" s="2" t="str">
        <x:v>PDF第2页左表第3组，6a行</x:v>
      </x:c>
      <x:c r="J45" s="2"/>
      <x:c r="K45" s="2"/>
      <x:c r="L45" s="2"/>
      <x:c r="M45" s="2"/>
      <x:c r="N45" s="2"/>
      <x:c r="O45" s="2"/>
      <x:c r="P45" s="2"/>
    </x:row>
    <x:row r="46" ht="24" customHeight="1">
      <x:c r="A46" s="2" t="str">
        <x:v>B19</x:v>
      </x:c>
      <x:c r="B46" s="2" t="str">
        <x:v>2#墩大里程左侧</x:v>
      </x:c>
      <x:c r="C46" s="2" t="str">
        <x:v>1a</x:v>
      </x:c>
      <x:c r="D46" s="9" t="n">
        <x:v>22</x:v>
      </x:c>
      <x:c r="E46" s="10" t="n">
        <x:v>270</x:v>
      </x:c>
      <x:c r="F46" s="9" t="n">
        <x:v>10</x:v>
      </x:c>
      <x:c r="G46" s="10" t="n">
        <x:v>27</x:v>
      </x:c>
      <x:c r="H46" s="10" t="n">
        <x:v>80.6</x:v>
      </x:c>
      <x:c r="I46" s="2" t="str">
        <x:v>PDF第2页左表第4组，1a行</x:v>
      </x:c>
      <x:c r="J46" s="2"/>
      <x:c r="K46" s="2"/>
      <x:c r="L46" s="2"/>
      <x:c r="M46" s="2"/>
      <x:c r="N46" s="2"/>
      <x:c r="O46" s="2"/>
      <x:c r="P46" s="2"/>
    </x:row>
    <x:row r="47" ht="24" customHeight="1">
      <x:c r="A47" s="2" t="str">
        <x:v>B20</x:v>
      </x:c>
      <x:c r="B47" s="2" t="str">
        <x:v>2#墩大里程左侧</x:v>
      </x:c>
      <x:c r="C47" s="2" t="str">
        <x:v>2a</x:v>
      </x:c>
      <x:c r="D47" s="9" t="n">
        <x:v>22</x:v>
      </x:c>
      <x:c r="E47" s="10" t="n">
        <x:v>164</x:v>
      </x:c>
      <x:c r="F47" s="9" t="n">
        <x:v>10</x:v>
      </x:c>
      <x:c r="G47" s="10" t="n">
        <x:v>16.4</x:v>
      </x:c>
      <x:c r="H47" s="10" t="n">
        <x:v>49</x:v>
      </x:c>
      <x:c r="I47" s="2" t="str">
        <x:v>PDF第2页左表第4组，2a行</x:v>
      </x:c>
      <x:c r="J47" s="2"/>
      <x:c r="K47" s="2"/>
      <x:c r="L47" s="2"/>
      <x:c r="M47" s="2"/>
      <x:c r="N47" s="2"/>
      <x:c r="O47" s="2"/>
      <x:c r="P47" s="2"/>
    </x:row>
    <x:row r="48" ht="24" customHeight="1">
      <x:c r="A48" s="2" t="str">
        <x:v>B21</x:v>
      </x:c>
      <x:c r="B48" s="2" t="str">
        <x:v>2#墩大里程左侧</x:v>
      </x:c>
      <x:c r="C48" s="2" t="str">
        <x:v>3a</x:v>
      </x:c>
      <x:c r="D48" s="9" t="n">
        <x:v>10</x:v>
      </x:c>
      <x:c r="E48" s="10" t="n">
        <x:v>108</x:v>
      </x:c>
      <x:c r="F48" s="9" t="n">
        <x:v>6</x:v>
      </x:c>
      <x:c r="G48" s="10" t="n">
        <x:v>6.5</x:v>
      </x:c>
      <x:c r="H48" s="10" t="n">
        <x:v>4</x:v>
      </x:c>
      <x:c r="I48" s="2" t="str">
        <x:v>PDF第2页左表第4组，3a行</x:v>
      </x:c>
      <x:c r="J48" s="2"/>
      <x:c r="K48" s="2"/>
      <x:c r="L48" s="2"/>
      <x:c r="M48" s="2"/>
      <x:c r="N48" s="2"/>
      <x:c r="O48" s="2"/>
      <x:c r="P48" s="2"/>
    </x:row>
    <x:row r="49" ht="24" customHeight="1">
      <x:c r="A49" s="2" t="str">
        <x:v>B22</x:v>
      </x:c>
      <x:c r="B49" s="2" t="str">
        <x:v>2#墩大里程左侧</x:v>
      </x:c>
      <x:c r="C49" s="2" t="str">
        <x:v>4a</x:v>
      </x:c>
      <x:c r="D49" s="9" t="n">
        <x:v>10</x:v>
      </x:c>
      <x:c r="E49" s="10" t="n">
        <x:v>108.1</x:v>
      </x:c>
      <x:c r="F49" s="9" t="n">
        <x:v>3</x:v>
      </x:c>
      <x:c r="G49" s="10" t="n">
        <x:v>3.2</x:v>
      </x:c>
      <x:c r="H49" s="10" t="n">
        <x:v>2</x:v>
      </x:c>
      <x:c r="I49" s="2" t="str">
        <x:v>PDF第2页左表第4组，4a行</x:v>
      </x:c>
      <x:c r="J49" s="2"/>
      <x:c r="K49" s="2"/>
      <x:c r="L49" s="2"/>
      <x:c r="M49" s="2"/>
      <x:c r="N49" s="2"/>
      <x:c r="O49" s="2"/>
      <x:c r="P49" s="2"/>
    </x:row>
    <x:row r="50" ht="24" customHeight="1">
      <x:c r="A50" s="2" t="str">
        <x:v>B23</x:v>
      </x:c>
      <x:c r="B50" s="2" t="str">
        <x:v>2#墩大里程左侧</x:v>
      </x:c>
      <x:c r="C50" s="2" t="str">
        <x:v>5a</x:v>
      </x:c>
      <x:c r="D50" s="9" t="n">
        <x:v>10</x:v>
      </x:c>
      <x:c r="E50" s="10" t="n">
        <x:v>298.7</x:v>
      </x:c>
      <x:c r="F50" s="9" t="n">
        <x:v>11</x:v>
      </x:c>
      <x:c r="G50" s="10" t="n">
        <x:v>32.9</x:v>
      </x:c>
      <x:c r="H50" s="10" t="n">
        <x:v>20.3</x:v>
      </x:c>
      <x:c r="I50" s="2" t="str">
        <x:v>PDF第2页左表第4组，5a行</x:v>
      </x:c>
      <x:c r="J50" s="2"/>
      <x:c r="K50" s="2"/>
      <x:c r="L50" s="2"/>
      <x:c r="M50" s="2"/>
      <x:c r="N50" s="2"/>
      <x:c r="O50" s="2"/>
      <x:c r="P50" s="2"/>
    </x:row>
    <x:row r="51" ht="24" customHeight="1">
      <x:c r="A51" s="2" t="str">
        <x:v>B24</x:v>
      </x:c>
      <x:c r="B51" s="2" t="str">
        <x:v>2#墩大里程左侧</x:v>
      </x:c>
      <x:c r="C51" s="2" t="str">
        <x:v>6a</x:v>
      </x:c>
      <x:c r="D51" s="9" t="n">
        <x:v>10</x:v>
      </x:c>
      <x:c r="E51" s="10" t="n">
        <x:v>289.7</x:v>
      </x:c>
      <x:c r="F51" s="9" t="n">
        <x:v>2</x:v>
      </x:c>
      <x:c r="G51" s="10" t="n">
        <x:v>5.8</x:v>
      </x:c>
      <x:c r="H51" s="10" t="n">
        <x:v>3.6</x:v>
      </x:c>
      <x:c r="I51" s="2" t="str">
        <x:v>PDF第2页左表第4组，6a行</x:v>
      </x:c>
      <x:c r="J51" s="2"/>
      <x:c r="K51" s="2"/>
      <x:c r="L51" s="2"/>
      <x:c r="M51" s="2"/>
      <x:c r="N51" s="2"/>
      <x:c r="O51" s="2"/>
      <x:c r="P51" s="2"/>
    </x:row>
    <x:row r="52" ht="24" customHeight="1">
      <x:c r="A52" s="2" t="str">
        <x:v>B25</x:v>
      </x:c>
      <x:c r="B52" s="2" t="str">
        <x:v>2#墩右侧</x:v>
      </x:c>
      <x:c r="C52" s="2" t="str">
        <x:v>1a</x:v>
      </x:c>
      <x:c r="D52" s="9" t="n">
        <x:v>22</x:v>
      </x:c>
      <x:c r="E52" s="10" t="n">
        <x:v>261.2</x:v>
      </x:c>
      <x:c r="F52" s="9" t="n">
        <x:v>20</x:v>
      </x:c>
      <x:c r="G52" s="10" t="n">
        <x:v>52.2</x:v>
      </x:c>
      <x:c r="H52" s="10" t="n">
        <x:v>156</x:v>
      </x:c>
      <x:c r="I52" s="2" t="str">
        <x:v>PDF第2页左表第5组，1a行</x:v>
      </x:c>
      <x:c r="J52" s="2"/>
      <x:c r="K52" s="2"/>
      <x:c r="L52" s="2"/>
      <x:c r="M52" s="2"/>
      <x:c r="N52" s="2"/>
      <x:c r="O52" s="2"/>
      <x:c r="P52" s="2"/>
    </x:row>
    <x:row r="53" ht="24" customHeight="1">
      <x:c r="A53" s="2" t="str">
        <x:v>B26</x:v>
      </x:c>
      <x:c r="B53" s="2" t="str">
        <x:v>2#墩右侧</x:v>
      </x:c>
      <x:c r="C53" s="2" t="str">
        <x:v>2a</x:v>
      </x:c>
      <x:c r="D53" s="9" t="n">
        <x:v>22</x:v>
      </x:c>
      <x:c r="E53" s="10" t="n">
        <x:v>164</x:v>
      </x:c>
      <x:c r="F53" s="9" t="n">
        <x:v>20</x:v>
      </x:c>
      <x:c r="G53" s="10" t="n">
        <x:v>32.8</x:v>
      </x:c>
      <x:c r="H53" s="10" t="n">
        <x:v>97.9</x:v>
      </x:c>
      <x:c r="I53" s="2" t="str">
        <x:v>PDF第2页左表第5组，2a行</x:v>
      </x:c>
      <x:c r="J53" s="2"/>
      <x:c r="K53" s="2"/>
      <x:c r="L53" s="2"/>
      <x:c r="M53" s="2"/>
      <x:c r="N53" s="2"/>
      <x:c r="O53" s="2"/>
      <x:c r="P53" s="2"/>
    </x:row>
    <x:row r="54" ht="24" customHeight="1">
      <x:c r="A54" s="2" t="str">
        <x:v>B27</x:v>
      </x:c>
      <x:c r="B54" s="2" t="str">
        <x:v>2#墩右侧</x:v>
      </x:c>
      <x:c r="C54" s="2" t="str">
        <x:v>3a</x:v>
      </x:c>
      <x:c r="D54" s="9" t="n">
        <x:v>10</x:v>
      </x:c>
      <x:c r="E54" s="10" t="n">
        <x:v>208</x:v>
      </x:c>
      <x:c r="F54" s="9" t="n">
        <x:v>6</x:v>
      </x:c>
      <x:c r="G54" s="10" t="n">
        <x:v>12.5</x:v>
      </x:c>
      <x:c r="H54" s="10" t="n">
        <x:v>7.7</x:v>
      </x:c>
      <x:c r="I54" s="2" t="str">
        <x:v>PDF第2页左表第5组，3a行</x:v>
      </x:c>
      <x:c r="J54" s="2"/>
      <x:c r="K54" s="2"/>
      <x:c r="L54" s="2"/>
      <x:c r="M54" s="2"/>
      <x:c r="N54" s="2"/>
      <x:c r="O54" s="2"/>
      <x:c r="P54" s="2"/>
    </x:row>
    <x:row r="55" ht="24" customHeight="1">
      <x:c r="A55" s="2" t="str">
        <x:v>B28</x:v>
      </x:c>
      <x:c r="B55" s="2" t="str">
        <x:v>2#墩右侧</x:v>
      </x:c>
      <x:c r="C55" s="2" t="str">
        <x:v>4a</x:v>
      </x:c>
      <x:c r="D55" s="9" t="n">
        <x:v>10</x:v>
      </x:c>
      <x:c r="E55" s="10" t="n">
        <x:v>208.2</x:v>
      </x:c>
      <x:c r="F55" s="9" t="n">
        <x:v>3</x:v>
      </x:c>
      <x:c r="G55" s="10" t="n">
        <x:v>6.2</x:v>
      </x:c>
      <x:c r="H55" s="10" t="n">
        <x:v>3.9</x:v>
      </x:c>
      <x:c r="I55" s="2" t="str">
        <x:v>PDF第2页左表第5组，4a行</x:v>
      </x:c>
      <x:c r="J55" s="2"/>
      <x:c r="K55" s="2"/>
      <x:c r="L55" s="2"/>
      <x:c r="M55" s="2"/>
      <x:c r="N55" s="2"/>
      <x:c r="O55" s="2"/>
      <x:c r="P55" s="2"/>
    </x:row>
    <x:row r="56" ht="24" customHeight="1">
      <x:c r="A56" s="2" t="str">
        <x:v>B29</x:v>
      </x:c>
      <x:c r="B56" s="2" t="str">
        <x:v>2#墩右侧</x:v>
      </x:c>
      <x:c r="C56" s="2" t="str">
        <x:v>5a</x:v>
      </x:c>
      <x:c r="D56" s="9" t="n">
        <x:v>10</x:v>
      </x:c>
      <x:c r="E56" s="10" t="n">
        <x:v>482.1</x:v>
      </x:c>
      <x:c r="F56" s="9" t="n">
        <x:v>11</x:v>
      </x:c>
      <x:c r="G56" s="10" t="n">
        <x:v>53</x:v>
      </x:c>
      <x:c r="H56" s="10" t="n">
        <x:v>32.7</x:v>
      </x:c>
      <x:c r="I56" s="2" t="str">
        <x:v>PDF第2页左表第5组，5a行</x:v>
      </x:c>
      <x:c r="J56" s="2"/>
      <x:c r="K56" s="2"/>
      <x:c r="L56" s="2"/>
      <x:c r="M56" s="2"/>
      <x:c r="N56" s="2"/>
      <x:c r="O56" s="2"/>
      <x:c r="P56" s="2"/>
    </x:row>
    <x:row r="57" ht="24" customHeight="1">
      <x:c r="A57" s="2" t="str">
        <x:v>B30</x:v>
      </x:c>
      <x:c r="B57" s="2" t="str">
        <x:v>2#墩右侧</x:v>
      </x:c>
      <x:c r="C57" s="2" t="str">
        <x:v>6a</x:v>
      </x:c>
      <x:c r="D57" s="9" t="n">
        <x:v>10</x:v>
      </x:c>
      <x:c r="E57" s="10" t="n">
        <x:v>473.1</x:v>
      </x:c>
      <x:c r="F57" s="9" t="n">
        <x:v>2</x:v>
      </x:c>
      <x:c r="G57" s="10" t="n">
        <x:v>9.5</x:v>
      </x:c>
      <x:c r="H57" s="10" t="n">
        <x:v>5.8</x:v>
      </x:c>
      <x:c r="I57" s="2" t="str">
        <x:v>PDF第2页左表第5组，6a行</x:v>
      </x:c>
      <x:c r="J57" s="2"/>
      <x:c r="K57" s="2"/>
      <x:c r="L57" s="2"/>
      <x:c r="M57" s="2"/>
      <x:c r="N57" s="2"/>
      <x:c r="O57" s="2"/>
      <x:c r="P57" s="2"/>
    </x:row>
    <x:row r="58" ht="24" customHeight="1">
      <x:c r="A58" s="2" t="str">
        <x:v>B31</x:v>
      </x:c>
      <x:c r="B58" s="2" t="str">
        <x:v>3#墩小里程左侧</x:v>
      </x:c>
      <x:c r="C58" s="2" t="str">
        <x:v>1a</x:v>
      </x:c>
      <x:c r="D58" s="9" t="n">
        <x:v>22</x:v>
      </x:c>
      <x:c r="E58" s="10" t="n">
        <x:v>261.4</x:v>
      </x:c>
      <x:c r="F58" s="9" t="n">
        <x:v>10</x:v>
      </x:c>
      <x:c r="G58" s="10" t="n">
        <x:v>26.1</x:v>
      </x:c>
      <x:c r="H58" s="10" t="n">
        <x:v>78.1</x:v>
      </x:c>
      <x:c r="I58" s="2" t="str">
        <x:v>PDF第2页右表第1组，1a行</x:v>
      </x:c>
      <x:c r="J58" s="2"/>
      <x:c r="K58" s="2"/>
      <x:c r="L58" s="2"/>
      <x:c r="M58" s="2"/>
      <x:c r="N58" s="2"/>
      <x:c r="O58" s="2"/>
      <x:c r="P58" s="2"/>
    </x:row>
    <x:row r="59" ht="24" customHeight="1">
      <x:c r="A59" s="2" t="str">
        <x:v>B32</x:v>
      </x:c>
      <x:c r="B59" s="2" t="str">
        <x:v>3#墩小里程左侧</x:v>
      </x:c>
      <x:c r="C59" s="2" t="str">
        <x:v>2a</x:v>
      </x:c>
      <x:c r="D59" s="9" t="n">
        <x:v>22</x:v>
      </x:c>
      <x:c r="E59" s="10" t="n">
        <x:v>164</x:v>
      </x:c>
      <x:c r="F59" s="9" t="n">
        <x:v>10</x:v>
      </x:c>
      <x:c r="G59" s="10" t="n">
        <x:v>16.4</x:v>
      </x:c>
      <x:c r="H59" s="10" t="n">
        <x:v>49</x:v>
      </x:c>
      <x:c r="I59" s="2" t="str">
        <x:v>PDF第2页右表第1组，2a行</x:v>
      </x:c>
      <x:c r="J59" s="2"/>
      <x:c r="K59" s="2"/>
      <x:c r="L59" s="2"/>
      <x:c r="M59" s="2"/>
      <x:c r="N59" s="2"/>
      <x:c r="O59" s="2"/>
      <x:c r="P59" s="2"/>
    </x:row>
    <x:row r="60" ht="24" customHeight="1">
      <x:c r="A60" s="2" t="str">
        <x:v>B33</x:v>
      </x:c>
      <x:c r="B60" s="2" t="str">
        <x:v>3#墩小里程左侧</x:v>
      </x:c>
      <x:c r="C60" s="2" t="str">
        <x:v>3a</x:v>
      </x:c>
      <x:c r="D60" s="9" t="n">
        <x:v>10</x:v>
      </x:c>
      <x:c r="E60" s="10" t="n">
        <x:v>108</x:v>
      </x:c>
      <x:c r="F60" s="9" t="n">
        <x:v>6</x:v>
      </x:c>
      <x:c r="G60" s="10" t="n">
        <x:v>6.5</x:v>
      </x:c>
      <x:c r="H60" s="10" t="n">
        <x:v>4</x:v>
      </x:c>
      <x:c r="I60" s="2" t="str">
        <x:v>PDF第2页右表第1组，3a行</x:v>
      </x:c>
      <x:c r="J60" s="2"/>
      <x:c r="K60" s="2"/>
      <x:c r="L60" s="2"/>
      <x:c r="M60" s="2"/>
      <x:c r="N60" s="2"/>
      <x:c r="O60" s="2"/>
      <x:c r="P60" s="2"/>
    </x:row>
    <x:row r="61" ht="24" customHeight="1">
      <x:c r="A61" s="2" t="str">
        <x:v>B34</x:v>
      </x:c>
      <x:c r="B61" s="2" t="str">
        <x:v>3#墩小里程左侧</x:v>
      </x:c>
      <x:c r="C61" s="2" t="str">
        <x:v>4a</x:v>
      </x:c>
      <x:c r="D61" s="9" t="n">
        <x:v>10</x:v>
      </x:c>
      <x:c r="E61" s="10" t="n">
        <x:v>108.2</x:v>
      </x:c>
      <x:c r="F61" s="9" t="n">
        <x:v>3</x:v>
      </x:c>
      <x:c r="G61" s="10" t="n">
        <x:v>3.2</x:v>
      </x:c>
      <x:c r="H61" s="10" t="n">
        <x:v>2</x:v>
      </x:c>
      <x:c r="I61" s="2" t="str">
        <x:v>PDF第2页右表第1组，4a行</x:v>
      </x:c>
      <x:c r="J61" s="2"/>
      <x:c r="K61" s="2"/>
      <x:c r="L61" s="2"/>
      <x:c r="M61" s="2"/>
      <x:c r="N61" s="2"/>
      <x:c r="O61" s="2"/>
      <x:c r="P61" s="2"/>
    </x:row>
    <x:row r="62" ht="24" customHeight="1">
      <x:c r="A62" s="2" t="str">
        <x:v>B35</x:v>
      </x:c>
      <x:c r="B62" s="2" t="str">
        <x:v>3#墩小里程左侧</x:v>
      </x:c>
      <x:c r="C62" s="2" t="str">
        <x:v>5a</x:v>
      </x:c>
      <x:c r="D62" s="9" t="n">
        <x:v>10</x:v>
      </x:c>
      <x:c r="E62" s="10" t="n">
        <x:v>281.3</x:v>
      </x:c>
      <x:c r="F62" s="9" t="n">
        <x:v>11</x:v>
      </x:c>
      <x:c r="G62" s="10" t="n">
        <x:v>30.9</x:v>
      </x:c>
      <x:c r="H62" s="10" t="n">
        <x:v>19.1</x:v>
      </x:c>
      <x:c r="I62" s="2" t="str">
        <x:v>PDF第2页右表第1组，5a行</x:v>
      </x:c>
      <x:c r="J62" s="2"/>
      <x:c r="K62" s="2"/>
      <x:c r="L62" s="2"/>
      <x:c r="M62" s="2"/>
      <x:c r="N62" s="2"/>
      <x:c r="O62" s="2"/>
      <x:c r="P62" s="2"/>
    </x:row>
    <x:row r="63" ht="24" customHeight="1">
      <x:c r="A63" s="2" t="str">
        <x:v>B36</x:v>
      </x:c>
      <x:c r="B63" s="2" t="str">
        <x:v>3#墩小里程左侧</x:v>
      </x:c>
      <x:c r="C63" s="2" t="str">
        <x:v>6a</x:v>
      </x:c>
      <x:c r="D63" s="9" t="n">
        <x:v>10</x:v>
      </x:c>
      <x:c r="E63" s="10" t="n">
        <x:v>272.3</x:v>
      </x:c>
      <x:c r="F63" s="9" t="n">
        <x:v>2</x:v>
      </x:c>
      <x:c r="G63" s="10" t="n">
        <x:v>5.4</x:v>
      </x:c>
      <x:c r="H63" s="10" t="n">
        <x:v>3.4</x:v>
      </x:c>
      <x:c r="I63" s="2" t="str">
        <x:v>PDF第2页右表第1组，6a行</x:v>
      </x:c>
      <x:c r="J63" s="2"/>
      <x:c r="K63" s="2"/>
      <x:c r="L63" s="2"/>
      <x:c r="M63" s="2"/>
      <x:c r="N63" s="2"/>
      <x:c r="O63" s="2"/>
      <x:c r="P63" s="2"/>
    </x:row>
    <x:row r="64" ht="24" customHeight="1">
      <x:c r="A64" s="2" t="str">
        <x:v>B37</x:v>
      </x:c>
      <x:c r="B64" s="2" t="str">
        <x:v>3#墩大里程左侧</x:v>
      </x:c>
      <x:c r="C64" s="2" t="str">
        <x:v>1a</x:v>
      </x:c>
      <x:c r="D64" s="9" t="n">
        <x:v>22</x:v>
      </x:c>
      <x:c r="E64" s="10" t="n">
        <x:v>270.5</x:v>
      </x:c>
      <x:c r="F64" s="9" t="n">
        <x:v>10</x:v>
      </x:c>
      <x:c r="G64" s="10" t="n">
        <x:v>27.1</x:v>
      </x:c>
      <x:c r="H64" s="10" t="n">
        <x:v>80.8</x:v>
      </x:c>
      <x:c r="I64" s="2" t="str">
        <x:v>PDF第2页右表第2组，1a行</x:v>
      </x:c>
      <x:c r="J64" s="2"/>
      <x:c r="K64" s="2"/>
      <x:c r="L64" s="2"/>
      <x:c r="M64" s="2"/>
      <x:c r="N64" s="2"/>
      <x:c r="O64" s="2"/>
      <x:c r="P64" s="2"/>
    </x:row>
    <x:row r="65" ht="24" customHeight="1">
      <x:c r="A65" s="2" t="str">
        <x:v>B38</x:v>
      </x:c>
      <x:c r="B65" s="2" t="str">
        <x:v>3#墩大里程左侧</x:v>
      </x:c>
      <x:c r="C65" s="2" t="str">
        <x:v>2a</x:v>
      </x:c>
      <x:c r="D65" s="9" t="n">
        <x:v>22</x:v>
      </x:c>
      <x:c r="E65" s="10" t="n">
        <x:v>164</x:v>
      </x:c>
      <x:c r="F65" s="9" t="n">
        <x:v>10</x:v>
      </x:c>
      <x:c r="G65" s="10" t="n">
        <x:v>16.4</x:v>
      </x:c>
      <x:c r="H65" s="10" t="n">
        <x:v>49</x:v>
      </x:c>
      <x:c r="I65" s="2" t="str">
        <x:v>PDF第2页右表第2组，2a行</x:v>
      </x:c>
      <x:c r="J65" s="2"/>
      <x:c r="K65" s="2"/>
      <x:c r="L65" s="2"/>
      <x:c r="M65" s="2"/>
      <x:c r="N65" s="2"/>
      <x:c r="O65" s="2"/>
      <x:c r="P65" s="2"/>
    </x:row>
    <x:row r="66" ht="24" customHeight="1">
      <x:c r="A66" s="2" t="str">
        <x:v>B39</x:v>
      </x:c>
      <x:c r="B66" s="2" t="str">
        <x:v>3#墩大里程左侧</x:v>
      </x:c>
      <x:c r="C66" s="2" t="str">
        <x:v>3a</x:v>
      </x:c>
      <x:c r="D66" s="9" t="n">
        <x:v>10</x:v>
      </x:c>
      <x:c r="E66" s="10" t="n">
        <x:v>108</x:v>
      </x:c>
      <x:c r="F66" s="9" t="n">
        <x:v>6</x:v>
      </x:c>
      <x:c r="G66" s="10" t="n">
        <x:v>6.5</x:v>
      </x:c>
      <x:c r="H66" s="10" t="n">
        <x:v>4</x:v>
      </x:c>
      <x:c r="I66" s="2" t="str">
        <x:v>PDF第2页右表第2组，3a行</x:v>
      </x:c>
      <x:c r="J66" s="2"/>
      <x:c r="K66" s="2"/>
      <x:c r="L66" s="2"/>
      <x:c r="M66" s="2"/>
      <x:c r="N66" s="2"/>
      <x:c r="O66" s="2"/>
      <x:c r="P66" s="2"/>
    </x:row>
    <x:row r="67" ht="24" customHeight="1">
      <x:c r="A67" s="2" t="str">
        <x:v>B40</x:v>
      </x:c>
      <x:c r="B67" s="2" t="str">
        <x:v>3#墩大里程左侧</x:v>
      </x:c>
      <x:c r="C67" s="2" t="str">
        <x:v>4a</x:v>
      </x:c>
      <x:c r="D67" s="9" t="n">
        <x:v>10</x:v>
      </x:c>
      <x:c r="E67" s="10" t="n">
        <x:v>108.2</x:v>
      </x:c>
      <x:c r="F67" s="9" t="n">
        <x:v>3</x:v>
      </x:c>
      <x:c r="G67" s="10" t="n">
        <x:v>3.2</x:v>
      </x:c>
      <x:c r="H67" s="10" t="n">
        <x:v>2</x:v>
      </x:c>
      <x:c r="I67" s="2" t="str">
        <x:v>PDF第2页右表第2组，4a行</x:v>
      </x:c>
      <x:c r="J67" s="2"/>
      <x:c r="K67" s="2"/>
      <x:c r="L67" s="2"/>
      <x:c r="M67" s="2"/>
      <x:c r="N67" s="2"/>
      <x:c r="O67" s="2"/>
      <x:c r="P67" s="2"/>
    </x:row>
    <x:row r="68" ht="24" customHeight="1">
      <x:c r="A68" s="2" t="str">
        <x:v>B41</x:v>
      </x:c>
      <x:c r="B68" s="2" t="str">
        <x:v>3#墩大里程左侧</x:v>
      </x:c>
      <x:c r="C68" s="2" t="str">
        <x:v>5a</x:v>
      </x:c>
      <x:c r="D68" s="9" t="n">
        <x:v>10</x:v>
      </x:c>
      <x:c r="E68" s="10" t="n">
        <x:v>298.7</x:v>
      </x:c>
      <x:c r="F68" s="9" t="n">
        <x:v>11</x:v>
      </x:c>
      <x:c r="G68" s="10" t="n">
        <x:v>32.9</x:v>
      </x:c>
      <x:c r="H68" s="10" t="n">
        <x:v>20.3</x:v>
      </x:c>
      <x:c r="I68" s="2" t="str">
        <x:v>PDF第2页右表第2组，5a行</x:v>
      </x:c>
      <x:c r="J68" s="2"/>
      <x:c r="K68" s="2"/>
      <x:c r="L68" s="2"/>
      <x:c r="M68" s="2"/>
      <x:c r="N68" s="2"/>
      <x:c r="O68" s="2"/>
      <x:c r="P68" s="2"/>
    </x:row>
    <x:row r="69" ht="24" customHeight="1">
      <x:c r="A69" s="2" t="str">
        <x:v>B42</x:v>
      </x:c>
      <x:c r="B69" s="2" t="str">
        <x:v>3#墩大里程左侧</x:v>
      </x:c>
      <x:c r="C69" s="2" t="str">
        <x:v>6a</x:v>
      </x:c>
      <x:c r="D69" s="9" t="n">
        <x:v>10</x:v>
      </x:c>
      <x:c r="E69" s="10" t="n">
        <x:v>289.7</x:v>
      </x:c>
      <x:c r="F69" s="9" t="n">
        <x:v>2</x:v>
      </x:c>
      <x:c r="G69" s="10" t="n">
        <x:v>5.8</x:v>
      </x:c>
      <x:c r="H69" s="10" t="n">
        <x:v>3.6</x:v>
      </x:c>
      <x:c r="I69" s="2" t="str">
        <x:v>PDF第2页右表第2组，6a行</x:v>
      </x:c>
      <x:c r="J69" s="2"/>
      <x:c r="K69" s="2"/>
      <x:c r="L69" s="2"/>
      <x:c r="M69" s="2"/>
      <x:c r="N69" s="2"/>
      <x:c r="O69" s="2"/>
      <x:c r="P69" s="2"/>
    </x:row>
    <x:row r="70" ht="24" customHeight="1">
      <x:c r="A70" s="2" t="str">
        <x:v>B43</x:v>
      </x:c>
      <x:c r="B70" s="2" t="str">
        <x:v>3#墩右侧</x:v>
      </x:c>
      <x:c r="C70" s="2" t="str">
        <x:v>1a</x:v>
      </x:c>
      <x:c r="D70" s="9" t="n">
        <x:v>22</x:v>
      </x:c>
      <x:c r="E70" s="10" t="n">
        <x:v>263.1</x:v>
      </x:c>
      <x:c r="F70" s="9" t="n">
        <x:v>20</x:v>
      </x:c>
      <x:c r="G70" s="10" t="n">
        <x:v>52.6</x:v>
      </x:c>
      <x:c r="H70" s="10" t="n">
        <x:v>157.1</x:v>
      </x:c>
      <x:c r="I70" s="2" t="str">
        <x:v>PDF第2页右表第3组，1a行</x:v>
      </x:c>
      <x:c r="J70" s="2"/>
      <x:c r="K70" s="2"/>
      <x:c r="L70" s="2"/>
      <x:c r="M70" s="2"/>
      <x:c r="N70" s="2"/>
      <x:c r="O70" s="2"/>
      <x:c r="P70" s="2"/>
    </x:row>
    <x:row r="71" ht="24" customHeight="1">
      <x:c r="A71" s="2" t="str">
        <x:v>B44</x:v>
      </x:c>
      <x:c r="B71" s="2" t="str">
        <x:v>3#墩右侧</x:v>
      </x:c>
      <x:c r="C71" s="2" t="str">
        <x:v>2a</x:v>
      </x:c>
      <x:c r="D71" s="9" t="n">
        <x:v>22</x:v>
      </x:c>
      <x:c r="E71" s="10" t="n">
        <x:v>164</x:v>
      </x:c>
      <x:c r="F71" s="9" t="n">
        <x:v>20</x:v>
      </x:c>
      <x:c r="G71" s="10" t="n">
        <x:v>32.8</x:v>
      </x:c>
      <x:c r="H71" s="10" t="n">
        <x:v>97.9</x:v>
      </x:c>
      <x:c r="I71" s="2" t="str">
        <x:v>PDF第2页右表第3组，2a行</x:v>
      </x:c>
      <x:c r="J71" s="2"/>
      <x:c r="K71" s="2"/>
      <x:c r="L71" s="2"/>
      <x:c r="M71" s="2"/>
      <x:c r="N71" s="2"/>
      <x:c r="O71" s="2"/>
      <x:c r="P71" s="2"/>
    </x:row>
    <x:row r="72" ht="24" customHeight="1">
      <x:c r="A72" s="2" t="str">
        <x:v>B45</x:v>
      </x:c>
      <x:c r="B72" s="2" t="str">
        <x:v>3#墩右侧</x:v>
      </x:c>
      <x:c r="C72" s="2" t="str">
        <x:v>3a</x:v>
      </x:c>
      <x:c r="D72" s="9" t="n">
        <x:v>10</x:v>
      </x:c>
      <x:c r="E72" s="10" t="n">
        <x:v>208</x:v>
      </x:c>
      <x:c r="F72" s="9" t="n">
        <x:v>6</x:v>
      </x:c>
      <x:c r="G72" s="10" t="n">
        <x:v>12.5</x:v>
      </x:c>
      <x:c r="H72" s="10" t="n">
        <x:v>7.7</x:v>
      </x:c>
      <x:c r="I72" s="2" t="str">
        <x:v>PDF第2页右表第3组，3a行</x:v>
      </x:c>
      <x:c r="J72" s="2"/>
      <x:c r="K72" s="2"/>
      <x:c r="L72" s="2"/>
      <x:c r="M72" s="2"/>
      <x:c r="N72" s="2"/>
      <x:c r="O72" s="2"/>
      <x:c r="P72" s="2"/>
    </x:row>
    <x:row r="73" ht="24" customHeight="1">
      <x:c r="A73" s="2" t="str">
        <x:v>B46</x:v>
      </x:c>
      <x:c r="B73" s="2" t="str">
        <x:v>3#墩右侧</x:v>
      </x:c>
      <x:c r="C73" s="2" t="str">
        <x:v>4a</x:v>
      </x:c>
      <x:c r="D73" s="9" t="n">
        <x:v>10</x:v>
      </x:c>
      <x:c r="E73" s="10" t="n">
        <x:v>208.5</x:v>
      </x:c>
      <x:c r="F73" s="9" t="n">
        <x:v>3</x:v>
      </x:c>
      <x:c r="G73" s="10" t="n">
        <x:v>6.3</x:v>
      </x:c>
      <x:c r="H73" s="10" t="n">
        <x:v>3.9</x:v>
      </x:c>
      <x:c r="I73" s="2" t="str">
        <x:v>PDF第2页右表第3组，4a行</x:v>
      </x:c>
      <x:c r="J73" s="2"/>
      <x:c r="K73" s="2"/>
      <x:c r="L73" s="2"/>
      <x:c r="M73" s="2"/>
      <x:c r="N73" s="2"/>
      <x:c r="O73" s="2"/>
      <x:c r="P73" s="2"/>
    </x:row>
    <x:row r="74" ht="24" customHeight="1">
      <x:c r="A74" s="2" t="str">
        <x:v>B47</x:v>
      </x:c>
      <x:c r="B74" s="2" t="str">
        <x:v>3#墩右侧</x:v>
      </x:c>
      <x:c r="C74" s="2" t="str">
        <x:v>5a</x:v>
      </x:c>
      <x:c r="D74" s="9" t="n">
        <x:v>10</x:v>
      </x:c>
      <x:c r="E74" s="10" t="n">
        <x:v>484.9</x:v>
      </x:c>
      <x:c r="F74" s="9" t="n">
        <x:v>11</x:v>
      </x:c>
      <x:c r="G74" s="10" t="n">
        <x:v>53.3</x:v>
      </x:c>
      <x:c r="H74" s="10" t="n">
        <x:v>32.9</x:v>
      </x:c>
      <x:c r="I74" s="2" t="str">
        <x:v>PDF第2页右表第3组，5a行</x:v>
      </x:c>
      <x:c r="J74" s="2"/>
      <x:c r="K74" s="2"/>
      <x:c r="L74" s="2"/>
      <x:c r="M74" s="2"/>
      <x:c r="N74" s="2"/>
      <x:c r="O74" s="2"/>
      <x:c r="P74" s="2"/>
    </x:row>
    <x:row r="75" ht="24" customHeight="1">
      <x:c r="A75" s="2" t="str">
        <x:v>B48</x:v>
      </x:c>
      <x:c r="B75" s="2" t="str">
        <x:v>3#墩右侧</x:v>
      </x:c>
      <x:c r="C75" s="2" t="str">
        <x:v>6a</x:v>
      </x:c>
      <x:c r="D75" s="9" t="n">
        <x:v>10</x:v>
      </x:c>
      <x:c r="E75" s="10" t="n">
        <x:v>475.9</x:v>
      </x:c>
      <x:c r="F75" s="9" t="n">
        <x:v>2</x:v>
      </x:c>
      <x:c r="G75" s="10" t="n">
        <x:v>9.5</x:v>
      </x:c>
      <x:c r="H75" s="10" t="n">
        <x:v>5.9</x:v>
      </x:c>
      <x:c r="I75" s="2" t="str">
        <x:v>PDF第2页右表第3组，6a行</x:v>
      </x:c>
      <x:c r="J75" s="2"/>
      <x:c r="K75" s="2"/>
      <x:c r="L75" s="2"/>
      <x:c r="M75" s="2"/>
      <x:c r="N75" s="2"/>
      <x:c r="O75" s="2"/>
      <x:c r="P75" s="2"/>
    </x:row>
    <x:row r="76" ht="24" customHeight="1">
      <x:c r="A76" s="2" t="str">
        <x:v>B49</x:v>
      </x:c>
      <x:c r="B76" s="2" t="str">
        <x:v>4#墩左侧</x:v>
      </x:c>
      <x:c r="C76" s="2" t="str">
        <x:v>1a</x:v>
      </x:c>
      <x:c r="D76" s="9" t="n">
        <x:v>22</x:v>
      </x:c>
      <x:c r="E76" s="10" t="n">
        <x:v>260.9</x:v>
      </x:c>
      <x:c r="F76" s="9" t="n">
        <x:v>20</x:v>
      </x:c>
      <x:c r="G76" s="10" t="n">
        <x:v>52.2</x:v>
      </x:c>
      <x:c r="H76" s="10" t="n">
        <x:v>155.9</x:v>
      </x:c>
      <x:c r="I76" s="2" t="str">
        <x:v>PDF第2页右表第4组，1a行</x:v>
      </x:c>
      <x:c r="J76" s="2"/>
      <x:c r="K76" s="2"/>
      <x:c r="L76" s="2"/>
      <x:c r="M76" s="2"/>
      <x:c r="N76" s="2"/>
      <x:c r="O76" s="2"/>
      <x:c r="P76" s="2"/>
    </x:row>
    <x:row r="77" ht="24" customHeight="1">
      <x:c r="A77" s="2" t="str">
        <x:v>B50</x:v>
      </x:c>
      <x:c r="B77" s="2" t="str">
        <x:v>4#墩左侧</x:v>
      </x:c>
      <x:c r="C77" s="2" t="str">
        <x:v>2a</x:v>
      </x:c>
      <x:c r="D77" s="9" t="n">
        <x:v>22</x:v>
      </x:c>
      <x:c r="E77" s="10" t="n">
        <x:v>164</x:v>
      </x:c>
      <x:c r="F77" s="9" t="n">
        <x:v>20</x:v>
      </x:c>
      <x:c r="G77" s="10" t="n">
        <x:v>32.8</x:v>
      </x:c>
      <x:c r="H77" s="10" t="n">
        <x:v>97.9</x:v>
      </x:c>
      <x:c r="I77" s="2" t="str">
        <x:v>PDF第2页右表第4组，2a行</x:v>
      </x:c>
      <x:c r="J77" s="2"/>
      <x:c r="K77" s="2"/>
      <x:c r="L77" s="2"/>
      <x:c r="M77" s="2"/>
      <x:c r="N77" s="2"/>
      <x:c r="O77" s="2"/>
      <x:c r="P77" s="2"/>
    </x:row>
    <x:row r="78" ht="24" customHeight="1">
      <x:c r="A78" s="2" t="str">
        <x:v>B51</x:v>
      </x:c>
      <x:c r="B78" s="2" t="str">
        <x:v>4#墩左侧</x:v>
      </x:c>
      <x:c r="C78" s="2" t="str">
        <x:v>3a</x:v>
      </x:c>
      <x:c r="D78" s="9" t="n">
        <x:v>10</x:v>
      </x:c>
      <x:c r="E78" s="10" t="n">
        <x:v>208</x:v>
      </x:c>
      <x:c r="F78" s="9" t="n">
        <x:v>6</x:v>
      </x:c>
      <x:c r="G78" s="10" t="n">
        <x:v>12.5</x:v>
      </x:c>
      <x:c r="H78" s="10" t="n">
        <x:v>7.7</x:v>
      </x:c>
      <x:c r="I78" s="2" t="str">
        <x:v>PDF第2页右表第4组，3a行</x:v>
      </x:c>
      <x:c r="J78" s="2"/>
      <x:c r="K78" s="2"/>
      <x:c r="L78" s="2"/>
      <x:c r="M78" s="2"/>
      <x:c r="N78" s="2"/>
      <x:c r="O78" s="2"/>
      <x:c r="P78" s="2"/>
    </x:row>
    <x:row r="79" ht="24" customHeight="1">
      <x:c r="A79" s="2" t="str">
        <x:v>B52</x:v>
      </x:c>
      <x:c r="B79" s="2" t="str">
        <x:v>4#墩左侧</x:v>
      </x:c>
      <x:c r="C79" s="2" t="str">
        <x:v>4a</x:v>
      </x:c>
      <x:c r="D79" s="9" t="n">
        <x:v>10</x:v>
      </x:c>
      <x:c r="E79" s="10" t="n">
        <x:v>208.7</x:v>
      </x:c>
      <x:c r="F79" s="9" t="n">
        <x:v>3</x:v>
      </x:c>
      <x:c r="G79" s="10" t="n">
        <x:v>6.3</x:v>
      </x:c>
      <x:c r="H79" s="10" t="n">
        <x:v>3.9</x:v>
      </x:c>
      <x:c r="I79" s="2" t="str">
        <x:v>PDF第2页右表第4组，4a行</x:v>
      </x:c>
      <x:c r="J79" s="2"/>
      <x:c r="K79" s="2"/>
      <x:c r="L79" s="2"/>
      <x:c r="M79" s="2"/>
      <x:c r="N79" s="2"/>
      <x:c r="O79" s="2"/>
      <x:c r="P79" s="2"/>
    </x:row>
    <x:row r="80" ht="24" customHeight="1">
      <x:c r="A80" s="2" t="str">
        <x:v>B53</x:v>
      </x:c>
      <x:c r="B80" s="2" t="str">
        <x:v>4#墩左侧</x:v>
      </x:c>
      <x:c r="C80" s="2" t="str">
        <x:v>5a</x:v>
      </x:c>
      <x:c r="D80" s="9" t="n">
        <x:v>10</x:v>
      </x:c>
      <x:c r="E80" s="10" t="n">
        <x:v>487.2</x:v>
      </x:c>
      <x:c r="F80" s="9" t="n">
        <x:v>11</x:v>
      </x:c>
      <x:c r="G80" s="10" t="n">
        <x:v>53.6</x:v>
      </x:c>
      <x:c r="H80" s="10" t="n">
        <x:v>33.1</x:v>
      </x:c>
      <x:c r="I80" s="2" t="str">
        <x:v>PDF第2页右表第4组，5a行</x:v>
      </x:c>
      <x:c r="J80" s="2"/>
      <x:c r="K80" s="2"/>
      <x:c r="L80" s="2"/>
      <x:c r="M80" s="2"/>
      <x:c r="N80" s="2"/>
      <x:c r="O80" s="2"/>
      <x:c r="P80" s="2"/>
    </x:row>
    <x:row r="81" ht="24" customHeight="1">
      <x:c r="A81" s="2" t="str">
        <x:v>B54</x:v>
      </x:c>
      <x:c r="B81" s="2" t="str">
        <x:v>4#墩左侧</x:v>
      </x:c>
      <x:c r="C81" s="2" t="str">
        <x:v>6a</x:v>
      </x:c>
      <x:c r="D81" s="9" t="n">
        <x:v>10</x:v>
      </x:c>
      <x:c r="E81" s="10" t="n">
        <x:v>478.2</x:v>
      </x:c>
      <x:c r="F81" s="9" t="n">
        <x:v>2</x:v>
      </x:c>
      <x:c r="G81" s="10" t="n">
        <x:v>9.6</x:v>
      </x:c>
      <x:c r="H81" s="10" t="n">
        <x:v>5.9</x:v>
      </x:c>
      <x:c r="I81" s="2" t="str">
        <x:v>PDF第2页右表第4组，6a行</x:v>
      </x:c>
      <x:c r="J81" s="2"/>
      <x:c r="K81" s="2"/>
      <x:c r="L81" s="2"/>
      <x:c r="M81" s="2"/>
      <x:c r="N81" s="2"/>
      <x:c r="O81" s="2"/>
      <x:c r="P81" s="2"/>
    </x:row>
    <x:row r="82" ht="24" customHeight="1">
      <x:c r="A82" s="2" t="str">
        <x:v>B55</x:v>
      </x:c>
      <x:c r="B82" s="2" t="str">
        <x:v>4#墩右侧</x:v>
      </x:c>
      <x:c r="C82" s="2" t="str">
        <x:v>1a</x:v>
      </x:c>
      <x:c r="D82" s="9" t="n">
        <x:v>22</x:v>
      </x:c>
      <x:c r="E82" s="10" t="n">
        <x:v>264.2</x:v>
      </x:c>
      <x:c r="F82" s="9" t="n">
        <x:v>20</x:v>
      </x:c>
      <x:c r="G82" s="10" t="n">
        <x:v>52.8</x:v>
      </x:c>
      <x:c r="H82" s="10" t="n">
        <x:v>157.8</x:v>
      </x:c>
      <x:c r="I82" s="2" t="str">
        <x:v>PDF第2页右表第5组，1a行</x:v>
      </x:c>
      <x:c r="J82" s="2"/>
      <x:c r="K82" s="2"/>
      <x:c r="L82" s="2"/>
      <x:c r="M82" s="2"/>
      <x:c r="N82" s="2"/>
      <x:c r="O82" s="2"/>
      <x:c r="P82" s="2"/>
    </x:row>
    <x:row r="83" ht="24" customHeight="1">
      <x:c r="A83" s="2" t="str">
        <x:v>B56</x:v>
      </x:c>
      <x:c r="B83" s="2" t="str">
        <x:v>4#墩右侧</x:v>
      </x:c>
      <x:c r="C83" s="2" t="str">
        <x:v>2a</x:v>
      </x:c>
      <x:c r="D83" s="9" t="n">
        <x:v>22</x:v>
      </x:c>
      <x:c r="E83" s="10" t="n">
        <x:v>164</x:v>
      </x:c>
      <x:c r="F83" s="9" t="n">
        <x:v>20</x:v>
      </x:c>
      <x:c r="G83" s="10" t="n">
        <x:v>32.8</x:v>
      </x:c>
      <x:c r="H83" s="10" t="n">
        <x:v>97.9</x:v>
      </x:c>
      <x:c r="I83" s="2" t="str">
        <x:v>PDF第2页右表第5组，2a行</x:v>
      </x:c>
      <x:c r="J83" s="2"/>
      <x:c r="K83" s="2"/>
      <x:c r="L83" s="2"/>
      <x:c r="M83" s="2"/>
      <x:c r="N83" s="2"/>
      <x:c r="O83" s="2"/>
      <x:c r="P83" s="2"/>
    </x:row>
    <x:row r="84" ht="24" customHeight="1">
      <x:c r="A84" s="2" t="str">
        <x:v>B57</x:v>
      </x:c>
      <x:c r="B84" s="2" t="str">
        <x:v>4#墩右侧</x:v>
      </x:c>
      <x:c r="C84" s="2" t="str">
        <x:v>3a</x:v>
      </x:c>
      <x:c r="D84" s="9" t="n">
        <x:v>10</x:v>
      </x:c>
      <x:c r="E84" s="10" t="n">
        <x:v>208</x:v>
      </x:c>
      <x:c r="F84" s="9" t="n">
        <x:v>6</x:v>
      </x:c>
      <x:c r="G84" s="10" t="n">
        <x:v>12.5</x:v>
      </x:c>
      <x:c r="H84" s="10" t="n">
        <x:v>7.7</x:v>
      </x:c>
      <x:c r="I84" s="2" t="str">
        <x:v>PDF第2页右表第5组，3a行</x:v>
      </x:c>
      <x:c r="J84" s="2"/>
      <x:c r="K84" s="2"/>
      <x:c r="L84" s="2"/>
      <x:c r="M84" s="2"/>
      <x:c r="N84" s="2"/>
      <x:c r="O84" s="2"/>
      <x:c r="P84" s="2"/>
    </x:row>
    <x:row r="85" ht="24" customHeight="1">
      <x:c r="A85" s="2" t="str">
        <x:v>B58</x:v>
      </x:c>
      <x:c r="B85" s="2" t="str">
        <x:v>4#墩右侧</x:v>
      </x:c>
      <x:c r="C85" s="2" t="str">
        <x:v>4a</x:v>
      </x:c>
      <x:c r="D85" s="9" t="n">
        <x:v>10</x:v>
      </x:c>
      <x:c r="E85" s="10" t="n">
        <x:v>208.7</x:v>
      </x:c>
      <x:c r="F85" s="9" t="n">
        <x:v>3</x:v>
      </x:c>
      <x:c r="G85" s="10" t="n">
        <x:v>6.3</x:v>
      </x:c>
      <x:c r="H85" s="10" t="n">
        <x:v>3.9</x:v>
      </x:c>
      <x:c r="I85" s="2" t="str">
        <x:v>PDF第2页右表第5组，4a行</x:v>
      </x:c>
      <x:c r="J85" s="2"/>
      <x:c r="K85" s="2"/>
      <x:c r="L85" s="2"/>
      <x:c r="M85" s="2"/>
      <x:c r="N85" s="2"/>
      <x:c r="O85" s="2"/>
      <x:c r="P85" s="2"/>
    </x:row>
    <x:row r="86" ht="24" customHeight="1">
      <x:c r="A86" s="2" t="str">
        <x:v>B59</x:v>
      </x:c>
      <x:c r="B86" s="2" t="str">
        <x:v>4#墩右侧</x:v>
      </x:c>
      <x:c r="C86" s="2" t="str">
        <x:v>5a</x:v>
      </x:c>
      <x:c r="D86" s="9" t="n">
        <x:v>10</x:v>
      </x:c>
      <x:c r="E86" s="10" t="n">
        <x:v>486.9</x:v>
      </x:c>
      <x:c r="F86" s="9" t="n">
        <x:v>11</x:v>
      </x:c>
      <x:c r="G86" s="10" t="n">
        <x:v>53.6</x:v>
      </x:c>
      <x:c r="H86" s="10" t="n">
        <x:v>33</x:v>
      </x:c>
      <x:c r="I86" s="2" t="str">
        <x:v>PDF第2页右表第5组，5a行</x:v>
      </x:c>
      <x:c r="J86" s="2"/>
      <x:c r="K86" s="2"/>
      <x:c r="L86" s="2"/>
      <x:c r="M86" s="2"/>
      <x:c r="N86" s="2"/>
      <x:c r="O86" s="2"/>
      <x:c r="P86" s="2"/>
    </x:row>
    <x:row r="87" ht="24" customHeight="1">
      <x:c r="A87" s="2" t="str">
        <x:v>B60</x:v>
      </x:c>
      <x:c r="B87" s="2" t="str">
        <x:v>4#墩右侧</x:v>
      </x:c>
      <x:c r="C87" s="2" t="str">
        <x:v>6a</x:v>
      </x:c>
      <x:c r="D87" s="9" t="n">
        <x:v>10</x:v>
      </x:c>
      <x:c r="E87" s="10" t="n">
        <x:v>477.9</x:v>
      </x:c>
      <x:c r="F87" s="9" t="n">
        <x:v>2</x:v>
      </x:c>
      <x:c r="G87" s="10" t="n">
        <x:v>9.6</x:v>
      </x:c>
      <x:c r="H87" s="10" t="n">
        <x:v>5.9</x:v>
      </x:c>
      <x:c r="I87" s="2" t="str">
        <x:v>PDF第2页右表第5组，6a行</x:v>
      </x:c>
      <x:c r="J87" s="2"/>
      <x:c r="K87" s="2"/>
      <x:c r="L87" s="2"/>
      <x:c r="M87" s="2"/>
      <x:c r="N87" s="2"/>
      <x:c r="O87" s="2"/>
      <x:c r="P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</x:row>
    <x:row r="90" ht="24" customHeight="1">
      <x:c r="A90" s="4" t="str">
        <x:v>处理口径：OCR仅辅助定位；参数、60条钢筋记录、页下注均回看原图。原图“均”标记表示平均单长，未擅自改成逐根下料单。</x:v>
      </x:c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</x:row>
    <x:row r="91" ht="24" customHeight="1">
      <x:c r="A91" s="4" t="str">
        <x:v>单位口径：长度按第2、3页明确列头cm；直径与橡胶块尺寸按mm。第1页注1“毫米”与表头冲突，详见R01。</x:v>
      </x:c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</x:row>
    <x:row r="92" ht="24" customHeight="1">
      <x:c r="A92" s="4" t="str">
        <x:v>计重口径：2.98 kg/m（Φ22）、0.617 kg/m（Φ10）仅为本次复核假设，原图未明示单重；不据小额重量差直接认定算错。</x:v>
      </x:c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</x:row>
    <x:row r="93" ht="24" customHeight="1">
      <x:c r="A93" s="4" t="str">
        <x:v>规范检索：交通运输部公告 JTG/T 2231-01—2020 自2020-09-01施行；本图设计年代及批准采用版本未提供，不直接据此判违规范。</x:v>
      </x:c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</x:row>
    <x:row r="94" ht="24" customHeight="1">
      <x:c r="A94" s="4" t="str">
        <x:v>公告来源：https://xxgk.mot.gov.cn/2020/jigou/glj/202006/t20200630_3321370.html （2026-10-17查阅，仅核实版本信息）</x:v>
      </x:c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</x:row>
    <x:row r="95" ht="24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</x:row>
    <x:row r="96" ht="24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</x:row>
  </x:sheetData>
  <x:pageMargins left="0.7" right="0.7" top="0.75" bottom="0.75" header="0.3" footer="0.3"/>
</x:worksheet>
</file>