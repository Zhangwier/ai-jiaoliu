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  <sheet xmlns:r="http://schemas.openxmlformats.org/officeDocument/2006/relationships" name="钢筋复核计算" sheetId="2" state="visible" r:id="rId2"/>
    <sheet xmlns:r="http://schemas.openxmlformats.org/officeDocument/2006/relationships" name="挡块汇总复核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48" customWidth="1" min="4" max="4"/>
    <col width="48" customWidth="1" min="5" max="5"/>
    <col width="9" customWidth="1" min="6" max="6"/>
    <col width="40" customWidth="1" min="7" max="7"/>
  </cols>
  <sheetData>
    <row r="1">
      <c r="A1" s="1" t="inlineStr">
        <is>
          <t>序号</t>
        </is>
      </c>
      <c r="B1" s="1" t="inlineStr">
        <is>
          <t>位置</t>
        </is>
      </c>
      <c r="C1" s="1" t="inlineStr">
        <is>
          <t>问题类别</t>
        </is>
      </c>
      <c r="D1" s="1" t="inlineStr">
        <is>
          <t>问题描述</t>
        </is>
      </c>
      <c r="E1" s="1" t="inlineStr">
        <is>
          <t>依据/核算</t>
        </is>
      </c>
      <c r="F1" s="1" t="inlineStr">
        <is>
          <t>严重程度</t>
        </is>
      </c>
      <c r="G1" s="1" t="inlineStr">
        <is>
          <t>修改建议</t>
        </is>
      </c>
    </row>
    <row r="2">
      <c r="A2" s="2" t="n">
        <v>1</v>
      </c>
      <c r="B2" s="2" t="inlineStr">
        <is>
          <t>第1页 注1</t>
        </is>
      </c>
      <c r="C2" s="2" t="inlineStr">
        <is>
          <t>单位标注</t>
        </is>
      </c>
      <c r="D2" s="2" t="inlineStr">
        <is>
          <t>注1写"本图尺寸均以毫米为单位"，但图中尺寸（6、9、22、117、120、164等）及参数表H、B0、B1~B3、钢筋长度均为厘米。</t>
        </is>
      </c>
      <c r="E2" s="2" t="inlineStr">
        <is>
          <t>2a=120+22+22=164 与表中长度(cm)一致；参数表明确标注(cm)。按毫米理解则挡块高仅5cm，明显不符。</t>
        </is>
      </c>
      <c r="F2" s="3" t="inlineStr">
        <is>
          <t>高</t>
        </is>
      </c>
      <c r="G2" s="2" t="inlineStr">
        <is>
          <t>改为"本图尺寸除钢筋直径以毫米计外，余均以厘米为单位"。</t>
        </is>
      </c>
    </row>
    <row r="3">
      <c r="A3" s="2" t="n">
        <v>2</v>
      </c>
      <c r="B3" s="2" t="inlineStr">
        <is>
          <t>第1页 1a大样</t>
        </is>
      </c>
      <c r="C3" s="2" t="inlineStr">
        <is>
          <t>钢筋长度公式</t>
        </is>
      </c>
      <c r="D3" s="2" t="inlineStr">
        <is>
          <t>1a下料公式"221-h+…"未计入大样两端标注的22cm弯钩；而同图2a长度164=120+22+22已计入弯钩，口径不一致。</t>
        </is>
      </c>
      <c r="E3" s="2" t="inlineStr">
        <is>
          <t>按大样逐段相加：117+(117-h)+22+22+[(B1+B2+B3)/3-9/sinβ-12]+√(h²+(9/sinβ)²)=266-h+…，比公式多约45cm。以1#墩左侧为例：图表260.8cm，按大样约305.8cm，20根合计差约9m、Φ22约27kg/个。</t>
        </is>
      </c>
      <c r="F3" s="3" t="inlineStr">
        <is>
          <t>高</t>
        </is>
      </c>
      <c r="G3" s="2" t="inlineStr">
        <is>
          <t>核实1a两端22cm是否为弯钩/锚固段。若是，修正公式及第2、3页全部1a长度和Φ22数量；若不是，在大样中删除或注明该尺寸。</t>
        </is>
      </c>
    </row>
    <row r="4">
      <c r="A4" s="2" t="n">
        <v>3</v>
      </c>
      <c r="B4" s="2" t="inlineStr">
        <is>
          <t>第1页 3a大样</t>
        </is>
      </c>
      <c r="C4" s="2" t="inlineStr">
        <is>
          <t>标注矛盾</t>
        </is>
      </c>
      <c r="D4" s="2" t="inlineStr">
        <is>
          <t>3a大样竖向尺寸标为"(B0-12)/sinα"，引线长度公式却为"20+(B0-12)/sinβ"。</t>
        </is>
      </c>
      <c r="E4" s="2" t="inlineStr">
        <is>
          <t>表中3a=208.0(B0=200)/108.0(B0=100)，与sinβ(β=90°)公式吻合；平面图中3a沿β侧直边布置，6a大样同一边也标为(B0-12)/sinβ。</t>
        </is>
      </c>
      <c r="F4" s="4" t="inlineStr">
        <is>
          <t>中</t>
        </is>
      </c>
      <c r="G4" s="2" t="inlineStr">
        <is>
          <t>将3a大样尺寸改为"(B0-12)/sinβ"。</t>
        </is>
      </c>
    </row>
    <row r="5">
      <c r="A5" s="2" t="n">
        <v>4</v>
      </c>
      <c r="B5" s="2" t="inlineStr">
        <is>
          <t>第1页 5a/6a大样</t>
        </is>
      </c>
      <c r="C5" s="2" t="inlineStr">
        <is>
          <t>钢筋长度公式</t>
        </is>
      </c>
      <c r="D5" s="2" t="inlineStr">
        <is>
          <t>5a、6a公式末项"+12"与大样不符：两边(B1-9)、(B2-9)扣18，两端弯钩10+10=20，按图应为"+2"。</t>
        </is>
      </c>
      <c r="E5" s="2" t="inlineStr">
        <is>
          <t>5a：各边之和=侧边+B1+B2-18+20=侧边+B1+B2+2；公式为+12，每根多10cm。6a同理（多10cm）。若"+12"含弯曲调整/135°弯钩增加长度，应在图中注明。</t>
        </is>
      </c>
      <c r="F5" s="4" t="inlineStr">
        <is>
          <t>中</t>
        </is>
      </c>
      <c r="G5" s="2" t="inlineStr">
        <is>
          <t>核实箍筋弯钩长度（如按135°弯钩平直段10d另计）；统一大样标注与公式，或在注中说明计算口径。</t>
        </is>
      </c>
    </row>
    <row r="6">
      <c r="A6" s="2" t="n">
        <v>5</v>
      </c>
      <c r="B6" s="2" t="inlineStr">
        <is>
          <t>第1页 平面/A-A</t>
        </is>
      </c>
      <c r="C6" s="2" t="inlineStr">
        <is>
          <t>根数核对</t>
        </is>
      </c>
      <c r="D6" s="2" t="inlineStr">
        <is>
          <t>1a、2a根数与平面钢筋间距不对应：B0=200时n0=17，间距10cm，应有18个位置，表中1a、2a各20根；B0=100时n0=7（8个位置），表中各10根。</t>
        </is>
      </c>
      <c r="E6" s="2" t="inlineStr">
        <is>
          <t>m0+n0×10+m0=9+170+9=188=B0-12，间距关系成立；但根数=n0+1+2，多出的2根未在图中表达位置。</t>
        </is>
      </c>
      <c r="F6" s="4" t="inlineStr">
        <is>
          <t>中</t>
        </is>
      </c>
      <c r="G6" s="2" t="inlineStr">
        <is>
          <t>核实是否在端部/转角另设加强筋；如是，在平面图中示出；如否，修正为n0+1根并重算数量。</t>
        </is>
      </c>
    </row>
    <row r="7">
      <c r="A7" s="2" t="n">
        <v>6</v>
      </c>
      <c r="B7" s="2" t="inlineStr">
        <is>
          <t>第1页 A-A</t>
        </is>
      </c>
      <c r="C7" s="2" t="inlineStr">
        <is>
          <t>根数核对</t>
        </is>
      </c>
      <c r="D7" s="2" t="inlineStr">
        <is>
          <t>A-A竖向箍筋间距为13×9，即14层，而5a(11根)+6a(2根)=13层，少1层。</t>
        </is>
      </c>
      <c r="E7" s="2" t="inlineStr">
        <is>
          <t>13个间距对应14层箍筋。</t>
        </is>
      </c>
      <c r="F7" s="4" t="inlineStr">
        <is>
          <t>中</t>
        </is>
      </c>
      <c r="G7" s="2" t="inlineStr">
        <is>
          <t>核实最下层是否在盖梁内由盖梁钢筋代替；如需14层，补足5a根数并重算Φ10数量。</t>
        </is>
      </c>
    </row>
    <row r="8">
      <c r="A8" s="2" t="n">
        <v>7</v>
      </c>
      <c r="B8" s="2" t="inlineStr">
        <is>
          <t>第1页 注3</t>
        </is>
      </c>
      <c r="C8" s="2" t="inlineStr">
        <is>
          <t>文字</t>
        </is>
      </c>
      <c r="D8" s="2" t="inlineStr">
        <is>
          <t>注3"注意需粘贴前需将橡胶垫块打磨"语句重复"需"，且前文称"橡胶缓冲块"、后文称"橡胶垫块"，名称不统一。</t>
        </is>
      </c>
      <c r="E8" s="2" t="inlineStr">
        <is>
          <t>—</t>
        </is>
      </c>
      <c r="F8" s="5" t="inlineStr">
        <is>
          <t>低</t>
        </is>
      </c>
      <c r="G8" s="2" t="inlineStr">
        <is>
          <t>改为"粘贴前应将橡胶缓冲块粘贴面打磨"。</t>
        </is>
      </c>
    </row>
    <row r="9">
      <c r="A9" s="2" t="n">
        <v>8</v>
      </c>
      <c r="B9" s="2" t="inlineStr">
        <is>
          <t>第1页 注</t>
        </is>
      </c>
      <c r="C9" s="2" t="inlineStr">
        <is>
          <t>说明缺项</t>
        </is>
      </c>
      <c r="D9" s="2" t="inlineStr">
        <is>
          <t>未注明钢筋牌号（如HRB400）、混凝土保护层厚度及1a/2a锚入盖梁的锚固长度要求。</t>
        </is>
      </c>
      <c r="E9" s="2" t="inlineStr">
        <is>
          <t>图中仅可推出保护层约6cm，未见文字说明。</t>
        </is>
      </c>
      <c r="F9" s="5" t="inlineStr">
        <is>
          <t>低</t>
        </is>
      </c>
      <c r="G9" s="2" t="inlineStr">
        <is>
          <t>补充钢筋牌号、保护层厚度、锚固长度及与盖梁同步浇筑/植筋等施工要求。</t>
        </is>
      </c>
    </row>
    <row r="10">
      <c r="A10" s="2" t="n">
        <v>9</v>
      </c>
      <c r="B10" s="2" t="inlineStr">
        <is>
          <t>第3页 数量合计</t>
        </is>
      </c>
      <c r="C10" s="2" t="inlineStr">
        <is>
          <t>汇总误差</t>
        </is>
      </c>
      <c r="D10" s="2" t="inlineStr">
        <is>
          <t>Φ22合计2038.3kg，按第2页各挡块小计相加为2038.4kg；Φ10合计418.1kg，相加为418.0kg。</t>
        </is>
      </c>
      <c r="E10" s="2" t="inlineStr">
        <is>
          <t>差值0.1kg，属四舍五入口径差异（按未取整值汇总）。</t>
        </is>
      </c>
      <c r="F10" s="5" t="inlineStr">
        <is>
          <t>低</t>
        </is>
      </c>
      <c r="G10" s="2" t="inlineStr">
        <is>
          <t>统一按表中取整值汇总，或注明合计按精确值计算。</t>
        </is>
      </c>
    </row>
    <row r="11">
      <c r="A11" s="2" t="n">
        <v>10</v>
      </c>
      <c r="B11" s="2" t="inlineStr">
        <is>
          <t>第3页 数量合计</t>
        </is>
      </c>
      <c r="C11" s="2" t="inlineStr">
        <is>
          <t>表格格式</t>
        </is>
      </c>
      <c r="D11" s="2" t="inlineStr">
        <is>
          <t>"全桥桥墩挡块数量合计"表Φ22、Φ10一栏未注单位(kg)，表头缺列名。</t>
        </is>
      </c>
      <c r="E11" s="2" t="inlineStr">
        <is>
          <t>—</t>
        </is>
      </c>
      <c r="F11" s="5" t="inlineStr">
        <is>
          <t>低</t>
        </is>
      </c>
      <c r="G11" s="2" t="inlineStr">
        <is>
          <t>补充表头"材料/数量"及单位kg。</t>
        </is>
      </c>
    </row>
    <row r="12">
      <c r="A12" s="2" t="n">
        <v>11</v>
      </c>
      <c r="B12" s="2" t="inlineStr">
        <is>
          <t>图签</t>
        </is>
      </c>
      <c r="C12" s="2" t="inlineStr">
        <is>
          <t>签署</t>
        </is>
      </c>
      <c r="D12" s="2" t="inlineStr">
        <is>
          <t>图签"审定"栏为空（斜线）。</t>
        </is>
      </c>
      <c r="E12" s="2" t="inlineStr">
        <is>
          <t>—</t>
        </is>
      </c>
      <c r="F12" s="5" t="inlineStr">
        <is>
          <t>低</t>
        </is>
      </c>
      <c r="G12" s="2" t="inlineStr">
        <is>
          <t>确认是否需审定签字；若需要，补签。</t>
        </is>
      </c>
    </row>
    <row r="13">
      <c r="A13" s="2" t="n">
        <v>12</v>
      </c>
      <c r="B13" s="2" t="inlineStr">
        <is>
          <t>第2、3页</t>
        </is>
      </c>
      <c r="C13" s="2" t="inlineStr">
        <is>
          <t>一致性复核（无问题）</t>
        </is>
      </c>
      <c r="D13" s="2" t="inlineStr">
        <is>
          <t>第2页参数（H、h、B0、B1、B2、B3、α、β、γ）与第3页布设参数表10个挡块全部一致；各钢筋长度按图示公式复算均吻合（误差≤0.05cm）；共长、共重、小计、C35混凝土方量复核均在取整误差内。</t>
        </is>
      </c>
      <c r="E13" s="2" t="inlineStr">
        <is>
          <t>见"钢筋复核计算"和"挡块汇总复核"工作表。</t>
        </is>
      </c>
      <c r="F13" s="6" t="inlineStr">
        <is>
          <t>—</t>
        </is>
      </c>
      <c r="G13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9" customWidth="1" min="4" max="4"/>
    <col width="12" customWidth="1" min="5" max="5"/>
    <col width="14" customWidth="1" min="6" max="6"/>
    <col width="9" customWidth="1" min="7" max="7"/>
    <col width="7" customWidth="1" min="8" max="8"/>
    <col width="11" customWidth="1" min="9" max="9"/>
    <col width="11" customWidth="1" min="10" max="10"/>
    <col width="11" customWidth="1" min="11" max="11"/>
    <col width="11" customWidth="1" min="12" max="12"/>
    <col width="9" customWidth="1" min="13" max="13"/>
  </cols>
  <sheetData>
    <row r="1">
      <c r="A1" s="1" t="inlineStr">
        <is>
          <t>墩号</t>
        </is>
      </c>
      <c r="B1" s="1" t="inlineStr">
        <is>
          <t>部位</t>
        </is>
      </c>
      <c r="C1" s="1" t="inlineStr">
        <is>
          <t>钢筋编号</t>
        </is>
      </c>
      <c r="D1" s="1" t="inlineStr">
        <is>
          <t>直径(mm)</t>
        </is>
      </c>
      <c r="E1" s="1" t="inlineStr">
        <is>
          <t>图表长度(cm)</t>
        </is>
      </c>
      <c r="F1" s="1" t="inlineStr">
        <is>
          <t>公式复算长度(cm)</t>
        </is>
      </c>
      <c r="G1" s="1" t="inlineStr">
        <is>
          <t>差值(cm)</t>
        </is>
      </c>
      <c r="H1" s="1" t="inlineStr">
        <is>
          <t>根数</t>
        </is>
      </c>
      <c r="I1" s="1" t="inlineStr">
        <is>
          <t>图表共长(m)</t>
        </is>
      </c>
      <c r="J1" s="1" t="inlineStr">
        <is>
          <t>复算共长(m)</t>
        </is>
      </c>
      <c r="K1" s="1" t="inlineStr">
        <is>
          <t>图表共重(kg)</t>
        </is>
      </c>
      <c r="L1" s="1" t="inlineStr">
        <is>
          <t>复算共重(kg)</t>
        </is>
      </c>
      <c r="M1" s="1" t="inlineStr">
        <is>
          <t>结论</t>
        </is>
      </c>
    </row>
    <row r="2">
      <c r="A2" s="7" t="inlineStr">
        <is>
          <t>1#墩</t>
        </is>
      </c>
      <c r="B2" s="7" t="inlineStr">
        <is>
          <t>左侧</t>
        </is>
      </c>
      <c r="C2" s="7" t="inlineStr">
        <is>
          <t>1a</t>
        </is>
      </c>
      <c r="D2" s="7" t="n">
        <v>22</v>
      </c>
      <c r="E2" s="7" t="n">
        <v>260.8</v>
      </c>
      <c r="F2" s="7" t="n">
        <v>260.81</v>
      </c>
      <c r="G2" s="7" t="n">
        <v>-0.01</v>
      </c>
      <c r="H2" s="7" t="n">
        <v>20</v>
      </c>
      <c r="I2" s="7" t="n">
        <v>52.2</v>
      </c>
      <c r="J2" s="7" t="n">
        <v>52.16</v>
      </c>
      <c r="K2" s="7" t="n">
        <v>155.8</v>
      </c>
      <c r="L2" s="7" t="n">
        <v>155.77</v>
      </c>
      <c r="M2" s="7" t="inlineStr">
        <is>
          <t>一致</t>
        </is>
      </c>
    </row>
    <row r="3">
      <c r="A3" s="7" t="inlineStr">
        <is>
          <t>1#墩</t>
        </is>
      </c>
      <c r="B3" s="7" t="inlineStr">
        <is>
          <t>左侧</t>
        </is>
      </c>
      <c r="C3" s="7" t="inlineStr">
        <is>
          <t>2a</t>
        </is>
      </c>
      <c r="D3" s="7" t="n">
        <v>22</v>
      </c>
      <c r="E3" s="7" t="n">
        <v>164</v>
      </c>
      <c r="F3" s="7" t="n">
        <v>164</v>
      </c>
      <c r="G3" s="7" t="n">
        <v>0</v>
      </c>
      <c r="H3" s="7" t="n">
        <v>20</v>
      </c>
      <c r="I3" s="7" t="n">
        <v>32.8</v>
      </c>
      <c r="J3" s="7" t="n">
        <v>32.8</v>
      </c>
      <c r="K3" s="7" t="n">
        <v>97.90000000000001</v>
      </c>
      <c r="L3" s="7" t="n">
        <v>97.95</v>
      </c>
      <c r="M3" s="7" t="inlineStr">
        <is>
          <t>一致</t>
        </is>
      </c>
    </row>
    <row r="4">
      <c r="A4" s="7" t="inlineStr">
        <is>
          <t>1#墩</t>
        </is>
      </c>
      <c r="B4" s="7" t="inlineStr">
        <is>
          <t>左侧</t>
        </is>
      </c>
      <c r="C4" s="7" t="inlineStr">
        <is>
          <t>3a</t>
        </is>
      </c>
      <c r="D4" s="7" t="n">
        <v>10</v>
      </c>
      <c r="E4" s="7" t="n">
        <v>208</v>
      </c>
      <c r="F4" s="7" t="n">
        <v>208</v>
      </c>
      <c r="G4" s="7" t="n">
        <v>0</v>
      </c>
      <c r="H4" s="7" t="n">
        <v>6</v>
      </c>
      <c r="I4" s="7" t="n">
        <v>12.5</v>
      </c>
      <c r="J4" s="7" t="n">
        <v>12.48</v>
      </c>
      <c r="K4" s="7" t="n">
        <v>7.7</v>
      </c>
      <c r="L4" s="7" t="n">
        <v>7.7</v>
      </c>
      <c r="M4" s="7" t="inlineStr">
        <is>
          <t>一致</t>
        </is>
      </c>
    </row>
    <row r="5">
      <c r="A5" s="7" t="inlineStr">
        <is>
          <t>1#墩</t>
        </is>
      </c>
      <c r="B5" s="7" t="inlineStr">
        <is>
          <t>左侧</t>
        </is>
      </c>
      <c r="C5" s="7" t="inlineStr">
        <is>
          <t>4a</t>
        </is>
      </c>
      <c r="D5" s="7" t="n">
        <v>10</v>
      </c>
      <c r="E5" s="7" t="n">
        <v>208</v>
      </c>
      <c r="F5" s="7" t="n">
        <v>208.04</v>
      </c>
      <c r="G5" s="7" t="n">
        <v>-0.04</v>
      </c>
      <c r="H5" s="7" t="n">
        <v>3</v>
      </c>
      <c r="I5" s="7" t="n">
        <v>6.2</v>
      </c>
      <c r="J5" s="7" t="n">
        <v>6.24</v>
      </c>
      <c r="K5" s="7" t="n">
        <v>3.9</v>
      </c>
      <c r="L5" s="7" t="n">
        <v>3.85</v>
      </c>
      <c r="M5" s="7" t="inlineStr">
        <is>
          <t>一致</t>
        </is>
      </c>
    </row>
    <row r="6">
      <c r="A6" s="7" t="inlineStr">
        <is>
          <t>1#墩</t>
        </is>
      </c>
      <c r="B6" s="7" t="inlineStr">
        <is>
          <t>左侧</t>
        </is>
      </c>
      <c r="C6" s="7" t="inlineStr">
        <is>
          <t>5a</t>
        </is>
      </c>
      <c r="D6" s="7" t="n">
        <v>10</v>
      </c>
      <c r="E6" s="7" t="n">
        <v>484.2</v>
      </c>
      <c r="F6" s="7" t="n">
        <v>484.24</v>
      </c>
      <c r="G6" s="7" t="n">
        <v>-0.04</v>
      </c>
      <c r="H6" s="7" t="n">
        <v>11</v>
      </c>
      <c r="I6" s="7" t="n">
        <v>53.3</v>
      </c>
      <c r="J6" s="7" t="n">
        <v>53.27</v>
      </c>
      <c r="K6" s="7" t="n">
        <v>32.9</v>
      </c>
      <c r="L6" s="7" t="n">
        <v>32.87</v>
      </c>
      <c r="M6" s="7" t="inlineStr">
        <is>
          <t>一致</t>
        </is>
      </c>
    </row>
    <row r="7">
      <c r="A7" s="7" t="inlineStr">
        <is>
          <t>1#墩</t>
        </is>
      </c>
      <c r="B7" s="7" t="inlineStr">
        <is>
          <t>左侧</t>
        </is>
      </c>
      <c r="C7" s="7" t="inlineStr">
        <is>
          <t>6a</t>
        </is>
      </c>
      <c r="D7" s="7" t="n">
        <v>10</v>
      </c>
      <c r="E7" s="7" t="n">
        <v>475.2</v>
      </c>
      <c r="F7" s="7" t="n">
        <v>475.24</v>
      </c>
      <c r="G7" s="7" t="n">
        <v>-0.04</v>
      </c>
      <c r="H7" s="7" t="n">
        <v>2</v>
      </c>
      <c r="I7" s="7" t="n">
        <v>9.5</v>
      </c>
      <c r="J7" s="7" t="n">
        <v>9.5</v>
      </c>
      <c r="K7" s="7" t="n">
        <v>5.9</v>
      </c>
      <c r="L7" s="7" t="n">
        <v>5.86</v>
      </c>
      <c r="M7" s="7" t="inlineStr">
        <is>
          <t>一致</t>
        </is>
      </c>
    </row>
    <row r="8">
      <c r="A8" s="7" t="inlineStr">
        <is>
          <t>1#墩</t>
        </is>
      </c>
      <c r="B8" s="7" t="inlineStr">
        <is>
          <t>右侧</t>
        </is>
      </c>
      <c r="C8" s="7" t="inlineStr">
        <is>
          <t>1a</t>
        </is>
      </c>
      <c r="D8" s="7" t="n">
        <v>22</v>
      </c>
      <c r="E8" s="7" t="n">
        <v>259.5</v>
      </c>
      <c r="F8" s="7" t="n">
        <v>259.51</v>
      </c>
      <c r="G8" s="7" t="n">
        <v>-0.01</v>
      </c>
      <c r="H8" s="7" t="n">
        <v>20</v>
      </c>
      <c r="I8" s="7" t="n">
        <v>51.9</v>
      </c>
      <c r="J8" s="7" t="n">
        <v>51.9</v>
      </c>
      <c r="K8" s="7" t="n">
        <v>155</v>
      </c>
      <c r="L8" s="7" t="n">
        <v>154.99</v>
      </c>
      <c r="M8" s="7" t="inlineStr">
        <is>
          <t>一致</t>
        </is>
      </c>
    </row>
    <row r="9">
      <c r="A9" s="7" t="inlineStr">
        <is>
          <t>1#墩</t>
        </is>
      </c>
      <c r="B9" s="7" t="inlineStr">
        <is>
          <t>右侧</t>
        </is>
      </c>
      <c r="C9" s="7" t="inlineStr">
        <is>
          <t>2a</t>
        </is>
      </c>
      <c r="D9" s="7" t="n">
        <v>22</v>
      </c>
      <c r="E9" s="7" t="n">
        <v>164</v>
      </c>
      <c r="F9" s="7" t="n">
        <v>164</v>
      </c>
      <c r="G9" s="7" t="n">
        <v>0</v>
      </c>
      <c r="H9" s="7" t="n">
        <v>20</v>
      </c>
      <c r="I9" s="7" t="n">
        <v>32.8</v>
      </c>
      <c r="J9" s="7" t="n">
        <v>32.8</v>
      </c>
      <c r="K9" s="7" t="n">
        <v>97.90000000000001</v>
      </c>
      <c r="L9" s="7" t="n">
        <v>97.95</v>
      </c>
      <c r="M9" s="7" t="inlineStr">
        <is>
          <t>一致</t>
        </is>
      </c>
    </row>
    <row r="10">
      <c r="A10" s="7" t="inlineStr">
        <is>
          <t>1#墩</t>
        </is>
      </c>
      <c r="B10" s="7" t="inlineStr">
        <is>
          <t>右侧</t>
        </is>
      </c>
      <c r="C10" s="7" t="inlineStr">
        <is>
          <t>3a</t>
        </is>
      </c>
      <c r="D10" s="7" t="n">
        <v>10</v>
      </c>
      <c r="E10" s="7" t="n">
        <v>208</v>
      </c>
      <c r="F10" s="7" t="n">
        <v>208</v>
      </c>
      <c r="G10" s="7" t="n">
        <v>0</v>
      </c>
      <c r="H10" s="7" t="n">
        <v>6</v>
      </c>
      <c r="I10" s="7" t="n">
        <v>12.5</v>
      </c>
      <c r="J10" s="7" t="n">
        <v>12.48</v>
      </c>
      <c r="K10" s="7" t="n">
        <v>7.7</v>
      </c>
      <c r="L10" s="7" t="n">
        <v>7.7</v>
      </c>
      <c r="M10" s="7" t="inlineStr">
        <is>
          <t>一致</t>
        </is>
      </c>
    </row>
    <row r="11">
      <c r="A11" s="7" t="inlineStr">
        <is>
          <t>1#墩</t>
        </is>
      </c>
      <c r="B11" s="7" t="inlineStr">
        <is>
          <t>右侧</t>
        </is>
      </c>
      <c r="C11" s="7" t="inlineStr">
        <is>
          <t>4a</t>
        </is>
      </c>
      <c r="D11" s="7" t="n">
        <v>10</v>
      </c>
      <c r="E11" s="7" t="n">
        <v>208</v>
      </c>
      <c r="F11" s="7" t="n">
        <v>208.03</v>
      </c>
      <c r="G11" s="7" t="n">
        <v>-0.03</v>
      </c>
      <c r="H11" s="7" t="n">
        <v>3</v>
      </c>
      <c r="I11" s="7" t="n">
        <v>6.2</v>
      </c>
      <c r="J11" s="7" t="n">
        <v>6.24</v>
      </c>
      <c r="K11" s="7" t="n">
        <v>3.9</v>
      </c>
      <c r="L11" s="7" t="n">
        <v>3.85</v>
      </c>
      <c r="M11" s="7" t="inlineStr">
        <is>
          <t>一致</t>
        </is>
      </c>
    </row>
    <row r="12">
      <c r="A12" s="7" t="inlineStr">
        <is>
          <t>1#墩</t>
        </is>
      </c>
      <c r="B12" s="7" t="inlineStr">
        <is>
          <t>右侧</t>
        </is>
      </c>
      <c r="C12" s="7" t="inlineStr">
        <is>
          <t>5a</t>
        </is>
      </c>
      <c r="D12" s="7" t="n">
        <v>10</v>
      </c>
      <c r="E12" s="7" t="n">
        <v>479.1</v>
      </c>
      <c r="F12" s="7" t="n">
        <v>479.13</v>
      </c>
      <c r="G12" s="7" t="n">
        <v>-0.03</v>
      </c>
      <c r="H12" s="7" t="n">
        <v>11</v>
      </c>
      <c r="I12" s="7" t="n">
        <v>52.7</v>
      </c>
      <c r="J12" s="7" t="n">
        <v>52.7</v>
      </c>
      <c r="K12" s="7" t="n">
        <v>32.5</v>
      </c>
      <c r="L12" s="7" t="n">
        <v>32.52</v>
      </c>
      <c r="M12" s="7" t="inlineStr">
        <is>
          <t>一致</t>
        </is>
      </c>
    </row>
    <row r="13">
      <c r="A13" s="7" t="inlineStr">
        <is>
          <t>1#墩</t>
        </is>
      </c>
      <c r="B13" s="7" t="inlineStr">
        <is>
          <t>右侧</t>
        </is>
      </c>
      <c r="C13" s="7" t="inlineStr">
        <is>
          <t>6a</t>
        </is>
      </c>
      <c r="D13" s="7" t="n">
        <v>10</v>
      </c>
      <c r="E13" s="7" t="n">
        <v>470.1</v>
      </c>
      <c r="F13" s="7" t="n">
        <v>470.13</v>
      </c>
      <c r="G13" s="7" t="n">
        <v>-0.03</v>
      </c>
      <c r="H13" s="7" t="n">
        <v>2</v>
      </c>
      <c r="I13" s="7" t="n">
        <v>9.4</v>
      </c>
      <c r="J13" s="7" t="n">
        <v>9.4</v>
      </c>
      <c r="K13" s="7" t="n">
        <v>5.8</v>
      </c>
      <c r="L13" s="7" t="n">
        <v>5.8</v>
      </c>
      <c r="M13" s="7" t="inlineStr">
        <is>
          <t>一致</t>
        </is>
      </c>
    </row>
    <row r="14">
      <c r="A14" s="7" t="inlineStr">
        <is>
          <t>2#墩小里程</t>
        </is>
      </c>
      <c r="B14" s="7" t="inlineStr">
        <is>
          <t>左侧</t>
        </is>
      </c>
      <c r="C14" s="7" t="inlineStr">
        <is>
          <t>1a</t>
        </is>
      </c>
      <c r="D14" s="7" t="n">
        <v>22</v>
      </c>
      <c r="E14" s="7" t="n">
        <v>260.1</v>
      </c>
      <c r="F14" s="7" t="n">
        <v>260.11</v>
      </c>
      <c r="G14" s="7" t="n">
        <v>-0.01</v>
      </c>
      <c r="H14" s="7" t="n">
        <v>10</v>
      </c>
      <c r="I14" s="7" t="n">
        <v>26</v>
      </c>
      <c r="J14" s="7" t="n">
        <v>26.01</v>
      </c>
      <c r="K14" s="7" t="n">
        <v>77.7</v>
      </c>
      <c r="L14" s="7" t="n">
        <v>77.68000000000001</v>
      </c>
      <c r="M14" s="7" t="inlineStr">
        <is>
          <t>一致</t>
        </is>
      </c>
    </row>
    <row r="15">
      <c r="A15" s="7" t="inlineStr">
        <is>
          <t>2#墩小里程</t>
        </is>
      </c>
      <c r="B15" s="7" t="inlineStr">
        <is>
          <t>左侧</t>
        </is>
      </c>
      <c r="C15" s="7" t="inlineStr">
        <is>
          <t>2a</t>
        </is>
      </c>
      <c r="D15" s="7" t="n">
        <v>22</v>
      </c>
      <c r="E15" s="7" t="n">
        <v>164</v>
      </c>
      <c r="F15" s="7" t="n">
        <v>164</v>
      </c>
      <c r="G15" s="7" t="n">
        <v>0</v>
      </c>
      <c r="H15" s="7" t="n">
        <v>10</v>
      </c>
      <c r="I15" s="7" t="n">
        <v>16.4</v>
      </c>
      <c r="J15" s="7" t="n">
        <v>16.4</v>
      </c>
      <c r="K15" s="7" t="n">
        <v>49</v>
      </c>
      <c r="L15" s="7" t="n">
        <v>48.97</v>
      </c>
      <c r="M15" s="7" t="inlineStr">
        <is>
          <t>一致</t>
        </is>
      </c>
    </row>
    <row r="16">
      <c r="A16" s="7" t="inlineStr">
        <is>
          <t>2#墩小里程</t>
        </is>
      </c>
      <c r="B16" s="7" t="inlineStr">
        <is>
          <t>左侧</t>
        </is>
      </c>
      <c r="C16" s="7" t="inlineStr">
        <is>
          <t>3a</t>
        </is>
      </c>
      <c r="D16" s="7" t="n">
        <v>10</v>
      </c>
      <c r="E16" s="7" t="n">
        <v>108</v>
      </c>
      <c r="F16" s="7" t="n">
        <v>108</v>
      </c>
      <c r="G16" s="7" t="n">
        <v>0</v>
      </c>
      <c r="H16" s="7" t="n">
        <v>6</v>
      </c>
      <c r="I16" s="7" t="n">
        <v>6.5</v>
      </c>
      <c r="J16" s="7" t="n">
        <v>6.48</v>
      </c>
      <c r="K16" s="7" t="n">
        <v>4</v>
      </c>
      <c r="L16" s="7" t="n">
        <v>4</v>
      </c>
      <c r="M16" s="7" t="inlineStr">
        <is>
          <t>一致</t>
        </is>
      </c>
    </row>
    <row r="17">
      <c r="A17" s="7" t="inlineStr">
        <is>
          <t>2#墩小里程</t>
        </is>
      </c>
      <c r="B17" s="7" t="inlineStr">
        <is>
          <t>左侧</t>
        </is>
      </c>
      <c r="C17" s="7" t="inlineStr">
        <is>
          <t>4a</t>
        </is>
      </c>
      <c r="D17" s="7" t="n">
        <v>10</v>
      </c>
      <c r="E17" s="7" t="n">
        <v>108.1</v>
      </c>
      <c r="F17" s="7" t="n">
        <v>108.05</v>
      </c>
      <c r="G17" s="7" t="n">
        <v>0.05</v>
      </c>
      <c r="H17" s="7" t="n">
        <v>3</v>
      </c>
      <c r="I17" s="7" t="n">
        <v>3.2</v>
      </c>
      <c r="J17" s="7" t="n">
        <v>3.24</v>
      </c>
      <c r="K17" s="7" t="n">
        <v>2</v>
      </c>
      <c r="L17" s="7" t="n">
        <v>2</v>
      </c>
      <c r="M17" s="7" t="inlineStr">
        <is>
          <t>一致</t>
        </is>
      </c>
    </row>
    <row r="18">
      <c r="A18" s="7" t="inlineStr">
        <is>
          <t>2#墩小里程</t>
        </is>
      </c>
      <c r="B18" s="7" t="inlineStr">
        <is>
          <t>左侧</t>
        </is>
      </c>
      <c r="C18" s="7" t="inlineStr">
        <is>
          <t>5a</t>
        </is>
      </c>
      <c r="D18" s="7" t="n">
        <v>10</v>
      </c>
      <c r="E18" s="7" t="n">
        <v>279.8</v>
      </c>
      <c r="F18" s="7" t="n">
        <v>279.75</v>
      </c>
      <c r="G18" s="7" t="n">
        <v>0.05</v>
      </c>
      <c r="H18" s="7" t="n">
        <v>11</v>
      </c>
      <c r="I18" s="7" t="n">
        <v>30.8</v>
      </c>
      <c r="J18" s="7" t="n">
        <v>30.77</v>
      </c>
      <c r="K18" s="7" t="n">
        <v>19</v>
      </c>
      <c r="L18" s="7" t="n">
        <v>18.99</v>
      </c>
      <c r="M18" s="7" t="inlineStr">
        <is>
          <t>一致</t>
        </is>
      </c>
    </row>
    <row r="19">
      <c r="A19" s="7" t="inlineStr">
        <is>
          <t>2#墩小里程</t>
        </is>
      </c>
      <c r="B19" s="7" t="inlineStr">
        <is>
          <t>左侧</t>
        </is>
      </c>
      <c r="C19" s="7" t="inlineStr">
        <is>
          <t>6a</t>
        </is>
      </c>
      <c r="D19" s="7" t="n">
        <v>10</v>
      </c>
      <c r="E19" s="7" t="n">
        <v>270.8</v>
      </c>
      <c r="F19" s="7" t="n">
        <v>270.75</v>
      </c>
      <c r="G19" s="7" t="n">
        <v>0.05</v>
      </c>
      <c r="H19" s="7" t="n">
        <v>2</v>
      </c>
      <c r="I19" s="7" t="n">
        <v>5.4</v>
      </c>
      <c r="J19" s="7" t="n">
        <v>5.42</v>
      </c>
      <c r="K19" s="7" t="n">
        <v>3.3</v>
      </c>
      <c r="L19" s="7" t="n">
        <v>3.34</v>
      </c>
      <c r="M19" s="7" t="inlineStr">
        <is>
          <t>一致</t>
        </is>
      </c>
    </row>
    <row r="20">
      <c r="A20" s="7" t="inlineStr">
        <is>
          <t>2#墩大里程</t>
        </is>
      </c>
      <c r="B20" s="7" t="inlineStr">
        <is>
          <t>左侧</t>
        </is>
      </c>
      <c r="C20" s="7" t="inlineStr">
        <is>
          <t>1a</t>
        </is>
      </c>
      <c r="D20" s="7" t="n">
        <v>22</v>
      </c>
      <c r="E20" s="7" t="n">
        <v>270</v>
      </c>
      <c r="F20" s="7" t="n">
        <v>269.98</v>
      </c>
      <c r="G20" s="7" t="n">
        <v>0.02</v>
      </c>
      <c r="H20" s="7" t="n">
        <v>10</v>
      </c>
      <c r="I20" s="7" t="n">
        <v>27</v>
      </c>
      <c r="J20" s="7" t="n">
        <v>27</v>
      </c>
      <c r="K20" s="7" t="n">
        <v>80.59999999999999</v>
      </c>
      <c r="L20" s="7" t="n">
        <v>80.62</v>
      </c>
      <c r="M20" s="7" t="inlineStr">
        <is>
          <t>一致</t>
        </is>
      </c>
    </row>
    <row r="21">
      <c r="A21" s="7" t="inlineStr">
        <is>
          <t>2#墩大里程</t>
        </is>
      </c>
      <c r="B21" s="7" t="inlineStr">
        <is>
          <t>左侧</t>
        </is>
      </c>
      <c r="C21" s="7" t="inlineStr">
        <is>
          <t>2a</t>
        </is>
      </c>
      <c r="D21" s="7" t="n">
        <v>22</v>
      </c>
      <c r="E21" s="7" t="n">
        <v>164</v>
      </c>
      <c r="F21" s="7" t="n">
        <v>164</v>
      </c>
      <c r="G21" s="7" t="n">
        <v>0</v>
      </c>
      <c r="H21" s="7" t="n">
        <v>10</v>
      </c>
      <c r="I21" s="7" t="n">
        <v>16.4</v>
      </c>
      <c r="J21" s="7" t="n">
        <v>16.4</v>
      </c>
      <c r="K21" s="7" t="n">
        <v>49</v>
      </c>
      <c r="L21" s="7" t="n">
        <v>48.97</v>
      </c>
      <c r="M21" s="7" t="inlineStr">
        <is>
          <t>一致</t>
        </is>
      </c>
    </row>
    <row r="22">
      <c r="A22" s="7" t="inlineStr">
        <is>
          <t>2#墩大里程</t>
        </is>
      </c>
      <c r="B22" s="7" t="inlineStr">
        <is>
          <t>左侧</t>
        </is>
      </c>
      <c r="C22" s="7" t="inlineStr">
        <is>
          <t>3a</t>
        </is>
      </c>
      <c r="D22" s="7" t="n">
        <v>10</v>
      </c>
      <c r="E22" s="7" t="n">
        <v>108</v>
      </c>
      <c r="F22" s="7" t="n">
        <v>108</v>
      </c>
      <c r="G22" s="7" t="n">
        <v>0</v>
      </c>
      <c r="H22" s="7" t="n">
        <v>6</v>
      </c>
      <c r="I22" s="7" t="n">
        <v>6.5</v>
      </c>
      <c r="J22" s="7" t="n">
        <v>6.48</v>
      </c>
      <c r="K22" s="7" t="n">
        <v>4</v>
      </c>
      <c r="L22" s="7" t="n">
        <v>4</v>
      </c>
      <c r="M22" s="7" t="inlineStr">
        <is>
          <t>一致</t>
        </is>
      </c>
    </row>
    <row r="23">
      <c r="A23" s="7" t="inlineStr">
        <is>
          <t>2#墩大里程</t>
        </is>
      </c>
      <c r="B23" s="7" t="inlineStr">
        <is>
          <t>左侧</t>
        </is>
      </c>
      <c r="C23" s="7" t="inlineStr">
        <is>
          <t>4a</t>
        </is>
      </c>
      <c r="D23" s="7" t="n">
        <v>10</v>
      </c>
      <c r="E23" s="7" t="n">
        <v>108.1</v>
      </c>
      <c r="F23" s="7" t="n">
        <v>108.11</v>
      </c>
      <c r="G23" s="7" t="n">
        <v>-0.01</v>
      </c>
      <c r="H23" s="7" t="n">
        <v>3</v>
      </c>
      <c r="I23" s="7" t="n">
        <v>3.2</v>
      </c>
      <c r="J23" s="7" t="n">
        <v>3.24</v>
      </c>
      <c r="K23" s="7" t="n">
        <v>2</v>
      </c>
      <c r="L23" s="7" t="n">
        <v>2</v>
      </c>
      <c r="M23" s="7" t="inlineStr">
        <is>
          <t>一致</t>
        </is>
      </c>
    </row>
    <row r="24">
      <c r="A24" s="7" t="inlineStr">
        <is>
          <t>2#墩大里程</t>
        </is>
      </c>
      <c r="B24" s="7" t="inlineStr">
        <is>
          <t>左侧</t>
        </is>
      </c>
      <c r="C24" s="7" t="inlineStr">
        <is>
          <t>5a</t>
        </is>
      </c>
      <c r="D24" s="7" t="n">
        <v>10</v>
      </c>
      <c r="E24" s="7" t="n">
        <v>298.7</v>
      </c>
      <c r="F24" s="7" t="n">
        <v>298.71</v>
      </c>
      <c r="G24" s="7" t="n">
        <v>-0.01</v>
      </c>
      <c r="H24" s="7" t="n">
        <v>11</v>
      </c>
      <c r="I24" s="7" t="n">
        <v>32.9</v>
      </c>
      <c r="J24" s="7" t="n">
        <v>32.86</v>
      </c>
      <c r="K24" s="7" t="n">
        <v>20.3</v>
      </c>
      <c r="L24" s="7" t="n">
        <v>20.27</v>
      </c>
      <c r="M24" s="7" t="inlineStr">
        <is>
          <t>一致</t>
        </is>
      </c>
    </row>
    <row r="25">
      <c r="A25" s="7" t="inlineStr">
        <is>
          <t>2#墩大里程</t>
        </is>
      </c>
      <c r="B25" s="7" t="inlineStr">
        <is>
          <t>左侧</t>
        </is>
      </c>
      <c r="C25" s="7" t="inlineStr">
        <is>
          <t>6a</t>
        </is>
      </c>
      <c r="D25" s="7" t="n">
        <v>10</v>
      </c>
      <c r="E25" s="7" t="n">
        <v>289.7</v>
      </c>
      <c r="F25" s="7" t="n">
        <v>289.71</v>
      </c>
      <c r="G25" s="7" t="n">
        <v>-0.01</v>
      </c>
      <c r="H25" s="7" t="n">
        <v>2</v>
      </c>
      <c r="I25" s="7" t="n">
        <v>5.8</v>
      </c>
      <c r="J25" s="7" t="n">
        <v>5.79</v>
      </c>
      <c r="K25" s="7" t="n">
        <v>3.6</v>
      </c>
      <c r="L25" s="7" t="n">
        <v>3.58</v>
      </c>
      <c r="M25" s="7" t="inlineStr">
        <is>
          <t>一致</t>
        </is>
      </c>
    </row>
    <row r="26">
      <c r="A26" s="7" t="inlineStr">
        <is>
          <t>2#墩</t>
        </is>
      </c>
      <c r="B26" s="7" t="inlineStr">
        <is>
          <t>右侧</t>
        </is>
      </c>
      <c r="C26" s="7" t="inlineStr">
        <is>
          <t>1a</t>
        </is>
      </c>
      <c r="D26" s="7" t="n">
        <v>22</v>
      </c>
      <c r="E26" s="7" t="n">
        <v>261.2</v>
      </c>
      <c r="F26" s="7" t="n">
        <v>261.24</v>
      </c>
      <c r="G26" s="7" t="n">
        <v>-0.04</v>
      </c>
      <c r="H26" s="7" t="n">
        <v>20</v>
      </c>
      <c r="I26" s="7" t="n">
        <v>52.2</v>
      </c>
      <c r="J26" s="7" t="n">
        <v>52.25</v>
      </c>
      <c r="K26" s="7" t="n">
        <v>156</v>
      </c>
      <c r="L26" s="7" t="n">
        <v>156.03</v>
      </c>
      <c r="M26" s="7" t="inlineStr">
        <is>
          <t>一致</t>
        </is>
      </c>
    </row>
    <row r="27">
      <c r="A27" s="7" t="inlineStr">
        <is>
          <t>2#墩</t>
        </is>
      </c>
      <c r="B27" s="7" t="inlineStr">
        <is>
          <t>右侧</t>
        </is>
      </c>
      <c r="C27" s="7" t="inlineStr">
        <is>
          <t>2a</t>
        </is>
      </c>
      <c r="D27" s="7" t="n">
        <v>22</v>
      </c>
      <c r="E27" s="7" t="n">
        <v>164</v>
      </c>
      <c r="F27" s="7" t="n">
        <v>164</v>
      </c>
      <c r="G27" s="7" t="n">
        <v>0</v>
      </c>
      <c r="H27" s="7" t="n">
        <v>20</v>
      </c>
      <c r="I27" s="7" t="n">
        <v>32.8</v>
      </c>
      <c r="J27" s="7" t="n">
        <v>32.8</v>
      </c>
      <c r="K27" s="7" t="n">
        <v>97.90000000000001</v>
      </c>
      <c r="L27" s="7" t="n">
        <v>97.95</v>
      </c>
      <c r="M27" s="7" t="inlineStr">
        <is>
          <t>一致</t>
        </is>
      </c>
    </row>
    <row r="28">
      <c r="A28" s="7" t="inlineStr">
        <is>
          <t>2#墩</t>
        </is>
      </c>
      <c r="B28" s="7" t="inlineStr">
        <is>
          <t>右侧</t>
        </is>
      </c>
      <c r="C28" s="7" t="inlineStr">
        <is>
          <t>3a</t>
        </is>
      </c>
      <c r="D28" s="7" t="n">
        <v>10</v>
      </c>
      <c r="E28" s="7" t="n">
        <v>208</v>
      </c>
      <c r="F28" s="7" t="n">
        <v>208</v>
      </c>
      <c r="G28" s="7" t="n">
        <v>0</v>
      </c>
      <c r="H28" s="7" t="n">
        <v>6</v>
      </c>
      <c r="I28" s="7" t="n">
        <v>12.5</v>
      </c>
      <c r="J28" s="7" t="n">
        <v>12.48</v>
      </c>
      <c r="K28" s="7" t="n">
        <v>7.7</v>
      </c>
      <c r="L28" s="7" t="n">
        <v>7.7</v>
      </c>
      <c r="M28" s="7" t="inlineStr">
        <is>
          <t>一致</t>
        </is>
      </c>
    </row>
    <row r="29">
      <c r="A29" s="7" t="inlineStr">
        <is>
          <t>2#墩</t>
        </is>
      </c>
      <c r="B29" s="7" t="inlineStr">
        <is>
          <t>右侧</t>
        </is>
      </c>
      <c r="C29" s="7" t="inlineStr">
        <is>
          <t>4a</t>
        </is>
      </c>
      <c r="D29" s="7" t="n">
        <v>10</v>
      </c>
      <c r="E29" s="7" t="n">
        <v>208.2</v>
      </c>
      <c r="F29" s="7" t="n">
        <v>208.17</v>
      </c>
      <c r="G29" s="7" t="n">
        <v>0.03</v>
      </c>
      <c r="H29" s="7" t="n">
        <v>3</v>
      </c>
      <c r="I29" s="7" t="n">
        <v>6.2</v>
      </c>
      <c r="J29" s="7" t="n">
        <v>6.24</v>
      </c>
      <c r="K29" s="7" t="n">
        <v>3.9</v>
      </c>
      <c r="L29" s="7" t="n">
        <v>3.85</v>
      </c>
      <c r="M29" s="7" t="inlineStr">
        <is>
          <t>一致</t>
        </is>
      </c>
    </row>
    <row r="30">
      <c r="A30" s="7" t="inlineStr">
        <is>
          <t>2#墩</t>
        </is>
      </c>
      <c r="B30" s="7" t="inlineStr">
        <is>
          <t>右侧</t>
        </is>
      </c>
      <c r="C30" s="7" t="inlineStr">
        <is>
          <t>5a</t>
        </is>
      </c>
      <c r="D30" s="7" t="n">
        <v>10</v>
      </c>
      <c r="E30" s="7" t="n">
        <v>482.1</v>
      </c>
      <c r="F30" s="7" t="n">
        <v>482.07</v>
      </c>
      <c r="G30" s="7" t="n">
        <v>0.03</v>
      </c>
      <c r="H30" s="7" t="n">
        <v>11</v>
      </c>
      <c r="I30" s="7" t="n">
        <v>53</v>
      </c>
      <c r="J30" s="7" t="n">
        <v>53.03</v>
      </c>
      <c r="K30" s="7" t="n">
        <v>32.7</v>
      </c>
      <c r="L30" s="7" t="n">
        <v>32.72</v>
      </c>
      <c r="M30" s="7" t="inlineStr">
        <is>
          <t>一致</t>
        </is>
      </c>
    </row>
    <row r="31">
      <c r="A31" s="7" t="inlineStr">
        <is>
          <t>2#墩</t>
        </is>
      </c>
      <c r="B31" s="7" t="inlineStr">
        <is>
          <t>右侧</t>
        </is>
      </c>
      <c r="C31" s="7" t="inlineStr">
        <is>
          <t>6a</t>
        </is>
      </c>
      <c r="D31" s="7" t="n">
        <v>10</v>
      </c>
      <c r="E31" s="7" t="n">
        <v>473.1</v>
      </c>
      <c r="F31" s="7" t="n">
        <v>473.07</v>
      </c>
      <c r="G31" s="7" t="n">
        <v>0.03</v>
      </c>
      <c r="H31" s="7" t="n">
        <v>2</v>
      </c>
      <c r="I31" s="7" t="n">
        <v>9.5</v>
      </c>
      <c r="J31" s="7" t="n">
        <v>9.460000000000001</v>
      </c>
      <c r="K31" s="7" t="n">
        <v>5.8</v>
      </c>
      <c r="L31" s="7" t="n">
        <v>5.84</v>
      </c>
      <c r="M31" s="7" t="inlineStr">
        <is>
          <t>一致</t>
        </is>
      </c>
    </row>
    <row r="32">
      <c r="A32" s="7" t="inlineStr">
        <is>
          <t>3#墩小里程</t>
        </is>
      </c>
      <c r="B32" s="7" t="inlineStr">
        <is>
          <t>左侧</t>
        </is>
      </c>
      <c r="C32" s="7" t="inlineStr">
        <is>
          <t>1a</t>
        </is>
      </c>
      <c r="D32" s="7" t="n">
        <v>22</v>
      </c>
      <c r="E32" s="7" t="n">
        <v>261.4</v>
      </c>
      <c r="F32" s="7" t="n">
        <v>261.44</v>
      </c>
      <c r="G32" s="7" t="n">
        <v>-0.04</v>
      </c>
      <c r="H32" s="7" t="n">
        <v>10</v>
      </c>
      <c r="I32" s="7" t="n">
        <v>26.1</v>
      </c>
      <c r="J32" s="7" t="n">
        <v>26.14</v>
      </c>
      <c r="K32" s="7" t="n">
        <v>78.09999999999999</v>
      </c>
      <c r="L32" s="7" t="n">
        <v>78.06999999999999</v>
      </c>
      <c r="M32" s="7" t="inlineStr">
        <is>
          <t>一致</t>
        </is>
      </c>
    </row>
    <row r="33">
      <c r="A33" s="7" t="inlineStr">
        <is>
          <t>3#墩小里程</t>
        </is>
      </c>
      <c r="B33" s="7" t="inlineStr">
        <is>
          <t>左侧</t>
        </is>
      </c>
      <c r="C33" s="7" t="inlineStr">
        <is>
          <t>2a</t>
        </is>
      </c>
      <c r="D33" s="7" t="n">
        <v>22</v>
      </c>
      <c r="E33" s="7" t="n">
        <v>164</v>
      </c>
      <c r="F33" s="7" t="n">
        <v>164</v>
      </c>
      <c r="G33" s="7" t="n">
        <v>0</v>
      </c>
      <c r="H33" s="7" t="n">
        <v>10</v>
      </c>
      <c r="I33" s="7" t="n">
        <v>16.4</v>
      </c>
      <c r="J33" s="7" t="n">
        <v>16.4</v>
      </c>
      <c r="K33" s="7" t="n">
        <v>49</v>
      </c>
      <c r="L33" s="7" t="n">
        <v>48.97</v>
      </c>
      <c r="M33" s="7" t="inlineStr">
        <is>
          <t>一致</t>
        </is>
      </c>
    </row>
    <row r="34">
      <c r="A34" s="7" t="inlineStr">
        <is>
          <t>3#墩小里程</t>
        </is>
      </c>
      <c r="B34" s="7" t="inlineStr">
        <is>
          <t>左侧</t>
        </is>
      </c>
      <c r="C34" s="7" t="inlineStr">
        <is>
          <t>3a</t>
        </is>
      </c>
      <c r="D34" s="7" t="n">
        <v>10</v>
      </c>
      <c r="E34" s="7" t="n">
        <v>108</v>
      </c>
      <c r="F34" s="7" t="n">
        <v>108</v>
      </c>
      <c r="G34" s="7" t="n">
        <v>0</v>
      </c>
      <c r="H34" s="7" t="n">
        <v>6</v>
      </c>
      <c r="I34" s="7" t="n">
        <v>6.5</v>
      </c>
      <c r="J34" s="7" t="n">
        <v>6.48</v>
      </c>
      <c r="K34" s="7" t="n">
        <v>4</v>
      </c>
      <c r="L34" s="7" t="n">
        <v>4</v>
      </c>
      <c r="M34" s="7" t="inlineStr">
        <is>
          <t>一致</t>
        </is>
      </c>
    </row>
    <row r="35">
      <c r="A35" s="7" t="inlineStr">
        <is>
          <t>3#墩小里程</t>
        </is>
      </c>
      <c r="B35" s="7" t="inlineStr">
        <is>
          <t>左侧</t>
        </is>
      </c>
      <c r="C35" s="7" t="inlineStr">
        <is>
          <t>4a</t>
        </is>
      </c>
      <c r="D35" s="7" t="n">
        <v>10</v>
      </c>
      <c r="E35" s="7" t="n">
        <v>108.2</v>
      </c>
      <c r="F35" s="7" t="n">
        <v>108.16</v>
      </c>
      <c r="G35" s="7" t="n">
        <v>0.04</v>
      </c>
      <c r="H35" s="7" t="n">
        <v>3</v>
      </c>
      <c r="I35" s="7" t="n">
        <v>3.2</v>
      </c>
      <c r="J35" s="7" t="n">
        <v>3.24</v>
      </c>
      <c r="K35" s="7" t="n">
        <v>2</v>
      </c>
      <c r="L35" s="7" t="n">
        <v>2</v>
      </c>
      <c r="M35" s="7" t="inlineStr">
        <is>
          <t>一致</t>
        </is>
      </c>
    </row>
    <row r="36">
      <c r="A36" s="7" t="inlineStr">
        <is>
          <t>3#墩小里程</t>
        </is>
      </c>
      <c r="B36" s="7" t="inlineStr">
        <is>
          <t>左侧</t>
        </is>
      </c>
      <c r="C36" s="7" t="inlineStr">
        <is>
          <t>5a</t>
        </is>
      </c>
      <c r="D36" s="7" t="n">
        <v>10</v>
      </c>
      <c r="E36" s="7" t="n">
        <v>281.3</v>
      </c>
      <c r="F36" s="7" t="n">
        <v>281.26</v>
      </c>
      <c r="G36" s="7" t="n">
        <v>0.04</v>
      </c>
      <c r="H36" s="7" t="n">
        <v>11</v>
      </c>
      <c r="I36" s="7" t="n">
        <v>30.9</v>
      </c>
      <c r="J36" s="7" t="n">
        <v>30.94</v>
      </c>
      <c r="K36" s="7" t="n">
        <v>19.1</v>
      </c>
      <c r="L36" s="7" t="n">
        <v>19.09</v>
      </c>
      <c r="M36" s="7" t="inlineStr">
        <is>
          <t>一致</t>
        </is>
      </c>
    </row>
    <row r="37">
      <c r="A37" s="7" t="inlineStr">
        <is>
          <t>3#墩小里程</t>
        </is>
      </c>
      <c r="B37" s="7" t="inlineStr">
        <is>
          <t>左侧</t>
        </is>
      </c>
      <c r="C37" s="7" t="inlineStr">
        <is>
          <t>6a</t>
        </is>
      </c>
      <c r="D37" s="7" t="n">
        <v>10</v>
      </c>
      <c r="E37" s="7" t="n">
        <v>272.3</v>
      </c>
      <c r="F37" s="7" t="n">
        <v>272.26</v>
      </c>
      <c r="G37" s="7" t="n">
        <v>0.04</v>
      </c>
      <c r="H37" s="7" t="n">
        <v>2</v>
      </c>
      <c r="I37" s="7" t="n">
        <v>5.4</v>
      </c>
      <c r="J37" s="7" t="n">
        <v>5.45</v>
      </c>
      <c r="K37" s="7" t="n">
        <v>3.4</v>
      </c>
      <c r="L37" s="7" t="n">
        <v>3.36</v>
      </c>
      <c r="M37" s="7" t="inlineStr">
        <is>
          <t>一致</t>
        </is>
      </c>
    </row>
    <row r="38">
      <c r="A38" s="7" t="inlineStr">
        <is>
          <t>3#墩大里程</t>
        </is>
      </c>
      <c r="B38" s="7" t="inlineStr">
        <is>
          <t>左侧</t>
        </is>
      </c>
      <c r="C38" s="7" t="inlineStr">
        <is>
          <t>1a</t>
        </is>
      </c>
      <c r="D38" s="7" t="n">
        <v>22</v>
      </c>
      <c r="E38" s="7" t="n">
        <v>270.5</v>
      </c>
      <c r="F38" s="7" t="n">
        <v>270.51</v>
      </c>
      <c r="G38" s="7" t="n">
        <v>-0.01</v>
      </c>
      <c r="H38" s="7" t="n">
        <v>10</v>
      </c>
      <c r="I38" s="7" t="n">
        <v>27.1</v>
      </c>
      <c r="J38" s="7" t="n">
        <v>27.05</v>
      </c>
      <c r="K38" s="7" t="n">
        <v>80.8</v>
      </c>
      <c r="L38" s="7" t="n">
        <v>80.78</v>
      </c>
      <c r="M38" s="7" t="inlineStr">
        <is>
          <t>一致</t>
        </is>
      </c>
    </row>
    <row r="39">
      <c r="A39" s="7" t="inlineStr">
        <is>
          <t>3#墩大里程</t>
        </is>
      </c>
      <c r="B39" s="7" t="inlineStr">
        <is>
          <t>左侧</t>
        </is>
      </c>
      <c r="C39" s="7" t="inlineStr">
        <is>
          <t>2a</t>
        </is>
      </c>
      <c r="D39" s="7" t="n">
        <v>22</v>
      </c>
      <c r="E39" s="7" t="n">
        <v>164</v>
      </c>
      <c r="F39" s="7" t="n">
        <v>164</v>
      </c>
      <c r="G39" s="7" t="n">
        <v>0</v>
      </c>
      <c r="H39" s="7" t="n">
        <v>10</v>
      </c>
      <c r="I39" s="7" t="n">
        <v>16.4</v>
      </c>
      <c r="J39" s="7" t="n">
        <v>16.4</v>
      </c>
      <c r="K39" s="7" t="n">
        <v>49</v>
      </c>
      <c r="L39" s="7" t="n">
        <v>48.97</v>
      </c>
      <c r="M39" s="7" t="inlineStr">
        <is>
          <t>一致</t>
        </is>
      </c>
    </row>
    <row r="40">
      <c r="A40" s="7" t="inlineStr">
        <is>
          <t>3#墩大里程</t>
        </is>
      </c>
      <c r="B40" s="7" t="inlineStr">
        <is>
          <t>左侧</t>
        </is>
      </c>
      <c r="C40" s="7" t="inlineStr">
        <is>
          <t>3a</t>
        </is>
      </c>
      <c r="D40" s="7" t="n">
        <v>10</v>
      </c>
      <c r="E40" s="7" t="n">
        <v>108</v>
      </c>
      <c r="F40" s="7" t="n">
        <v>108</v>
      </c>
      <c r="G40" s="7" t="n">
        <v>0</v>
      </c>
      <c r="H40" s="7" t="n">
        <v>6</v>
      </c>
      <c r="I40" s="7" t="n">
        <v>6.5</v>
      </c>
      <c r="J40" s="7" t="n">
        <v>6.48</v>
      </c>
      <c r="K40" s="7" t="n">
        <v>4</v>
      </c>
      <c r="L40" s="7" t="n">
        <v>4</v>
      </c>
      <c r="M40" s="7" t="inlineStr">
        <is>
          <t>一致</t>
        </is>
      </c>
    </row>
    <row r="41">
      <c r="A41" s="7" t="inlineStr">
        <is>
          <t>3#墩大里程</t>
        </is>
      </c>
      <c r="B41" s="7" t="inlineStr">
        <is>
          <t>左侧</t>
        </is>
      </c>
      <c r="C41" s="7" t="inlineStr">
        <is>
          <t>4a</t>
        </is>
      </c>
      <c r="D41" s="7" t="n">
        <v>10</v>
      </c>
      <c r="E41" s="7" t="n">
        <v>108.2</v>
      </c>
      <c r="F41" s="7" t="n">
        <v>108.25</v>
      </c>
      <c r="G41" s="7" t="n">
        <v>-0.05</v>
      </c>
      <c r="H41" s="7" t="n">
        <v>3</v>
      </c>
      <c r="I41" s="7" t="n">
        <v>3.2</v>
      </c>
      <c r="J41" s="7" t="n">
        <v>3.25</v>
      </c>
      <c r="K41" s="7" t="n">
        <v>2</v>
      </c>
      <c r="L41" s="7" t="n">
        <v>2</v>
      </c>
      <c r="M41" s="7" t="inlineStr">
        <is>
          <t>一致</t>
        </is>
      </c>
    </row>
    <row r="42">
      <c r="A42" s="7" t="inlineStr">
        <is>
          <t>3#墩大里程</t>
        </is>
      </c>
      <c r="B42" s="7" t="inlineStr">
        <is>
          <t>左侧</t>
        </is>
      </c>
      <c r="C42" s="7" t="inlineStr">
        <is>
          <t>5a</t>
        </is>
      </c>
      <c r="D42" s="7" t="n">
        <v>10</v>
      </c>
      <c r="E42" s="7" t="n">
        <v>298.7</v>
      </c>
      <c r="F42" s="7" t="n">
        <v>298.75</v>
      </c>
      <c r="G42" s="7" t="n">
        <v>-0.05</v>
      </c>
      <c r="H42" s="7" t="n">
        <v>11</v>
      </c>
      <c r="I42" s="7" t="n">
        <v>32.9</v>
      </c>
      <c r="J42" s="7" t="n">
        <v>32.86</v>
      </c>
      <c r="K42" s="7" t="n">
        <v>20.3</v>
      </c>
      <c r="L42" s="7" t="n">
        <v>20.28</v>
      </c>
      <c r="M42" s="7" t="inlineStr">
        <is>
          <t>一致</t>
        </is>
      </c>
    </row>
    <row r="43">
      <c r="A43" s="7" t="inlineStr">
        <is>
          <t>3#墩大里程</t>
        </is>
      </c>
      <c r="B43" s="7" t="inlineStr">
        <is>
          <t>左侧</t>
        </is>
      </c>
      <c r="C43" s="7" t="inlineStr">
        <is>
          <t>6a</t>
        </is>
      </c>
      <c r="D43" s="7" t="n">
        <v>10</v>
      </c>
      <c r="E43" s="7" t="n">
        <v>289.7</v>
      </c>
      <c r="F43" s="7" t="n">
        <v>289.75</v>
      </c>
      <c r="G43" s="7" t="n">
        <v>-0.05</v>
      </c>
      <c r="H43" s="7" t="n">
        <v>2</v>
      </c>
      <c r="I43" s="7" t="n">
        <v>5.8</v>
      </c>
      <c r="J43" s="7" t="n">
        <v>5.79</v>
      </c>
      <c r="K43" s="7" t="n">
        <v>3.6</v>
      </c>
      <c r="L43" s="7" t="n">
        <v>3.58</v>
      </c>
      <c r="M43" s="7" t="inlineStr">
        <is>
          <t>一致</t>
        </is>
      </c>
    </row>
    <row r="44">
      <c r="A44" s="7" t="inlineStr">
        <is>
          <t>3#墩</t>
        </is>
      </c>
      <c r="B44" s="7" t="inlineStr">
        <is>
          <t>右侧</t>
        </is>
      </c>
      <c r="C44" s="7" t="inlineStr">
        <is>
          <t>1a</t>
        </is>
      </c>
      <c r="D44" s="7" t="n">
        <v>22</v>
      </c>
      <c r="E44" s="7" t="n">
        <v>263.1</v>
      </c>
      <c r="F44" s="7" t="n">
        <v>263.08</v>
      </c>
      <c r="G44" s="7" t="n">
        <v>0.02</v>
      </c>
      <c r="H44" s="7" t="n">
        <v>20</v>
      </c>
      <c r="I44" s="7" t="n">
        <v>52.6</v>
      </c>
      <c r="J44" s="7" t="n">
        <v>52.62</v>
      </c>
      <c r="K44" s="7" t="n">
        <v>157.1</v>
      </c>
      <c r="L44" s="7" t="n">
        <v>157.12</v>
      </c>
      <c r="M44" s="7" t="inlineStr">
        <is>
          <t>一致</t>
        </is>
      </c>
    </row>
    <row r="45">
      <c r="A45" s="7" t="inlineStr">
        <is>
          <t>3#墩</t>
        </is>
      </c>
      <c r="B45" s="7" t="inlineStr">
        <is>
          <t>右侧</t>
        </is>
      </c>
      <c r="C45" s="7" t="inlineStr">
        <is>
          <t>2a</t>
        </is>
      </c>
      <c r="D45" s="7" t="n">
        <v>22</v>
      </c>
      <c r="E45" s="7" t="n">
        <v>164</v>
      </c>
      <c r="F45" s="7" t="n">
        <v>164</v>
      </c>
      <c r="G45" s="7" t="n">
        <v>0</v>
      </c>
      <c r="H45" s="7" t="n">
        <v>20</v>
      </c>
      <c r="I45" s="7" t="n">
        <v>32.8</v>
      </c>
      <c r="J45" s="7" t="n">
        <v>32.8</v>
      </c>
      <c r="K45" s="7" t="n">
        <v>97.90000000000001</v>
      </c>
      <c r="L45" s="7" t="n">
        <v>97.95</v>
      </c>
      <c r="M45" s="7" t="inlineStr">
        <is>
          <t>一致</t>
        </is>
      </c>
    </row>
    <row r="46">
      <c r="A46" s="7" t="inlineStr">
        <is>
          <t>3#墩</t>
        </is>
      </c>
      <c r="B46" s="7" t="inlineStr">
        <is>
          <t>右侧</t>
        </is>
      </c>
      <c r="C46" s="7" t="inlineStr">
        <is>
          <t>3a</t>
        </is>
      </c>
      <c r="D46" s="7" t="n">
        <v>10</v>
      </c>
      <c r="E46" s="7" t="n">
        <v>208</v>
      </c>
      <c r="F46" s="7" t="n">
        <v>208</v>
      </c>
      <c r="G46" s="7" t="n">
        <v>0</v>
      </c>
      <c r="H46" s="7" t="n">
        <v>6</v>
      </c>
      <c r="I46" s="7" t="n">
        <v>12.5</v>
      </c>
      <c r="J46" s="7" t="n">
        <v>12.48</v>
      </c>
      <c r="K46" s="7" t="n">
        <v>7.7</v>
      </c>
      <c r="L46" s="7" t="n">
        <v>7.7</v>
      </c>
      <c r="M46" s="7" t="inlineStr">
        <is>
          <t>一致</t>
        </is>
      </c>
    </row>
    <row r="47">
      <c r="A47" s="7" t="inlineStr">
        <is>
          <t>3#墩</t>
        </is>
      </c>
      <c r="B47" s="7" t="inlineStr">
        <is>
          <t>右侧</t>
        </is>
      </c>
      <c r="C47" s="7" t="inlineStr">
        <is>
          <t>4a</t>
        </is>
      </c>
      <c r="D47" s="7" t="n">
        <v>10</v>
      </c>
      <c r="E47" s="7" t="n">
        <v>208.5</v>
      </c>
      <c r="F47" s="7" t="n">
        <v>208.45</v>
      </c>
      <c r="G47" s="7" t="n">
        <v>0.05</v>
      </c>
      <c r="H47" s="7" t="n">
        <v>3</v>
      </c>
      <c r="I47" s="7" t="n">
        <v>6.3</v>
      </c>
      <c r="J47" s="7" t="n">
        <v>6.25</v>
      </c>
      <c r="K47" s="7" t="n">
        <v>3.9</v>
      </c>
      <c r="L47" s="7" t="n">
        <v>3.86</v>
      </c>
      <c r="M47" s="7" t="inlineStr">
        <is>
          <t>一致</t>
        </is>
      </c>
    </row>
    <row r="48">
      <c r="A48" s="7" t="inlineStr">
        <is>
          <t>3#墩</t>
        </is>
      </c>
      <c r="B48" s="7" t="inlineStr">
        <is>
          <t>右侧</t>
        </is>
      </c>
      <c r="C48" s="7" t="inlineStr">
        <is>
          <t>5a</t>
        </is>
      </c>
      <c r="D48" s="7" t="n">
        <v>10</v>
      </c>
      <c r="E48" s="7" t="n">
        <v>484.9</v>
      </c>
      <c r="F48" s="7" t="n">
        <v>484.85</v>
      </c>
      <c r="G48" s="7" t="n">
        <v>0.05</v>
      </c>
      <c r="H48" s="7" t="n">
        <v>11</v>
      </c>
      <c r="I48" s="7" t="n">
        <v>53.3</v>
      </c>
      <c r="J48" s="7" t="n">
        <v>53.33</v>
      </c>
      <c r="K48" s="7" t="n">
        <v>32.9</v>
      </c>
      <c r="L48" s="7" t="n">
        <v>32.91</v>
      </c>
      <c r="M48" s="7" t="inlineStr">
        <is>
          <t>一致</t>
        </is>
      </c>
    </row>
    <row r="49">
      <c r="A49" s="7" t="inlineStr">
        <is>
          <t>3#墩</t>
        </is>
      </c>
      <c r="B49" s="7" t="inlineStr">
        <is>
          <t>右侧</t>
        </is>
      </c>
      <c r="C49" s="7" t="inlineStr">
        <is>
          <t>6a</t>
        </is>
      </c>
      <c r="D49" s="7" t="n">
        <v>10</v>
      </c>
      <c r="E49" s="7" t="n">
        <v>475.9</v>
      </c>
      <c r="F49" s="7" t="n">
        <v>475.85</v>
      </c>
      <c r="G49" s="7" t="n">
        <v>0.05</v>
      </c>
      <c r="H49" s="7" t="n">
        <v>2</v>
      </c>
      <c r="I49" s="7" t="n">
        <v>9.5</v>
      </c>
      <c r="J49" s="7" t="n">
        <v>9.52</v>
      </c>
      <c r="K49" s="7" t="n">
        <v>5.9</v>
      </c>
      <c r="L49" s="7" t="n">
        <v>5.87</v>
      </c>
      <c r="M49" s="7" t="inlineStr">
        <is>
          <t>一致</t>
        </is>
      </c>
    </row>
    <row r="50">
      <c r="A50" s="7" t="inlineStr">
        <is>
          <t>4#墩</t>
        </is>
      </c>
      <c r="B50" s="7" t="inlineStr">
        <is>
          <t>左侧</t>
        </is>
      </c>
      <c r="C50" s="7" t="inlineStr">
        <is>
          <t>1a</t>
        </is>
      </c>
      <c r="D50" s="7" t="n">
        <v>22</v>
      </c>
      <c r="E50" s="7" t="n">
        <v>260.9</v>
      </c>
      <c r="F50" s="7" t="n">
        <v>260.94</v>
      </c>
      <c r="G50" s="7" t="n">
        <v>-0.04</v>
      </c>
      <c r="H50" s="7" t="n">
        <v>20</v>
      </c>
      <c r="I50" s="7" t="n">
        <v>52.2</v>
      </c>
      <c r="J50" s="7" t="n">
        <v>52.19</v>
      </c>
      <c r="K50" s="7" t="n">
        <v>155.9</v>
      </c>
      <c r="L50" s="7" t="n">
        <v>155.85</v>
      </c>
      <c r="M50" s="7" t="inlineStr">
        <is>
          <t>一致</t>
        </is>
      </c>
    </row>
    <row r="51">
      <c r="A51" s="7" t="inlineStr">
        <is>
          <t>4#墩</t>
        </is>
      </c>
      <c r="B51" s="7" t="inlineStr">
        <is>
          <t>左侧</t>
        </is>
      </c>
      <c r="C51" s="7" t="inlineStr">
        <is>
          <t>2a</t>
        </is>
      </c>
      <c r="D51" s="7" t="n">
        <v>22</v>
      </c>
      <c r="E51" s="7" t="n">
        <v>164</v>
      </c>
      <c r="F51" s="7" t="n">
        <v>164</v>
      </c>
      <c r="G51" s="7" t="n">
        <v>0</v>
      </c>
      <c r="H51" s="7" t="n">
        <v>20</v>
      </c>
      <c r="I51" s="7" t="n">
        <v>32.8</v>
      </c>
      <c r="J51" s="7" t="n">
        <v>32.8</v>
      </c>
      <c r="K51" s="7" t="n">
        <v>97.90000000000001</v>
      </c>
      <c r="L51" s="7" t="n">
        <v>97.95</v>
      </c>
      <c r="M51" s="7" t="inlineStr">
        <is>
          <t>一致</t>
        </is>
      </c>
    </row>
    <row r="52">
      <c r="A52" s="7" t="inlineStr">
        <is>
          <t>4#墩</t>
        </is>
      </c>
      <c r="B52" s="7" t="inlineStr">
        <is>
          <t>左侧</t>
        </is>
      </c>
      <c r="C52" s="7" t="inlineStr">
        <is>
          <t>3a</t>
        </is>
      </c>
      <c r="D52" s="7" t="n">
        <v>10</v>
      </c>
      <c r="E52" s="7" t="n">
        <v>208</v>
      </c>
      <c r="F52" s="7" t="n">
        <v>208</v>
      </c>
      <c r="G52" s="7" t="n">
        <v>0</v>
      </c>
      <c r="H52" s="7" t="n">
        <v>6</v>
      </c>
      <c r="I52" s="7" t="n">
        <v>12.5</v>
      </c>
      <c r="J52" s="7" t="n">
        <v>12.48</v>
      </c>
      <c r="K52" s="7" t="n">
        <v>7.7</v>
      </c>
      <c r="L52" s="7" t="n">
        <v>7.7</v>
      </c>
      <c r="M52" s="7" t="inlineStr">
        <is>
          <t>一致</t>
        </is>
      </c>
    </row>
    <row r="53">
      <c r="A53" s="7" t="inlineStr">
        <is>
          <t>4#墩</t>
        </is>
      </c>
      <c r="B53" s="7" t="inlineStr">
        <is>
          <t>左侧</t>
        </is>
      </c>
      <c r="C53" s="7" t="inlineStr">
        <is>
          <t>4a</t>
        </is>
      </c>
      <c r="D53" s="7" t="n">
        <v>10</v>
      </c>
      <c r="E53" s="7" t="n">
        <v>208.7</v>
      </c>
      <c r="F53" s="7" t="n">
        <v>208.72</v>
      </c>
      <c r="G53" s="7" t="n">
        <v>-0.02</v>
      </c>
      <c r="H53" s="7" t="n">
        <v>3</v>
      </c>
      <c r="I53" s="7" t="n">
        <v>6.3</v>
      </c>
      <c r="J53" s="7" t="n">
        <v>6.26</v>
      </c>
      <c r="K53" s="7" t="n">
        <v>3.9</v>
      </c>
      <c r="L53" s="7" t="n">
        <v>3.86</v>
      </c>
      <c r="M53" s="7" t="inlineStr">
        <is>
          <t>一致</t>
        </is>
      </c>
    </row>
    <row r="54">
      <c r="A54" s="7" t="inlineStr">
        <is>
          <t>4#墩</t>
        </is>
      </c>
      <c r="B54" s="7" t="inlineStr">
        <is>
          <t>左侧</t>
        </is>
      </c>
      <c r="C54" s="7" t="inlineStr">
        <is>
          <t>5a</t>
        </is>
      </c>
      <c r="D54" s="7" t="n">
        <v>10</v>
      </c>
      <c r="E54" s="7" t="n">
        <v>487.2</v>
      </c>
      <c r="F54" s="7" t="n">
        <v>487.22</v>
      </c>
      <c r="G54" s="7" t="n">
        <v>-0.02</v>
      </c>
      <c r="H54" s="7" t="n">
        <v>11</v>
      </c>
      <c r="I54" s="7" t="n">
        <v>53.6</v>
      </c>
      <c r="J54" s="7" t="n">
        <v>53.59</v>
      </c>
      <c r="K54" s="7" t="n">
        <v>33.1</v>
      </c>
      <c r="L54" s="7" t="n">
        <v>33.07</v>
      </c>
      <c r="M54" s="7" t="inlineStr">
        <is>
          <t>一致</t>
        </is>
      </c>
    </row>
    <row r="55">
      <c r="A55" s="7" t="inlineStr">
        <is>
          <t>4#墩</t>
        </is>
      </c>
      <c r="B55" s="7" t="inlineStr">
        <is>
          <t>左侧</t>
        </is>
      </c>
      <c r="C55" s="7" t="inlineStr">
        <is>
          <t>6a</t>
        </is>
      </c>
      <c r="D55" s="7" t="n">
        <v>10</v>
      </c>
      <c r="E55" s="7" t="n">
        <v>478.2</v>
      </c>
      <c r="F55" s="7" t="n">
        <v>478.22</v>
      </c>
      <c r="G55" s="7" t="n">
        <v>-0.02</v>
      </c>
      <c r="H55" s="7" t="n">
        <v>2</v>
      </c>
      <c r="I55" s="7" t="n">
        <v>9.6</v>
      </c>
      <c r="J55" s="7" t="n">
        <v>9.56</v>
      </c>
      <c r="K55" s="7" t="n">
        <v>5.9</v>
      </c>
      <c r="L55" s="7" t="n">
        <v>5.9</v>
      </c>
      <c r="M55" s="7" t="inlineStr">
        <is>
          <t>一致</t>
        </is>
      </c>
    </row>
    <row r="56">
      <c r="A56" s="7" t="inlineStr">
        <is>
          <t>4#墩</t>
        </is>
      </c>
      <c r="B56" s="7" t="inlineStr">
        <is>
          <t>右侧</t>
        </is>
      </c>
      <c r="C56" s="7" t="inlineStr">
        <is>
          <t>1a</t>
        </is>
      </c>
      <c r="D56" s="7" t="n">
        <v>22</v>
      </c>
      <c r="E56" s="7" t="n">
        <v>264.2</v>
      </c>
      <c r="F56" s="7" t="n">
        <v>264.24</v>
      </c>
      <c r="G56" s="7" t="n">
        <v>-0.04</v>
      </c>
      <c r="H56" s="7" t="n">
        <v>20</v>
      </c>
      <c r="I56" s="7" t="n">
        <v>52.8</v>
      </c>
      <c r="J56" s="7" t="n">
        <v>52.85</v>
      </c>
      <c r="K56" s="7" t="n">
        <v>157.8</v>
      </c>
      <c r="L56" s="7" t="n">
        <v>157.82</v>
      </c>
      <c r="M56" s="7" t="inlineStr">
        <is>
          <t>一致</t>
        </is>
      </c>
    </row>
    <row r="57">
      <c r="A57" s="7" t="inlineStr">
        <is>
          <t>4#墩</t>
        </is>
      </c>
      <c r="B57" s="7" t="inlineStr">
        <is>
          <t>右侧</t>
        </is>
      </c>
      <c r="C57" s="7" t="inlineStr">
        <is>
          <t>2a</t>
        </is>
      </c>
      <c r="D57" s="7" t="n">
        <v>22</v>
      </c>
      <c r="E57" s="7" t="n">
        <v>164</v>
      </c>
      <c r="F57" s="7" t="n">
        <v>164</v>
      </c>
      <c r="G57" s="7" t="n">
        <v>0</v>
      </c>
      <c r="H57" s="7" t="n">
        <v>20</v>
      </c>
      <c r="I57" s="7" t="n">
        <v>32.8</v>
      </c>
      <c r="J57" s="7" t="n">
        <v>32.8</v>
      </c>
      <c r="K57" s="7" t="n">
        <v>97.90000000000001</v>
      </c>
      <c r="L57" s="7" t="n">
        <v>97.95</v>
      </c>
      <c r="M57" s="7" t="inlineStr">
        <is>
          <t>一致</t>
        </is>
      </c>
    </row>
    <row r="58">
      <c r="A58" s="7" t="inlineStr">
        <is>
          <t>4#墩</t>
        </is>
      </c>
      <c r="B58" s="7" t="inlineStr">
        <is>
          <t>右侧</t>
        </is>
      </c>
      <c r="C58" s="7" t="inlineStr">
        <is>
          <t>3a</t>
        </is>
      </c>
      <c r="D58" s="7" t="n">
        <v>10</v>
      </c>
      <c r="E58" s="7" t="n">
        <v>208</v>
      </c>
      <c r="F58" s="7" t="n">
        <v>208</v>
      </c>
      <c r="G58" s="7" t="n">
        <v>0</v>
      </c>
      <c r="H58" s="7" t="n">
        <v>6</v>
      </c>
      <c r="I58" s="7" t="n">
        <v>12.5</v>
      </c>
      <c r="J58" s="7" t="n">
        <v>12.48</v>
      </c>
      <c r="K58" s="7" t="n">
        <v>7.7</v>
      </c>
      <c r="L58" s="7" t="n">
        <v>7.7</v>
      </c>
      <c r="M58" s="7" t="inlineStr">
        <is>
          <t>一致</t>
        </is>
      </c>
    </row>
    <row r="59">
      <c r="A59" s="7" t="inlineStr">
        <is>
          <t>4#墩</t>
        </is>
      </c>
      <c r="B59" s="7" t="inlineStr">
        <is>
          <t>右侧</t>
        </is>
      </c>
      <c r="C59" s="7" t="inlineStr">
        <is>
          <t>4a</t>
        </is>
      </c>
      <c r="D59" s="7" t="n">
        <v>10</v>
      </c>
      <c r="E59" s="7" t="n">
        <v>208.7</v>
      </c>
      <c r="F59" s="7" t="n">
        <v>208.72</v>
      </c>
      <c r="G59" s="7" t="n">
        <v>-0.02</v>
      </c>
      <c r="H59" s="7" t="n">
        <v>3</v>
      </c>
      <c r="I59" s="7" t="n">
        <v>6.3</v>
      </c>
      <c r="J59" s="7" t="n">
        <v>6.26</v>
      </c>
      <c r="K59" s="7" t="n">
        <v>3.9</v>
      </c>
      <c r="L59" s="7" t="n">
        <v>3.86</v>
      </c>
      <c r="M59" s="7" t="inlineStr">
        <is>
          <t>一致</t>
        </is>
      </c>
    </row>
    <row r="60">
      <c r="A60" s="7" t="inlineStr">
        <is>
          <t>4#墩</t>
        </is>
      </c>
      <c r="B60" s="7" t="inlineStr">
        <is>
          <t>右侧</t>
        </is>
      </c>
      <c r="C60" s="7" t="inlineStr">
        <is>
          <t>5a</t>
        </is>
      </c>
      <c r="D60" s="7" t="n">
        <v>10</v>
      </c>
      <c r="E60" s="7" t="n">
        <v>486.9</v>
      </c>
      <c r="F60" s="7" t="n">
        <v>486.92</v>
      </c>
      <c r="G60" s="7" t="n">
        <v>-0.02</v>
      </c>
      <c r="H60" s="7" t="n">
        <v>11</v>
      </c>
      <c r="I60" s="7" t="n">
        <v>53.6</v>
      </c>
      <c r="J60" s="7" t="n">
        <v>53.56</v>
      </c>
      <c r="K60" s="7" t="n">
        <v>33</v>
      </c>
      <c r="L60" s="7" t="n">
        <v>33.05</v>
      </c>
      <c r="M60" s="7" t="inlineStr">
        <is>
          <t>一致</t>
        </is>
      </c>
    </row>
    <row r="61">
      <c r="A61" s="7" t="inlineStr">
        <is>
          <t>4#墩</t>
        </is>
      </c>
      <c r="B61" s="7" t="inlineStr">
        <is>
          <t>右侧</t>
        </is>
      </c>
      <c r="C61" s="7" t="inlineStr">
        <is>
          <t>6a</t>
        </is>
      </c>
      <c r="D61" s="7" t="n">
        <v>10</v>
      </c>
      <c r="E61" s="7" t="n">
        <v>477.9</v>
      </c>
      <c r="F61" s="7" t="n">
        <v>477.92</v>
      </c>
      <c r="G61" s="7" t="n">
        <v>-0.02</v>
      </c>
      <c r="H61" s="7" t="n">
        <v>2</v>
      </c>
      <c r="I61" s="7" t="n">
        <v>9.6</v>
      </c>
      <c r="J61" s="7" t="n">
        <v>9.56</v>
      </c>
      <c r="K61" s="7" t="n">
        <v>5.9</v>
      </c>
      <c r="L61" s="7" t="n">
        <v>5.9</v>
      </c>
      <c r="M61" s="7" t="inlineStr">
        <is>
          <t>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2" customWidth="1" min="4" max="4"/>
    <col width="14" customWidth="1" min="5" max="5"/>
    <col width="12" customWidth="1" min="6" max="6"/>
    <col width="11" customWidth="1" min="7" max="7"/>
    <col width="11" customWidth="1" min="8" max="8"/>
    <col width="14" customWidth="1" min="9" max="9"/>
    <col width="10" customWidth="1" min="10" max="10"/>
  </cols>
  <sheetData>
    <row r="1">
      <c r="A1" s="1" t="inlineStr">
        <is>
          <t>墩号</t>
        </is>
      </c>
      <c r="B1" s="1" t="inlineStr">
        <is>
          <t>部位</t>
        </is>
      </c>
      <c r="C1" s="1" t="inlineStr">
        <is>
          <t>图表Φ22小计(kg)</t>
        </is>
      </c>
      <c r="D1" s="1" t="inlineStr">
        <is>
          <t>复算Φ22(kg)</t>
        </is>
      </c>
      <c r="E1" s="1" t="inlineStr">
        <is>
          <t>图表Φ10小计(kg)</t>
        </is>
      </c>
      <c r="F1" s="1" t="inlineStr">
        <is>
          <t>复算Φ10(kg)</t>
        </is>
      </c>
      <c r="G1" s="1" t="inlineStr">
        <is>
          <t>图表C35(m³)</t>
        </is>
      </c>
      <c r="H1" s="1" t="inlineStr">
        <is>
          <t>复算C35(m³)</t>
        </is>
      </c>
      <c r="I1" s="1" t="inlineStr">
        <is>
          <t>第2、3页参数一致</t>
        </is>
      </c>
      <c r="J1" s="1" t="inlineStr">
        <is>
          <t>结论</t>
        </is>
      </c>
    </row>
    <row r="2">
      <c r="A2" s="7" t="inlineStr">
        <is>
          <t>1#墩</t>
        </is>
      </c>
      <c r="B2" s="7" t="inlineStr">
        <is>
          <t>左侧</t>
        </is>
      </c>
      <c r="C2" s="7" t="n">
        <v>253.7</v>
      </c>
      <c r="D2" s="7" t="n">
        <v>253.7</v>
      </c>
      <c r="E2" s="7" t="n">
        <v>50.3</v>
      </c>
      <c r="F2" s="7" t="n">
        <v>50.3</v>
      </c>
      <c r="G2" s="7" t="n">
        <v>0.45</v>
      </c>
      <c r="H2" s="7" t="n">
        <v>0.445</v>
      </c>
      <c r="I2" s="7" t="inlineStr">
        <is>
          <t>是</t>
        </is>
      </c>
      <c r="J2" s="7" t="inlineStr">
        <is>
          <t>一致</t>
        </is>
      </c>
    </row>
    <row r="3">
      <c r="A3" s="7" t="inlineStr">
        <is>
          <t>1#墩</t>
        </is>
      </c>
      <c r="B3" s="7" t="inlineStr">
        <is>
          <t>右侧</t>
        </is>
      </c>
      <c r="C3" s="7" t="n">
        <v>252.9</v>
      </c>
      <c r="D3" s="7" t="n">
        <v>252.9</v>
      </c>
      <c r="E3" s="7" t="n">
        <v>49.9</v>
      </c>
      <c r="F3" s="7" t="n">
        <v>49.9</v>
      </c>
      <c r="G3" s="7" t="n">
        <v>0.44</v>
      </c>
      <c r="H3" s="7" t="n">
        <v>0.439</v>
      </c>
      <c r="I3" s="7" t="inlineStr">
        <is>
          <t>是</t>
        </is>
      </c>
      <c r="J3" s="7" t="inlineStr">
        <is>
          <t>一致</t>
        </is>
      </c>
    </row>
    <row r="4">
      <c r="A4" s="7" t="inlineStr">
        <is>
          <t>2#墩小里程</t>
        </is>
      </c>
      <c r="B4" s="7" t="inlineStr">
        <is>
          <t>左侧</t>
        </is>
      </c>
      <c r="C4" s="7" t="n">
        <v>126.7</v>
      </c>
      <c r="D4" s="7" t="n">
        <v>126.7</v>
      </c>
      <c r="E4" s="7" t="n">
        <v>28.3</v>
      </c>
      <c r="F4" s="7" t="n">
        <v>28.3</v>
      </c>
      <c r="G4" s="7" t="n">
        <v>0.22</v>
      </c>
      <c r="H4" s="7" t="n">
        <v>0.223</v>
      </c>
      <c r="I4" s="7" t="inlineStr">
        <is>
          <t>是</t>
        </is>
      </c>
      <c r="J4" s="7" t="inlineStr">
        <is>
          <t>一致</t>
        </is>
      </c>
    </row>
    <row r="5">
      <c r="A5" s="7" t="inlineStr">
        <is>
          <t>2#墩大里程</t>
        </is>
      </c>
      <c r="B5" s="7" t="inlineStr">
        <is>
          <t>左侧</t>
        </is>
      </c>
      <c r="C5" s="7" t="n">
        <v>129.6</v>
      </c>
      <c r="D5" s="7" t="n">
        <v>129.6</v>
      </c>
      <c r="E5" s="7" t="n">
        <v>29.8</v>
      </c>
      <c r="F5" s="7" t="n">
        <v>29.8</v>
      </c>
      <c r="G5" s="7" t="n">
        <v>0.27</v>
      </c>
      <c r="H5" s="7" t="n">
        <v>0.273</v>
      </c>
      <c r="I5" s="7" t="inlineStr">
        <is>
          <t>是</t>
        </is>
      </c>
      <c r="J5" s="7" t="inlineStr">
        <is>
          <t>一致</t>
        </is>
      </c>
    </row>
    <row r="6">
      <c r="A6" s="7" t="inlineStr">
        <is>
          <t>2#墩</t>
        </is>
      </c>
      <c r="B6" s="7" t="inlineStr">
        <is>
          <t>右侧</t>
        </is>
      </c>
      <c r="C6" s="7" t="n">
        <v>254</v>
      </c>
      <c r="D6" s="7" t="n">
        <v>254</v>
      </c>
      <c r="E6" s="7" t="n">
        <v>50.1</v>
      </c>
      <c r="F6" s="7" t="n">
        <v>50.1</v>
      </c>
      <c r="G6" s="7" t="n">
        <v>0.46</v>
      </c>
      <c r="H6" s="7" t="n">
        <v>0.458</v>
      </c>
      <c r="I6" s="7" t="inlineStr">
        <is>
          <t>是</t>
        </is>
      </c>
      <c r="J6" s="7" t="inlineStr">
        <is>
          <t>一致</t>
        </is>
      </c>
    </row>
    <row r="7">
      <c r="A7" s="7" t="inlineStr">
        <is>
          <t>3#墩小里程</t>
        </is>
      </c>
      <c r="B7" s="7" t="inlineStr">
        <is>
          <t>左侧</t>
        </is>
      </c>
      <c r="C7" s="7" t="n">
        <v>127</v>
      </c>
      <c r="D7" s="7" t="n">
        <v>127</v>
      </c>
      <c r="E7" s="7" t="n">
        <v>28.4</v>
      </c>
      <c r="F7" s="7" t="n">
        <v>28.4</v>
      </c>
      <c r="G7" s="7" t="n">
        <v>0.23</v>
      </c>
      <c r="H7" s="7" t="n">
        <v>0.231</v>
      </c>
      <c r="I7" s="7" t="inlineStr">
        <is>
          <t>是</t>
        </is>
      </c>
      <c r="J7" s="7" t="inlineStr">
        <is>
          <t>一致</t>
        </is>
      </c>
    </row>
    <row r="8">
      <c r="A8" s="7" t="inlineStr">
        <is>
          <t>3#墩大里程</t>
        </is>
      </c>
      <c r="B8" s="7" t="inlineStr">
        <is>
          <t>左侧</t>
        </is>
      </c>
      <c r="C8" s="7" t="n">
        <v>129.8</v>
      </c>
      <c r="D8" s="7" t="n">
        <v>129.8</v>
      </c>
      <c r="E8" s="7" t="n">
        <v>29.9</v>
      </c>
      <c r="F8" s="7" t="n">
        <v>29.9</v>
      </c>
      <c r="G8" s="7" t="n">
        <v>0.28</v>
      </c>
      <c r="H8" s="7" t="n">
        <v>0.278</v>
      </c>
      <c r="I8" s="7" t="inlineStr">
        <is>
          <t>是</t>
        </is>
      </c>
      <c r="J8" s="7" t="inlineStr">
        <is>
          <t>一致</t>
        </is>
      </c>
    </row>
    <row r="9">
      <c r="A9" s="7" t="inlineStr">
        <is>
          <t>3#墩</t>
        </is>
      </c>
      <c r="B9" s="7" t="inlineStr">
        <is>
          <t>右侧</t>
        </is>
      </c>
      <c r="C9" s="7" t="n">
        <v>255.1</v>
      </c>
      <c r="D9" s="7" t="n">
        <v>255.1</v>
      </c>
      <c r="E9" s="7" t="n">
        <v>50.3</v>
      </c>
      <c r="F9" s="7" t="n">
        <v>50.3</v>
      </c>
      <c r="G9" s="7" t="n">
        <v>0.48</v>
      </c>
      <c r="H9" s="7" t="n">
        <v>0.479</v>
      </c>
      <c r="I9" s="7" t="inlineStr">
        <is>
          <t>是</t>
        </is>
      </c>
      <c r="J9" s="7" t="inlineStr">
        <is>
          <t>一致</t>
        </is>
      </c>
    </row>
    <row r="10">
      <c r="A10" s="7" t="inlineStr">
        <is>
          <t>4#墩</t>
        </is>
      </c>
      <c r="B10" s="7" t="inlineStr">
        <is>
          <t>左侧</t>
        </is>
      </c>
      <c r="C10" s="7" t="n">
        <v>253.8</v>
      </c>
      <c r="D10" s="7" t="n">
        <v>253.8</v>
      </c>
      <c r="E10" s="7" t="n">
        <v>50.5</v>
      </c>
      <c r="F10" s="7" t="n">
        <v>50.5</v>
      </c>
      <c r="G10" s="7" t="n">
        <v>0.44</v>
      </c>
      <c r="H10" s="7" t="n">
        <v>0.442</v>
      </c>
      <c r="I10" s="7" t="inlineStr">
        <is>
          <t>是</t>
        </is>
      </c>
      <c r="J10" s="7" t="inlineStr">
        <is>
          <t>一致</t>
        </is>
      </c>
    </row>
    <row r="11">
      <c r="A11" s="7" t="inlineStr">
        <is>
          <t>4#墩</t>
        </is>
      </c>
      <c r="B11" s="7" t="inlineStr">
        <is>
          <t>右侧</t>
        </is>
      </c>
      <c r="C11" s="7" t="n">
        <v>255.8</v>
      </c>
      <c r="D11" s="7" t="n">
        <v>255.8</v>
      </c>
      <c r="E11" s="7" t="n">
        <v>50.5</v>
      </c>
      <c r="F11" s="7" t="n">
        <v>50.5</v>
      </c>
      <c r="G11" s="7" t="n">
        <v>0.49</v>
      </c>
      <c r="H11" s="7" t="n">
        <v>0.492</v>
      </c>
      <c r="I11" s="7" t="inlineStr">
        <is>
          <t>是</t>
        </is>
      </c>
      <c r="J11" s="7" t="inlineStr">
        <is>
          <t>一致</t>
        </is>
      </c>
    </row>
    <row r="12">
      <c r="A12" s="8" t="inlineStr">
        <is>
          <t>合计（第2页小计相加）</t>
        </is>
      </c>
      <c r="B12" s="8" t="inlineStr"/>
      <c r="C12" s="8">
        <f>SUM(C2:C11)</f>
        <v/>
      </c>
      <c r="D12" s="8" t="inlineStr"/>
      <c r="E12" s="8">
        <f>SUM(E2:E11)</f>
        <v/>
      </c>
      <c r="F12" s="8" t="inlineStr"/>
      <c r="G12" s="8">
        <f>SUM(G2:G11)</f>
        <v/>
      </c>
      <c r="H12" s="8" t="inlineStr"/>
      <c r="I12" s="8" t="inlineStr"/>
      <c r="J12" s="8" t="inlineStr"/>
    </row>
    <row r="13">
      <c r="A13" s="8" t="inlineStr">
        <is>
          <t>第3页全桥合计</t>
        </is>
      </c>
      <c r="B13" s="8" t="inlineStr"/>
      <c r="C13" s="8" t="n">
        <v>2038.3</v>
      </c>
      <c r="D13" s="8" t="inlineStr"/>
      <c r="E13" s="8" t="n">
        <v>418.1</v>
      </c>
      <c r="F13" s="8" t="inlineStr"/>
      <c r="G13" s="8" t="n">
        <v>3.8</v>
      </c>
      <c r="H13" s="8" t="inlineStr"/>
      <c r="I13" s="8" t="inlineStr"/>
      <c r="J13" s="8" t="inlineStr">
        <is>
          <t>Φ22/Φ10差0.1kg，取整误差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审查对象：S5-5(7)-15 差干互通立交及服务区D匝道桥 桥墩防震挡块钢筋构造图（共3页）</t>
        </is>
      </c>
    </row>
    <row r="2">
      <c r="A2" t="inlineStr">
        <is>
          <t>复核方法：按第1页大样公式对第2页10个挡块的6种钢筋逐一复算长度、共长、共重；Φ22单位重2.986kg/m（0.00617d²），Φ10为0.617kg/m。</t>
        </is>
      </c>
    </row>
    <row r="3">
      <c r="A3" t="inlineStr">
        <is>
          <t>C35混凝土方量按平面分段梯形面积×H，扣除顶部倒角三角形（h×9/2×B0）近似复算。</t>
        </is>
      </c>
    </row>
    <row r="4">
      <c r="A4" t="inlineStr">
        <is>
          <t>原图为扫描件，数据经人工识读；问题清单中"高/中"项建议由设计单位书面回复确认。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2026-10-17T08:43:04Z</dcterms:created>
  <dcterms:modified xmlns:dcterms="http://purl.org/dc/terms/" xmlns:xsi="http://www.w3.org/2001/XMLSchema-instance" xsi:type="dcterms:W3CDTF">2026-10-17T08:43:04Z</dcterms:modified>
</cp:coreProperties>
</file>